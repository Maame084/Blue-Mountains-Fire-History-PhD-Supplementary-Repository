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6410811d0eb69/Desktop/Results and Discussion/Supplementary Data/"/>
    </mc:Choice>
  </mc:AlternateContent>
  <xr:revisionPtr revIDLastSave="60" documentId="8_{C0F2E31C-2D60-4F3B-A762-9D8E43F77C7E}" xr6:coauthVersionLast="47" xr6:coauthVersionMax="47" xr10:uidLastSave="{21368FCC-F42E-473B-8CFB-28237AA19BDA}"/>
  <bookViews>
    <workbookView xWindow="-110" yWindow="-110" windowWidth="25820" windowHeight="15500" firstSheet="3" activeTab="7" xr2:uid="{F6D8F2A3-1B5A-4C46-8B49-C64EAC8D4AED}"/>
  </bookViews>
  <sheets>
    <sheet name="Urella Brook CHAR" sheetId="1" r:id="rId1"/>
    <sheet name="Fortress Creek CHAR" sheetId="2" r:id="rId2"/>
    <sheet name="Horsefly CHAR" sheetId="3" r:id="rId3"/>
    <sheet name="Corral Swamp CHAR" sheetId="4" r:id="rId4"/>
    <sheet name="Kings Tableland (RHS) CHAR" sheetId="5" r:id="rId5"/>
    <sheet name="Waterfall Creek CHAR" sheetId="6" r:id="rId6"/>
    <sheet name="Rocky Point CHAR" sheetId="7" r:id="rId7"/>
    <sheet name="All swamp sites CHAR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5" i="8" l="1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Q49" i="8"/>
  <c r="S49" i="8" s="1"/>
  <c r="H49" i="8"/>
  <c r="Q48" i="8"/>
  <c r="R48" i="8" s="1"/>
  <c r="H48" i="8"/>
  <c r="Q47" i="8"/>
  <c r="R47" i="8" s="1"/>
  <c r="H47" i="8"/>
  <c r="Q46" i="8"/>
  <c r="R46" i="8" s="1"/>
  <c r="H46" i="8"/>
  <c r="Q45" i="8"/>
  <c r="S45" i="8" s="1"/>
  <c r="H45" i="8"/>
  <c r="Q44" i="8"/>
  <c r="S44" i="8" s="1"/>
  <c r="H44" i="8"/>
  <c r="Q43" i="8"/>
  <c r="S43" i="8" s="1"/>
  <c r="H43" i="8"/>
  <c r="Q42" i="8"/>
  <c r="R42" i="8" s="1"/>
  <c r="H42" i="8"/>
  <c r="Q41" i="8"/>
  <c r="R41" i="8" s="1"/>
  <c r="H41" i="8"/>
  <c r="Q40" i="8"/>
  <c r="S40" i="8" s="1"/>
  <c r="H40" i="8"/>
  <c r="Q39" i="8"/>
  <c r="S39" i="8" s="1"/>
  <c r="H39" i="8"/>
  <c r="Q38" i="8"/>
  <c r="R38" i="8" s="1"/>
  <c r="H38" i="8"/>
  <c r="Q37" i="8"/>
  <c r="R37" i="8" s="1"/>
  <c r="H37" i="8"/>
  <c r="Q36" i="8"/>
  <c r="S36" i="8" s="1"/>
  <c r="H36" i="8"/>
  <c r="Q35" i="8"/>
  <c r="S35" i="8" s="1"/>
  <c r="H35" i="8"/>
  <c r="Q34" i="8"/>
  <c r="S34" i="8" s="1"/>
  <c r="H34" i="8"/>
  <c r="Q33" i="8"/>
  <c r="R33" i="8" s="1"/>
  <c r="H33" i="8"/>
  <c r="Q32" i="8"/>
  <c r="R32" i="8" s="1"/>
  <c r="H32" i="8"/>
  <c r="Q31" i="8"/>
  <c r="S31" i="8" s="1"/>
  <c r="H31" i="8"/>
  <c r="Q30" i="8"/>
  <c r="H30" i="8"/>
  <c r="Q29" i="8"/>
  <c r="S29" i="8" s="1"/>
  <c r="H29" i="8"/>
  <c r="Q28" i="8"/>
  <c r="H28" i="8"/>
  <c r="Q27" i="8"/>
  <c r="R27" i="8" s="1"/>
  <c r="H27" i="8"/>
  <c r="Q26" i="8"/>
  <c r="R26" i="8" s="1"/>
  <c r="H26" i="8"/>
  <c r="Q25" i="8"/>
  <c r="S25" i="8" s="1"/>
  <c r="H25" i="8"/>
  <c r="Q24" i="8"/>
  <c r="S24" i="8" s="1"/>
  <c r="H24" i="8"/>
  <c r="Q23" i="8"/>
  <c r="S23" i="8" s="1"/>
  <c r="H23" i="8"/>
  <c r="Q22" i="8"/>
  <c r="S22" i="8" s="1"/>
  <c r="H22" i="8"/>
  <c r="Q21" i="8"/>
  <c r="R21" i="8" s="1"/>
  <c r="H21" i="8"/>
  <c r="Q20" i="8"/>
  <c r="R20" i="8" s="1"/>
  <c r="H20" i="8"/>
  <c r="Q19" i="8"/>
  <c r="S19" i="8" s="1"/>
  <c r="H19" i="8"/>
  <c r="Q18" i="8"/>
  <c r="S18" i="8" s="1"/>
  <c r="H18" i="8"/>
  <c r="Q17" i="8"/>
  <c r="S17" i="8" s="1"/>
  <c r="H17" i="8"/>
  <c r="Q16" i="8"/>
  <c r="R16" i="8" s="1"/>
  <c r="H16" i="8"/>
  <c r="Q15" i="8"/>
  <c r="S15" i="8" s="1"/>
  <c r="H15" i="8"/>
  <c r="Q14" i="8"/>
  <c r="S14" i="8" s="1"/>
  <c r="H14" i="8"/>
  <c r="Q13" i="8"/>
  <c r="S13" i="8" s="1"/>
  <c r="H13" i="8"/>
  <c r="Q12" i="8"/>
  <c r="R12" i="8" s="1"/>
  <c r="H12" i="8"/>
  <c r="Q11" i="8"/>
  <c r="R11" i="8" s="1"/>
  <c r="H11" i="8"/>
  <c r="Q10" i="8"/>
  <c r="S10" i="8" s="1"/>
  <c r="H10" i="8"/>
  <c r="Q9" i="8"/>
  <c r="S9" i="8" s="1"/>
  <c r="H9" i="8"/>
  <c r="Q8" i="8"/>
  <c r="S8" i="8" s="1"/>
  <c r="H8" i="8"/>
  <c r="Q7" i="8"/>
  <c r="S7" i="8" s="1"/>
  <c r="H7" i="8"/>
  <c r="Q6" i="8"/>
  <c r="R6" i="8" s="1"/>
  <c r="H6" i="8"/>
  <c r="Q5" i="8"/>
  <c r="S5" i="8" s="1"/>
  <c r="H5" i="8"/>
  <c r="Q4" i="8"/>
  <c r="S4" i="8" s="1"/>
  <c r="H4" i="8"/>
  <c r="Q3" i="8"/>
  <c r="S3" i="8" s="1"/>
  <c r="H3" i="8"/>
  <c r="Q2" i="8"/>
  <c r="S2" i="8" s="1"/>
  <c r="H2" i="8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" i="7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T3" i="2"/>
  <c r="T5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" i="2"/>
  <c r="S3" i="2"/>
  <c r="S5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" i="1"/>
  <c r="R4" i="8" l="1"/>
  <c r="R14" i="8"/>
  <c r="S6" i="8"/>
  <c r="S37" i="8"/>
  <c r="R24" i="8"/>
  <c r="S32" i="8"/>
  <c r="R9" i="8"/>
  <c r="S26" i="8"/>
  <c r="R19" i="8"/>
  <c r="S42" i="8"/>
  <c r="S11" i="8"/>
  <c r="S16" i="8"/>
  <c r="R29" i="8"/>
  <c r="S21" i="8"/>
  <c r="S47" i="8"/>
  <c r="R23" i="8"/>
  <c r="R35" i="8"/>
  <c r="R40" i="8"/>
  <c r="R45" i="8"/>
  <c r="R31" i="8"/>
  <c r="R36" i="8"/>
  <c r="R43" i="8"/>
  <c r="S27" i="8"/>
  <c r="S33" i="8"/>
  <c r="S38" i="8"/>
  <c r="S48" i="8"/>
  <c r="S46" i="8"/>
  <c r="S41" i="8"/>
  <c r="R34" i="8"/>
  <c r="R39" i="8"/>
  <c r="R44" i="8"/>
  <c r="R49" i="8"/>
  <c r="R10" i="8"/>
  <c r="R15" i="8"/>
  <c r="S20" i="8"/>
  <c r="R5" i="8"/>
  <c r="R22" i="8"/>
  <c r="R2" i="8"/>
  <c r="R17" i="8"/>
  <c r="R3" i="8"/>
  <c r="R8" i="8"/>
  <c r="R13" i="8"/>
  <c r="R18" i="8"/>
  <c r="R7" i="8"/>
  <c r="S12" i="8"/>
  <c r="R25" i="8"/>
</calcChain>
</file>

<file path=xl/sharedStrings.xml><?xml version="1.0" encoding="utf-8"?>
<sst xmlns="http://schemas.openxmlformats.org/spreadsheetml/2006/main" count="645" uniqueCount="76">
  <si>
    <t>Sample Depth (cm)</t>
  </si>
  <si>
    <t>Depth (cm)</t>
  </si>
  <si>
    <t>M3= Flask +sample (g)</t>
  </si>
  <si>
    <t>M4= Sample + Flask +Water (g)</t>
  </si>
  <si>
    <t>Volume (cm3)</t>
  </si>
  <si>
    <t>0-0.5</t>
  </si>
  <si>
    <t>0.5-1</t>
  </si>
  <si>
    <t>1-1.5</t>
  </si>
  <si>
    <t>1.5-2</t>
  </si>
  <si>
    <t>2-2.5</t>
  </si>
  <si>
    <t>2.5-3</t>
  </si>
  <si>
    <t>3-3.5</t>
  </si>
  <si>
    <t>3.5-4</t>
  </si>
  <si>
    <t>4-4.5</t>
  </si>
  <si>
    <t>4.5-5</t>
  </si>
  <si>
    <t>5-5.5</t>
  </si>
  <si>
    <t>5.5-6</t>
  </si>
  <si>
    <t>6-6.5</t>
  </si>
  <si>
    <t>6.5-7</t>
  </si>
  <si>
    <t>7-7.5</t>
  </si>
  <si>
    <t>7.5-8</t>
  </si>
  <si>
    <t>8-8.5</t>
  </si>
  <si>
    <t>8.5-9</t>
  </si>
  <si>
    <t>9-9.5</t>
  </si>
  <si>
    <t>9.5-10</t>
  </si>
  <si>
    <t>10-10.5</t>
  </si>
  <si>
    <t>10.5-11</t>
  </si>
  <si>
    <t>11-11.5</t>
  </si>
  <si>
    <t>11.5-12</t>
  </si>
  <si>
    <t>M1=Flask (Pycnometer)</t>
  </si>
  <si>
    <t>M2= Flask + Water</t>
  </si>
  <si>
    <t>Charcoal Area (µm2)</t>
  </si>
  <si>
    <t>Charcoal Area (mm2)</t>
  </si>
  <si>
    <t>Charcoal no.</t>
  </si>
  <si>
    <t>Char Vol (ΣΑi^3/2)</t>
  </si>
  <si>
    <t>Conc. (area/volume)(mm2/cm3)</t>
  </si>
  <si>
    <t xml:space="preserve"> Age Top</t>
  </si>
  <si>
    <t>Age Bottom</t>
  </si>
  <si>
    <t>Deposition time</t>
  </si>
  <si>
    <t>Mass (g)</t>
  </si>
  <si>
    <t>CHAR .no</t>
  </si>
  <si>
    <t>Conc. (no./volume)(no./cm3)</t>
  </si>
  <si>
    <t>Conc. (char Vol/volume)(mm3/cm3)</t>
  </si>
  <si>
    <t>CHARa (mm2/cm2/yr)</t>
  </si>
  <si>
    <t>12-12.5</t>
  </si>
  <si>
    <t>12.5-13</t>
  </si>
  <si>
    <t>13-13.5</t>
  </si>
  <si>
    <t>13.5-14</t>
  </si>
  <si>
    <t>14-14.5</t>
  </si>
  <si>
    <t>14.5-15</t>
  </si>
  <si>
    <t>15-15.5</t>
  </si>
  <si>
    <t>15.5-16</t>
  </si>
  <si>
    <t>16-16.5</t>
  </si>
  <si>
    <t>16.5-17</t>
  </si>
  <si>
    <t>17-17.5</t>
  </si>
  <si>
    <t>17.5-18</t>
  </si>
  <si>
    <t>18-18.5</t>
  </si>
  <si>
    <t>18.5-19</t>
  </si>
  <si>
    <t>19-19.5</t>
  </si>
  <si>
    <t>19.5-20</t>
  </si>
  <si>
    <t>20-20.5</t>
  </si>
  <si>
    <t>20.5-21</t>
  </si>
  <si>
    <t>21-21.5</t>
  </si>
  <si>
    <t>21.5-22</t>
  </si>
  <si>
    <t>22-22.5</t>
  </si>
  <si>
    <t>22.5-23</t>
  </si>
  <si>
    <t>23-23.5</t>
  </si>
  <si>
    <t>23.5-24</t>
  </si>
  <si>
    <t xml:space="preserve">Swamp </t>
  </si>
  <si>
    <t>Urella Brook</t>
  </si>
  <si>
    <t>Fortress Creek</t>
  </si>
  <si>
    <t xml:space="preserve">Horsefly </t>
  </si>
  <si>
    <t>Waterfall Creek</t>
  </si>
  <si>
    <t>Corral Swamp</t>
  </si>
  <si>
    <t>KingsTableland</t>
  </si>
  <si>
    <t>Rocky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</si>
</sst>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5DD1-34B7-4AA5-B3C2-4F6DC1010280}">
  <dimension ref="A1:T26"/>
  <sheetViews>
    <sheetView topLeftCell="O1" workbookViewId="0">
      <selection activeCell="A2" sqref="A2:T25"/>
    </sheetView>
  </sheetViews>
  <sheetFormatPr defaultRowHeight="15.5" x14ac:dyDescent="0.35"/>
  <cols>
    <col min="1" max="1" width="12.7265625" customWidth="1"/>
    <col min="3" max="4" width="13.7265625" customWidth="1"/>
    <col min="5" max="5" width="16.453125" customWidth="1"/>
    <col min="6" max="6" width="18.7265625" customWidth="1"/>
    <col min="7" max="7" width="19.1796875" customWidth="1"/>
    <col min="8" max="8" width="20.7265625" customWidth="1"/>
    <col min="9" max="9" width="12.90625" bestFit="1" customWidth="1"/>
    <col min="10" max="10" width="14" customWidth="1"/>
    <col min="11" max="11" width="13.1796875" customWidth="1"/>
    <col min="12" max="12" width="17.453125" customWidth="1"/>
    <col min="13" max="13" width="29.08984375" customWidth="1"/>
    <col min="14" max="14" width="26.1796875" customWidth="1"/>
    <col min="15" max="15" width="25.36328125" customWidth="1"/>
    <col min="16" max="16" width="14.1796875" customWidth="1"/>
    <col min="17" max="17" width="15" customWidth="1"/>
    <col min="18" max="18" width="12.81640625" style="6" customWidth="1"/>
    <col min="19" max="19" width="22.90625" style="7" customWidth="1"/>
    <col min="20" max="20" width="12.81640625" style="3" customWidth="1"/>
  </cols>
  <sheetData>
    <row r="1" spans="1:20" s="2" customFormat="1" ht="80.5" customHeight="1" x14ac:dyDescent="0.35">
      <c r="A1" s="8" t="s">
        <v>0</v>
      </c>
      <c r="B1" s="8" t="s">
        <v>1</v>
      </c>
      <c r="C1" s="8" t="s">
        <v>29</v>
      </c>
      <c r="D1" s="8" t="s">
        <v>30</v>
      </c>
      <c r="E1" s="8" t="s">
        <v>2</v>
      </c>
      <c r="F1" s="8" t="s">
        <v>3</v>
      </c>
      <c r="G1" s="8" t="s">
        <v>39</v>
      </c>
      <c r="H1" s="8" t="s">
        <v>4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41</v>
      </c>
      <c r="O1" s="8" t="s">
        <v>42</v>
      </c>
      <c r="P1" s="9" t="s">
        <v>36</v>
      </c>
      <c r="Q1" s="9" t="s">
        <v>37</v>
      </c>
      <c r="R1" s="8" t="s">
        <v>38</v>
      </c>
      <c r="S1" s="9" t="s">
        <v>43</v>
      </c>
      <c r="T1" s="10" t="s">
        <v>40</v>
      </c>
    </row>
    <row r="2" spans="1:20" x14ac:dyDescent="0.35">
      <c r="A2" s="11" t="s">
        <v>5</v>
      </c>
      <c r="B2" s="11">
        <v>0</v>
      </c>
      <c r="C2" s="11">
        <v>15.21</v>
      </c>
      <c r="D2" s="11">
        <v>20.628</v>
      </c>
      <c r="E2" s="11">
        <v>15.866</v>
      </c>
      <c r="F2" s="11">
        <v>21.021000000000001</v>
      </c>
      <c r="G2" s="11">
        <f>E2-C2</f>
        <v>0.65599999999999881</v>
      </c>
      <c r="H2" s="11">
        <v>0.26300000000000001</v>
      </c>
      <c r="I2" s="11">
        <v>29924444.440000001</v>
      </c>
      <c r="J2" s="11">
        <v>29.924444439999998</v>
      </c>
      <c r="K2" s="11">
        <v>338</v>
      </c>
      <c r="L2" s="11">
        <v>13398.256659999999</v>
      </c>
      <c r="M2" s="11">
        <v>113.7811576</v>
      </c>
      <c r="N2" s="11">
        <v>1285.1711029999999</v>
      </c>
      <c r="O2" s="11">
        <v>50943.94169</v>
      </c>
      <c r="P2" s="12">
        <v>2021</v>
      </c>
      <c r="Q2" s="12">
        <v>2017</v>
      </c>
      <c r="R2" s="12">
        <f>P2-Q2</f>
        <v>4</v>
      </c>
      <c r="S2" s="13">
        <f>(M2/R2)*0.5</f>
        <v>14.2226447</v>
      </c>
      <c r="T2" s="14">
        <f>(N2/R2)*0.5</f>
        <v>160.64638787499999</v>
      </c>
    </row>
    <row r="3" spans="1:20" x14ac:dyDescent="0.35">
      <c r="A3" s="11" t="s">
        <v>6</v>
      </c>
      <c r="B3" s="11">
        <v>0.5</v>
      </c>
      <c r="C3" s="11">
        <v>15.21</v>
      </c>
      <c r="D3" s="11">
        <v>20.628</v>
      </c>
      <c r="E3" s="11">
        <v>15.888999999999999</v>
      </c>
      <c r="F3" s="11">
        <v>21.04</v>
      </c>
      <c r="G3" s="11">
        <f t="shared" ref="G3:G25" si="0">E3-C3</f>
        <v>0.67899999999999849</v>
      </c>
      <c r="H3" s="11">
        <v>0.26700000000000002</v>
      </c>
      <c r="I3" s="11">
        <v>51645819.020000003</v>
      </c>
      <c r="J3" s="11">
        <v>51.645819019999998</v>
      </c>
      <c r="K3" s="11">
        <v>1538</v>
      </c>
      <c r="L3" s="11">
        <v>68877.204370000007</v>
      </c>
      <c r="M3" s="11">
        <v>193.43003379999999</v>
      </c>
      <c r="N3" s="11">
        <v>5760.2996249999997</v>
      </c>
      <c r="O3" s="11">
        <v>257967.0576</v>
      </c>
      <c r="P3" s="12">
        <v>2017</v>
      </c>
      <c r="Q3" s="12">
        <v>2013</v>
      </c>
      <c r="R3" s="12">
        <f t="shared" ref="R3:R25" si="1">P3-Q3</f>
        <v>4</v>
      </c>
      <c r="S3" s="13">
        <f t="shared" ref="S3:S25" si="2">(M3/R3)*0.5</f>
        <v>24.178754224999999</v>
      </c>
      <c r="T3" s="14">
        <f t="shared" ref="T3:T25" si="3">(N3/R3)*0.5</f>
        <v>720.03745312499996</v>
      </c>
    </row>
    <row r="4" spans="1:20" x14ac:dyDescent="0.35">
      <c r="A4" s="11" t="s">
        <v>7</v>
      </c>
      <c r="B4" s="11">
        <v>1</v>
      </c>
      <c r="C4" s="11">
        <v>15.21</v>
      </c>
      <c r="D4" s="11">
        <v>20.628</v>
      </c>
      <c r="E4" s="11">
        <v>15.693</v>
      </c>
      <c r="F4" s="11">
        <v>20.914999999999999</v>
      </c>
      <c r="G4" s="11">
        <f t="shared" si="0"/>
        <v>0.48299999999999876</v>
      </c>
      <c r="H4" s="11">
        <v>0.19600000000000001</v>
      </c>
      <c r="I4" s="11">
        <v>37124588.869999997</v>
      </c>
      <c r="J4" s="11">
        <v>37.124588869999997</v>
      </c>
      <c r="K4" s="11">
        <v>151</v>
      </c>
      <c r="L4" s="11">
        <v>25583.205709999998</v>
      </c>
      <c r="M4" s="11">
        <v>189.41116769999999</v>
      </c>
      <c r="N4" s="11">
        <v>770.40816329999996</v>
      </c>
      <c r="O4" s="11">
        <v>130526.5598</v>
      </c>
      <c r="P4" s="12">
        <v>2013</v>
      </c>
      <c r="Q4" s="12">
        <v>2010</v>
      </c>
      <c r="R4" s="12">
        <f t="shared" si="1"/>
        <v>3</v>
      </c>
      <c r="S4" s="13">
        <f t="shared" si="2"/>
        <v>31.56852795</v>
      </c>
      <c r="T4" s="14">
        <f t="shared" si="3"/>
        <v>128.40136054999999</v>
      </c>
    </row>
    <row r="5" spans="1:20" x14ac:dyDescent="0.35">
      <c r="A5" s="11" t="s">
        <v>8</v>
      </c>
      <c r="B5" s="11">
        <v>1.5</v>
      </c>
      <c r="C5" s="11">
        <v>15.21</v>
      </c>
      <c r="D5" s="11">
        <v>20.628</v>
      </c>
      <c r="E5" s="11">
        <v>15.622</v>
      </c>
      <c r="F5" s="11">
        <v>20.861000000000001</v>
      </c>
      <c r="G5" s="11">
        <f t="shared" si="0"/>
        <v>0.41199999999999903</v>
      </c>
      <c r="H5" s="11">
        <v>0.17899999999999999</v>
      </c>
      <c r="I5" s="11">
        <v>92981111.090000004</v>
      </c>
      <c r="J5" s="11">
        <v>92.981111089999999</v>
      </c>
      <c r="K5" s="11">
        <v>629</v>
      </c>
      <c r="L5" s="11">
        <v>401933.49449999997</v>
      </c>
      <c r="M5" s="11">
        <v>519.44754799999998</v>
      </c>
      <c r="N5" s="11">
        <v>3513.96648</v>
      </c>
      <c r="O5" s="11">
        <v>2245438.517</v>
      </c>
      <c r="P5" s="12">
        <v>2010</v>
      </c>
      <c r="Q5" s="12">
        <v>2006</v>
      </c>
      <c r="R5" s="12">
        <f t="shared" si="1"/>
        <v>4</v>
      </c>
      <c r="S5" s="13">
        <f t="shared" si="2"/>
        <v>64.930943499999998</v>
      </c>
      <c r="T5" s="14">
        <f t="shared" si="3"/>
        <v>439.24581000000001</v>
      </c>
    </row>
    <row r="6" spans="1:20" x14ac:dyDescent="0.35">
      <c r="A6" s="11" t="s">
        <v>9</v>
      </c>
      <c r="B6" s="11">
        <v>2</v>
      </c>
      <c r="C6" s="11">
        <v>15.21</v>
      </c>
      <c r="D6" s="11">
        <v>20.628</v>
      </c>
      <c r="E6" s="11">
        <v>15.37</v>
      </c>
      <c r="F6" s="11">
        <v>20.637</v>
      </c>
      <c r="G6" s="11">
        <f t="shared" si="0"/>
        <v>0.15999999999999837</v>
      </c>
      <c r="H6" s="11">
        <v>0.151</v>
      </c>
      <c r="I6" s="11">
        <v>300319431</v>
      </c>
      <c r="J6" s="11">
        <v>300.31943100000001</v>
      </c>
      <c r="K6" s="11">
        <v>1487</v>
      </c>
      <c r="L6" s="11">
        <v>13543169.119999999</v>
      </c>
      <c r="M6" s="11">
        <v>1988.870404</v>
      </c>
      <c r="N6" s="11">
        <v>9847.6821189999991</v>
      </c>
      <c r="O6" s="11">
        <v>89689861.730000004</v>
      </c>
      <c r="P6" s="12">
        <v>2006</v>
      </c>
      <c r="Q6" s="12">
        <v>2002</v>
      </c>
      <c r="R6" s="12">
        <f t="shared" si="1"/>
        <v>4</v>
      </c>
      <c r="S6" s="13">
        <f t="shared" si="2"/>
        <v>248.6088005</v>
      </c>
      <c r="T6" s="14">
        <f t="shared" si="3"/>
        <v>1230.9602648749999</v>
      </c>
    </row>
    <row r="7" spans="1:20" x14ac:dyDescent="0.35">
      <c r="A7" s="11" t="s">
        <v>10</v>
      </c>
      <c r="B7" s="11">
        <v>2.5</v>
      </c>
      <c r="C7" s="11">
        <v>15.21</v>
      </c>
      <c r="D7" s="11">
        <v>20.628</v>
      </c>
      <c r="E7" s="11">
        <v>15.489000000000001</v>
      </c>
      <c r="F7" s="11">
        <v>20.649000000000001</v>
      </c>
      <c r="G7" s="11">
        <f t="shared" si="0"/>
        <v>0.27899999999999991</v>
      </c>
      <c r="H7" s="11">
        <v>0.25800000000000001</v>
      </c>
      <c r="I7" s="11">
        <v>404155633.60000002</v>
      </c>
      <c r="J7" s="11">
        <v>404.15563359999999</v>
      </c>
      <c r="K7" s="11">
        <v>1847</v>
      </c>
      <c r="L7" s="11">
        <v>33007749.52</v>
      </c>
      <c r="M7" s="11">
        <v>1566.494704</v>
      </c>
      <c r="N7" s="11">
        <v>7158.9147290000001</v>
      </c>
      <c r="O7" s="11">
        <v>127937013.59999999</v>
      </c>
      <c r="P7" s="12">
        <v>2002</v>
      </c>
      <c r="Q7" s="12">
        <v>1994</v>
      </c>
      <c r="R7" s="12">
        <f t="shared" si="1"/>
        <v>8</v>
      </c>
      <c r="S7" s="13">
        <f t="shared" si="2"/>
        <v>97.905918999999997</v>
      </c>
      <c r="T7" s="14">
        <f t="shared" si="3"/>
        <v>447.4321705625</v>
      </c>
    </row>
    <row r="8" spans="1:20" x14ac:dyDescent="0.35">
      <c r="A8" s="11" t="s">
        <v>11</v>
      </c>
      <c r="B8" s="11">
        <v>3</v>
      </c>
      <c r="C8" s="11">
        <v>15.21</v>
      </c>
      <c r="D8" s="11">
        <v>20.628</v>
      </c>
      <c r="E8" s="11">
        <v>15.401</v>
      </c>
      <c r="F8" s="11">
        <v>20.677</v>
      </c>
      <c r="G8" s="11">
        <f t="shared" si="0"/>
        <v>0.19099999999999895</v>
      </c>
      <c r="H8" s="11">
        <v>0.14199999999999999</v>
      </c>
      <c r="I8" s="11">
        <v>230373528.40000001</v>
      </c>
      <c r="J8" s="11">
        <v>230.3735284</v>
      </c>
      <c r="K8" s="11">
        <v>971</v>
      </c>
      <c r="L8" s="11">
        <v>6113187.6399999997</v>
      </c>
      <c r="M8" s="11">
        <v>1622.3487909999999</v>
      </c>
      <c r="N8" s="11">
        <v>6838.0281690000002</v>
      </c>
      <c r="O8" s="11">
        <v>43050617.18</v>
      </c>
      <c r="P8" s="12">
        <v>1994</v>
      </c>
      <c r="Q8" s="12">
        <v>1986</v>
      </c>
      <c r="R8" s="12">
        <f t="shared" si="1"/>
        <v>8</v>
      </c>
      <c r="S8" s="13">
        <f t="shared" si="2"/>
        <v>101.39679943749999</v>
      </c>
      <c r="T8" s="14">
        <f t="shared" si="3"/>
        <v>427.37676056250001</v>
      </c>
    </row>
    <row r="9" spans="1:20" x14ac:dyDescent="0.35">
      <c r="A9" s="11" t="s">
        <v>12</v>
      </c>
      <c r="B9" s="11">
        <v>3.5</v>
      </c>
      <c r="C9" s="11">
        <v>15.21</v>
      </c>
      <c r="D9" s="11">
        <v>20.628</v>
      </c>
      <c r="E9" s="11">
        <v>15.436</v>
      </c>
      <c r="F9" s="11">
        <v>20.683</v>
      </c>
      <c r="G9" s="11">
        <f t="shared" si="0"/>
        <v>0.22599999999999909</v>
      </c>
      <c r="H9" s="11">
        <v>0.17100000000000001</v>
      </c>
      <c r="I9" s="11">
        <v>211921444.19999999</v>
      </c>
      <c r="J9" s="11">
        <v>211.9214442</v>
      </c>
      <c r="K9" s="11">
        <v>596</v>
      </c>
      <c r="L9" s="11">
        <v>4758770.0439999998</v>
      </c>
      <c r="M9" s="11">
        <v>1239.306691</v>
      </c>
      <c r="N9" s="11">
        <v>3485.3801170000002</v>
      </c>
      <c r="O9" s="11">
        <v>27829064.59</v>
      </c>
      <c r="P9" s="12">
        <v>1986</v>
      </c>
      <c r="Q9" s="12">
        <v>1978</v>
      </c>
      <c r="R9" s="12">
        <f t="shared" si="1"/>
        <v>8</v>
      </c>
      <c r="S9" s="13">
        <f t="shared" si="2"/>
        <v>77.4566681875</v>
      </c>
      <c r="T9" s="14">
        <f t="shared" si="3"/>
        <v>217.83625731250001</v>
      </c>
    </row>
    <row r="10" spans="1:20" x14ac:dyDescent="0.35">
      <c r="A10" s="11" t="s">
        <v>13</v>
      </c>
      <c r="B10" s="11">
        <v>4</v>
      </c>
      <c r="C10" s="11">
        <v>15.21</v>
      </c>
      <c r="D10" s="11">
        <v>20.628</v>
      </c>
      <c r="E10" s="11">
        <v>15.378</v>
      </c>
      <c r="F10" s="11">
        <v>20.613</v>
      </c>
      <c r="G10" s="11">
        <f t="shared" si="0"/>
        <v>0.16799999999999926</v>
      </c>
      <c r="H10" s="11">
        <v>0.183</v>
      </c>
      <c r="I10" s="11">
        <v>186104317.80000001</v>
      </c>
      <c r="J10" s="11">
        <v>186.10431779999999</v>
      </c>
      <c r="K10" s="11">
        <v>775</v>
      </c>
      <c r="L10" s="11">
        <v>3222844.503</v>
      </c>
      <c r="M10" s="11">
        <v>1016.963485</v>
      </c>
      <c r="N10" s="11">
        <v>4234.9726780000001</v>
      </c>
      <c r="O10" s="11">
        <v>17611172.149999999</v>
      </c>
      <c r="P10" s="12">
        <v>1978</v>
      </c>
      <c r="Q10" s="12">
        <v>1970</v>
      </c>
      <c r="R10" s="12">
        <f t="shared" si="1"/>
        <v>8</v>
      </c>
      <c r="S10" s="13">
        <f t="shared" si="2"/>
        <v>63.560217812499999</v>
      </c>
      <c r="T10" s="14">
        <f t="shared" si="3"/>
        <v>264.68579237500001</v>
      </c>
    </row>
    <row r="11" spans="1:20" x14ac:dyDescent="0.35">
      <c r="A11" s="11" t="s">
        <v>14</v>
      </c>
      <c r="B11" s="11">
        <v>4.5</v>
      </c>
      <c r="C11" s="11">
        <v>15.21</v>
      </c>
      <c r="D11" s="11">
        <v>20.628</v>
      </c>
      <c r="E11" s="11">
        <v>15.406000000000001</v>
      </c>
      <c r="F11" s="11">
        <v>20.702000000000002</v>
      </c>
      <c r="G11" s="11">
        <f t="shared" si="0"/>
        <v>0.19599999999999973</v>
      </c>
      <c r="H11" s="11">
        <v>0.122</v>
      </c>
      <c r="I11" s="11">
        <v>92330578.140000001</v>
      </c>
      <c r="J11" s="11">
        <v>92.33057814</v>
      </c>
      <c r="K11" s="11">
        <v>644</v>
      </c>
      <c r="L11" s="11">
        <v>393556.11900000001</v>
      </c>
      <c r="M11" s="11">
        <v>756.80801750000001</v>
      </c>
      <c r="N11" s="11">
        <v>5278.6885249999996</v>
      </c>
      <c r="O11" s="11">
        <v>3225869.8280000002</v>
      </c>
      <c r="P11" s="12">
        <v>1970</v>
      </c>
      <c r="Q11" s="12">
        <v>1961</v>
      </c>
      <c r="R11" s="12">
        <f t="shared" si="1"/>
        <v>9</v>
      </c>
      <c r="S11" s="13">
        <f t="shared" si="2"/>
        <v>42.044889861111109</v>
      </c>
      <c r="T11" s="14">
        <f t="shared" si="3"/>
        <v>293.26047361111108</v>
      </c>
    </row>
    <row r="12" spans="1:20" x14ac:dyDescent="0.35">
      <c r="A12" s="11" t="s">
        <v>15</v>
      </c>
      <c r="B12" s="11">
        <v>5</v>
      </c>
      <c r="C12" s="11">
        <v>15.21</v>
      </c>
      <c r="D12" s="11">
        <v>20.628</v>
      </c>
      <c r="E12" s="11">
        <v>15.414999999999999</v>
      </c>
      <c r="F12" s="11">
        <v>20.716999999999999</v>
      </c>
      <c r="G12" s="11">
        <f t="shared" si="0"/>
        <v>0.20499999999999829</v>
      </c>
      <c r="H12" s="11">
        <v>0.11600000000000001</v>
      </c>
      <c r="I12" s="11">
        <v>84532953.420000002</v>
      </c>
      <c r="J12" s="11">
        <v>84.532953419999998</v>
      </c>
      <c r="K12" s="11">
        <v>431</v>
      </c>
      <c r="L12" s="11">
        <v>302028.64360000001</v>
      </c>
      <c r="M12" s="11">
        <v>728.73235709999994</v>
      </c>
      <c r="N12" s="11">
        <v>3715.517241</v>
      </c>
      <c r="O12" s="11">
        <v>2603695.2039999999</v>
      </c>
      <c r="P12" s="12">
        <v>1961</v>
      </c>
      <c r="Q12" s="12">
        <v>1953</v>
      </c>
      <c r="R12" s="12">
        <f t="shared" si="1"/>
        <v>8</v>
      </c>
      <c r="S12" s="13">
        <f t="shared" si="2"/>
        <v>45.545772318749997</v>
      </c>
      <c r="T12" s="14">
        <f t="shared" si="3"/>
        <v>232.2198275625</v>
      </c>
    </row>
    <row r="13" spans="1:20" x14ac:dyDescent="0.35">
      <c r="A13" s="11" t="s">
        <v>16</v>
      </c>
      <c r="B13" s="11">
        <v>5.5</v>
      </c>
      <c r="C13" s="11">
        <v>15.21</v>
      </c>
      <c r="D13" s="11">
        <v>20.628</v>
      </c>
      <c r="E13" s="11">
        <v>15.37</v>
      </c>
      <c r="F13" s="11">
        <v>20.701000000000001</v>
      </c>
      <c r="G13" s="11">
        <f t="shared" si="0"/>
        <v>0.15999999999999837</v>
      </c>
      <c r="H13" s="11">
        <v>8.6999999999999994E-2</v>
      </c>
      <c r="I13" s="11">
        <v>17449137.43</v>
      </c>
      <c r="J13" s="11">
        <v>17.44913743</v>
      </c>
      <c r="K13" s="11">
        <v>223</v>
      </c>
      <c r="L13" s="11">
        <v>2656.3903500000001</v>
      </c>
      <c r="M13" s="11">
        <v>200.564798</v>
      </c>
      <c r="N13" s="11">
        <v>2563.2183909999999</v>
      </c>
      <c r="O13" s="11">
        <v>30533.222409999998</v>
      </c>
      <c r="P13" s="12">
        <v>1953</v>
      </c>
      <c r="Q13" s="12">
        <v>1945</v>
      </c>
      <c r="R13" s="12">
        <f t="shared" si="1"/>
        <v>8</v>
      </c>
      <c r="S13" s="13">
        <f t="shared" si="2"/>
        <v>12.535299875</v>
      </c>
      <c r="T13" s="14">
        <f t="shared" si="3"/>
        <v>160.20114943749999</v>
      </c>
    </row>
    <row r="14" spans="1:20" x14ac:dyDescent="0.35">
      <c r="A14" s="11" t="s">
        <v>17</v>
      </c>
      <c r="B14" s="11">
        <v>6</v>
      </c>
      <c r="C14" s="11">
        <v>15.21</v>
      </c>
      <c r="D14" s="11">
        <v>20.628</v>
      </c>
      <c r="E14" s="11">
        <v>15.381</v>
      </c>
      <c r="F14" s="11">
        <v>20.698</v>
      </c>
      <c r="G14" s="11">
        <f t="shared" si="0"/>
        <v>0.17099999999999937</v>
      </c>
      <c r="H14" s="11">
        <v>0.10100000000000001</v>
      </c>
      <c r="I14" s="11">
        <v>47085696.289999999</v>
      </c>
      <c r="J14" s="11">
        <v>47.085696290000001</v>
      </c>
      <c r="K14" s="11">
        <v>285</v>
      </c>
      <c r="L14" s="11">
        <v>52195.972710000002</v>
      </c>
      <c r="M14" s="11">
        <v>466.19501279999997</v>
      </c>
      <c r="N14" s="11">
        <v>2821.7821779999999</v>
      </c>
      <c r="O14" s="11">
        <v>516791.80900000001</v>
      </c>
      <c r="P14" s="12">
        <v>1945</v>
      </c>
      <c r="Q14" s="12">
        <v>1937</v>
      </c>
      <c r="R14" s="12">
        <f t="shared" si="1"/>
        <v>8</v>
      </c>
      <c r="S14" s="13">
        <f t="shared" si="2"/>
        <v>29.137188299999998</v>
      </c>
      <c r="T14" s="14">
        <f t="shared" si="3"/>
        <v>176.361386125</v>
      </c>
    </row>
    <row r="15" spans="1:20" x14ac:dyDescent="0.35">
      <c r="A15" s="11" t="s">
        <v>18</v>
      </c>
      <c r="B15" s="11">
        <v>6.5</v>
      </c>
      <c r="C15" s="11">
        <v>15.21</v>
      </c>
      <c r="D15" s="11">
        <v>20.628</v>
      </c>
      <c r="E15" s="11">
        <v>15.478999999999999</v>
      </c>
      <c r="F15" s="11">
        <v>20.742999999999999</v>
      </c>
      <c r="G15" s="11">
        <f t="shared" si="0"/>
        <v>0.26899999999999835</v>
      </c>
      <c r="H15" s="11">
        <v>0.154</v>
      </c>
      <c r="I15" s="11">
        <v>54880381.57</v>
      </c>
      <c r="J15" s="11">
        <v>54.880381569999997</v>
      </c>
      <c r="K15" s="11">
        <v>533</v>
      </c>
      <c r="L15" s="11">
        <v>82645.910980000001</v>
      </c>
      <c r="M15" s="11">
        <v>356.3661141</v>
      </c>
      <c r="N15" s="11">
        <v>3461.0389610000002</v>
      </c>
      <c r="O15" s="11">
        <v>536661.75959999999</v>
      </c>
      <c r="P15" s="12">
        <v>1937</v>
      </c>
      <c r="Q15" s="12">
        <v>1928</v>
      </c>
      <c r="R15" s="12">
        <f t="shared" si="1"/>
        <v>9</v>
      </c>
      <c r="S15" s="13">
        <f t="shared" si="2"/>
        <v>19.798117449999999</v>
      </c>
      <c r="T15" s="14">
        <f t="shared" si="3"/>
        <v>192.27994227777779</v>
      </c>
    </row>
    <row r="16" spans="1:20" x14ac:dyDescent="0.35">
      <c r="A16" s="11" t="s">
        <v>19</v>
      </c>
      <c r="B16" s="11">
        <v>7</v>
      </c>
      <c r="C16" s="11">
        <v>15.21</v>
      </c>
      <c r="D16" s="11">
        <v>20.628</v>
      </c>
      <c r="E16" s="11">
        <v>15.484</v>
      </c>
      <c r="F16" s="11">
        <v>20.754999999999999</v>
      </c>
      <c r="G16" s="11">
        <f t="shared" si="0"/>
        <v>0.27399999999999913</v>
      </c>
      <c r="H16" s="11">
        <v>0.14699999999999999</v>
      </c>
      <c r="I16" s="11">
        <v>94010810.790000007</v>
      </c>
      <c r="J16" s="11">
        <v>94.010810789999994</v>
      </c>
      <c r="K16" s="11">
        <v>367</v>
      </c>
      <c r="L16" s="11">
        <v>415435.3027</v>
      </c>
      <c r="M16" s="11">
        <v>639.52932510000005</v>
      </c>
      <c r="N16" s="11">
        <v>2496.5986389999998</v>
      </c>
      <c r="O16" s="11">
        <v>2826090.4939999999</v>
      </c>
      <c r="P16" s="12">
        <v>1928</v>
      </c>
      <c r="Q16" s="12">
        <v>1920</v>
      </c>
      <c r="R16" s="12">
        <f t="shared" si="1"/>
        <v>8</v>
      </c>
      <c r="S16" s="13">
        <f t="shared" si="2"/>
        <v>39.970582818750003</v>
      </c>
      <c r="T16" s="14">
        <f t="shared" si="3"/>
        <v>156.03741493749999</v>
      </c>
    </row>
    <row r="17" spans="1:20" x14ac:dyDescent="0.35">
      <c r="A17" s="11" t="s">
        <v>20</v>
      </c>
      <c r="B17" s="11">
        <v>7.5</v>
      </c>
      <c r="C17" s="11">
        <v>15.21</v>
      </c>
      <c r="D17" s="11">
        <v>20.628</v>
      </c>
      <c r="E17" s="11">
        <v>15.637</v>
      </c>
      <c r="F17" s="11">
        <v>20.847000000000001</v>
      </c>
      <c r="G17" s="11">
        <f t="shared" si="0"/>
        <v>0.4269999999999996</v>
      </c>
      <c r="H17" s="11">
        <v>0.20799999999999999</v>
      </c>
      <c r="I17" s="11">
        <v>102157572.40000001</v>
      </c>
      <c r="J17" s="11">
        <v>102.15757240000001</v>
      </c>
      <c r="K17" s="11">
        <v>741</v>
      </c>
      <c r="L17" s="11">
        <v>533066.87569999998</v>
      </c>
      <c r="M17" s="11">
        <v>491.14217500000001</v>
      </c>
      <c r="N17" s="11">
        <v>3562.5</v>
      </c>
      <c r="O17" s="11">
        <v>2562821.5180000002</v>
      </c>
      <c r="P17" s="12">
        <v>1920</v>
      </c>
      <c r="Q17" s="12">
        <v>1913</v>
      </c>
      <c r="R17" s="12">
        <f t="shared" si="1"/>
        <v>7</v>
      </c>
      <c r="S17" s="13">
        <f t="shared" si="2"/>
        <v>35.081583928571426</v>
      </c>
      <c r="T17" s="14">
        <f t="shared" si="3"/>
        <v>254.46428571428572</v>
      </c>
    </row>
    <row r="18" spans="1:20" x14ac:dyDescent="0.35">
      <c r="A18" s="11" t="s">
        <v>21</v>
      </c>
      <c r="B18" s="11">
        <v>8</v>
      </c>
      <c r="C18" s="11">
        <v>15.21</v>
      </c>
      <c r="D18" s="11">
        <v>20.628</v>
      </c>
      <c r="E18" s="11">
        <v>15.481999999999999</v>
      </c>
      <c r="F18" s="11">
        <v>20.78</v>
      </c>
      <c r="G18" s="11">
        <f t="shared" si="0"/>
        <v>0.27199999999999847</v>
      </c>
      <c r="H18" s="11">
        <v>0.12</v>
      </c>
      <c r="I18" s="11">
        <v>90657439.459999993</v>
      </c>
      <c r="J18" s="11">
        <v>90.657439460000006</v>
      </c>
      <c r="K18" s="11">
        <v>443</v>
      </c>
      <c r="L18" s="11">
        <v>372546.38209999999</v>
      </c>
      <c r="M18" s="11">
        <v>755.47866220000003</v>
      </c>
      <c r="N18" s="11">
        <v>3691.666667</v>
      </c>
      <c r="O18" s="11">
        <v>3104553.1839999999</v>
      </c>
      <c r="P18" s="12">
        <v>1913</v>
      </c>
      <c r="Q18" s="12">
        <v>1906</v>
      </c>
      <c r="R18" s="12">
        <f t="shared" si="1"/>
        <v>7</v>
      </c>
      <c r="S18" s="13">
        <f t="shared" si="2"/>
        <v>53.96276158571429</v>
      </c>
      <c r="T18" s="14">
        <f t="shared" si="3"/>
        <v>263.6904762142857</v>
      </c>
    </row>
    <row r="19" spans="1:20" x14ac:dyDescent="0.35">
      <c r="A19" s="11" t="s">
        <v>22</v>
      </c>
      <c r="B19" s="11">
        <v>8.5</v>
      </c>
      <c r="C19" s="11">
        <v>15.21</v>
      </c>
      <c r="D19" s="11">
        <v>20.628</v>
      </c>
      <c r="E19" s="11">
        <v>15.587999999999999</v>
      </c>
      <c r="F19" s="11">
        <v>20.838000000000001</v>
      </c>
      <c r="G19" s="11">
        <f t="shared" si="0"/>
        <v>0.37799999999999834</v>
      </c>
      <c r="H19" s="11">
        <v>0.16800000000000001</v>
      </c>
      <c r="I19" s="11">
        <v>33860531.619999997</v>
      </c>
      <c r="J19" s="11">
        <v>33.860531620000003</v>
      </c>
      <c r="K19" s="11">
        <v>193</v>
      </c>
      <c r="L19" s="11">
        <v>19411.1525</v>
      </c>
      <c r="M19" s="11">
        <v>201.55078349999999</v>
      </c>
      <c r="N19" s="11">
        <v>1148.809524</v>
      </c>
      <c r="O19" s="11">
        <v>115542.5744</v>
      </c>
      <c r="P19" s="12">
        <v>1906</v>
      </c>
      <c r="Q19" s="12">
        <v>1900</v>
      </c>
      <c r="R19" s="12">
        <f t="shared" si="1"/>
        <v>6</v>
      </c>
      <c r="S19" s="13">
        <f t="shared" si="2"/>
        <v>16.795898625</v>
      </c>
      <c r="T19" s="14">
        <f t="shared" si="3"/>
        <v>95.734127000000001</v>
      </c>
    </row>
    <row r="20" spans="1:20" x14ac:dyDescent="0.35">
      <c r="A20" s="11" t="s">
        <v>23</v>
      </c>
      <c r="B20" s="11">
        <v>9</v>
      </c>
      <c r="C20" s="11">
        <v>15.21</v>
      </c>
      <c r="D20" s="11">
        <v>20.628</v>
      </c>
      <c r="E20" s="11">
        <v>15.59</v>
      </c>
      <c r="F20" s="11">
        <v>20.832000000000001</v>
      </c>
      <c r="G20" s="11">
        <f t="shared" si="0"/>
        <v>0.37999999999999901</v>
      </c>
      <c r="H20" s="11">
        <v>0.17599999999999999</v>
      </c>
      <c r="I20" s="11">
        <v>62295427.479999997</v>
      </c>
      <c r="J20" s="11">
        <v>62.295427480000001</v>
      </c>
      <c r="K20" s="11">
        <v>424</v>
      </c>
      <c r="L20" s="11">
        <v>120875.56449999999</v>
      </c>
      <c r="M20" s="11">
        <v>353.95129250000002</v>
      </c>
      <c r="N20" s="11">
        <v>2409.090909</v>
      </c>
      <c r="O20" s="11">
        <v>686792.98030000005</v>
      </c>
      <c r="P20" s="12">
        <v>1900</v>
      </c>
      <c r="Q20" s="12">
        <v>1893</v>
      </c>
      <c r="R20" s="12">
        <f t="shared" si="1"/>
        <v>7</v>
      </c>
      <c r="S20" s="13">
        <f t="shared" si="2"/>
        <v>25.28223517857143</v>
      </c>
      <c r="T20" s="14">
        <f t="shared" si="3"/>
        <v>172.07792207142856</v>
      </c>
    </row>
    <row r="21" spans="1:20" x14ac:dyDescent="0.35">
      <c r="A21" s="11" t="s">
        <v>24</v>
      </c>
      <c r="B21" s="11">
        <v>9.5</v>
      </c>
      <c r="C21" s="11">
        <v>15.21</v>
      </c>
      <c r="D21" s="11">
        <v>20.628</v>
      </c>
      <c r="E21" s="11">
        <v>15.494</v>
      </c>
      <c r="F21" s="11">
        <v>20.776</v>
      </c>
      <c r="G21" s="11">
        <f t="shared" si="0"/>
        <v>0.28399999999999892</v>
      </c>
      <c r="H21" s="11">
        <v>0.13600000000000001</v>
      </c>
      <c r="I21" s="11">
        <v>47514965.329999998</v>
      </c>
      <c r="J21" s="11">
        <v>47.514965330000003</v>
      </c>
      <c r="K21" s="11">
        <v>542</v>
      </c>
      <c r="L21" s="11">
        <v>53636.601750000002</v>
      </c>
      <c r="M21" s="11">
        <v>349.37474509999998</v>
      </c>
      <c r="N21" s="11">
        <v>3985.2941179999998</v>
      </c>
      <c r="O21" s="11">
        <v>394386.77759999997</v>
      </c>
      <c r="P21" s="12">
        <v>1893</v>
      </c>
      <c r="Q21" s="12">
        <v>1886</v>
      </c>
      <c r="R21" s="12">
        <f t="shared" si="1"/>
        <v>7</v>
      </c>
      <c r="S21" s="13">
        <f t="shared" si="2"/>
        <v>24.955338935714284</v>
      </c>
      <c r="T21" s="14">
        <f t="shared" si="3"/>
        <v>284.66386557142857</v>
      </c>
    </row>
    <row r="22" spans="1:20" x14ac:dyDescent="0.35">
      <c r="A22" s="11" t="s">
        <v>25</v>
      </c>
      <c r="B22" s="11">
        <v>10</v>
      </c>
      <c r="C22" s="11">
        <v>15.21</v>
      </c>
      <c r="D22" s="11">
        <v>20.628</v>
      </c>
      <c r="E22" s="11">
        <v>15.585000000000001</v>
      </c>
      <c r="F22" s="11">
        <v>20.824999999999999</v>
      </c>
      <c r="G22" s="11">
        <f t="shared" si="0"/>
        <v>0.375</v>
      </c>
      <c r="H22" s="11">
        <v>0.17799999999999999</v>
      </c>
      <c r="I22" s="11">
        <v>69642575.959999993</v>
      </c>
      <c r="J22" s="11">
        <v>69.642575960000002</v>
      </c>
      <c r="K22" s="11">
        <v>510</v>
      </c>
      <c r="L22" s="11">
        <v>168886.32440000001</v>
      </c>
      <c r="M22" s="11">
        <v>391.25042669999999</v>
      </c>
      <c r="N22" s="11">
        <v>2865.1685389999998</v>
      </c>
      <c r="O22" s="11">
        <v>948799.57539999997</v>
      </c>
      <c r="P22" s="12">
        <v>1886</v>
      </c>
      <c r="Q22" s="12">
        <v>1878</v>
      </c>
      <c r="R22" s="12">
        <f t="shared" si="1"/>
        <v>8</v>
      </c>
      <c r="S22" s="13">
        <f t="shared" si="2"/>
        <v>24.453151668749999</v>
      </c>
      <c r="T22" s="14">
        <f t="shared" si="3"/>
        <v>179.07303368749999</v>
      </c>
    </row>
    <row r="23" spans="1:20" x14ac:dyDescent="0.35">
      <c r="A23" s="11" t="s">
        <v>26</v>
      </c>
      <c r="B23" s="11">
        <v>10.5</v>
      </c>
      <c r="C23" s="11">
        <v>15.21</v>
      </c>
      <c r="D23" s="11">
        <v>20.628</v>
      </c>
      <c r="E23" s="11">
        <v>15.585000000000001</v>
      </c>
      <c r="F23" s="11">
        <v>20.84</v>
      </c>
      <c r="G23" s="11">
        <f t="shared" si="0"/>
        <v>0.375</v>
      </c>
      <c r="H23" s="11">
        <v>0.16300000000000001</v>
      </c>
      <c r="I23" s="11">
        <v>62724480.149999999</v>
      </c>
      <c r="J23" s="11">
        <v>62.724480149999998</v>
      </c>
      <c r="K23" s="11">
        <v>358</v>
      </c>
      <c r="L23" s="11">
        <v>123390.3557</v>
      </c>
      <c r="M23" s="11">
        <v>384.81276170000001</v>
      </c>
      <c r="N23" s="11">
        <v>2196.3190180000001</v>
      </c>
      <c r="O23" s="11">
        <v>756996.04740000004</v>
      </c>
      <c r="P23" s="12">
        <v>1878</v>
      </c>
      <c r="Q23" s="12">
        <v>1870</v>
      </c>
      <c r="R23" s="12">
        <f t="shared" si="1"/>
        <v>8</v>
      </c>
      <c r="S23" s="13">
        <f t="shared" si="2"/>
        <v>24.050797606250001</v>
      </c>
      <c r="T23" s="14">
        <f t="shared" si="3"/>
        <v>137.26993862500001</v>
      </c>
    </row>
    <row r="24" spans="1:20" x14ac:dyDescent="0.35">
      <c r="A24" s="11" t="s">
        <v>27</v>
      </c>
      <c r="B24" s="11">
        <v>11</v>
      </c>
      <c r="C24" s="11">
        <v>15.21</v>
      </c>
      <c r="D24" s="11">
        <v>20.628</v>
      </c>
      <c r="E24" s="11">
        <v>15.582000000000001</v>
      </c>
      <c r="F24" s="11">
        <v>20.846</v>
      </c>
      <c r="G24" s="11">
        <f t="shared" si="0"/>
        <v>0.37199999999999989</v>
      </c>
      <c r="H24" s="11">
        <v>0.154</v>
      </c>
      <c r="I24" s="11">
        <v>20744066.359999999</v>
      </c>
      <c r="J24" s="11">
        <v>20.744066360000001</v>
      </c>
      <c r="K24" s="11">
        <v>216</v>
      </c>
      <c r="L24" s="11">
        <v>4463.2548290000004</v>
      </c>
      <c r="M24" s="11">
        <v>134.70172959999999</v>
      </c>
      <c r="N24" s="11">
        <v>1402.597403</v>
      </c>
      <c r="O24" s="11">
        <v>28982.174210000001</v>
      </c>
      <c r="P24" s="12">
        <v>1870</v>
      </c>
      <c r="Q24" s="12">
        <v>1862</v>
      </c>
      <c r="R24" s="12">
        <f t="shared" si="1"/>
        <v>8</v>
      </c>
      <c r="S24" s="13">
        <f t="shared" si="2"/>
        <v>8.4188580999999996</v>
      </c>
      <c r="T24" s="14">
        <f t="shared" si="3"/>
        <v>87.662337687499999</v>
      </c>
    </row>
    <row r="25" spans="1:20" x14ac:dyDescent="0.35">
      <c r="A25" s="11" t="s">
        <v>28</v>
      </c>
      <c r="B25" s="11">
        <v>11.5</v>
      </c>
      <c r="C25" s="11">
        <v>15.21</v>
      </c>
      <c r="D25" s="11">
        <v>20.628</v>
      </c>
      <c r="E25" s="11">
        <v>15.680999999999999</v>
      </c>
      <c r="F25" s="11">
        <v>20.896000000000001</v>
      </c>
      <c r="G25" s="11">
        <f t="shared" si="0"/>
        <v>0.47099999999999831</v>
      </c>
      <c r="H25" s="11">
        <v>0.20300000000000001</v>
      </c>
      <c r="I25" s="11">
        <v>25068691.27</v>
      </c>
      <c r="J25" s="11">
        <v>25.068691269999999</v>
      </c>
      <c r="K25" s="11">
        <v>298</v>
      </c>
      <c r="L25" s="11">
        <v>7877.0751710000004</v>
      </c>
      <c r="M25" s="11">
        <v>123.49109</v>
      </c>
      <c r="N25" s="11">
        <v>1467.980296</v>
      </c>
      <c r="O25" s="11">
        <v>38803.325969999998</v>
      </c>
      <c r="P25" s="12">
        <v>1862</v>
      </c>
      <c r="Q25" s="12">
        <v>1854</v>
      </c>
      <c r="R25" s="12">
        <f t="shared" si="1"/>
        <v>8</v>
      </c>
      <c r="S25" s="13">
        <f t="shared" si="2"/>
        <v>7.718193125</v>
      </c>
      <c r="T25" s="14">
        <f t="shared" si="3"/>
        <v>91.748768499999997</v>
      </c>
    </row>
    <row r="26" spans="1:2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0BC4-3BE0-4C1C-AAE6-992945B7ADF6}">
  <dimension ref="A1:T25"/>
  <sheetViews>
    <sheetView topLeftCell="L1" workbookViewId="0">
      <selection activeCell="A2" sqref="A2:T25"/>
    </sheetView>
  </sheetViews>
  <sheetFormatPr defaultRowHeight="14.5" x14ac:dyDescent="0.35"/>
  <cols>
    <col min="3" max="3" width="20.7265625" customWidth="1"/>
    <col min="4" max="4" width="18.26953125" customWidth="1"/>
    <col min="5" max="5" width="20.6328125" customWidth="1"/>
    <col min="6" max="6" width="16.36328125" customWidth="1"/>
    <col min="8" max="8" width="15.6328125" customWidth="1"/>
    <col min="9" max="9" width="16.54296875" customWidth="1"/>
    <col min="10" max="10" width="17.453125" customWidth="1"/>
    <col min="11" max="11" width="13.81640625" customWidth="1"/>
    <col min="12" max="12" width="15" customWidth="1"/>
    <col min="13" max="13" width="24.26953125" customWidth="1"/>
    <col min="14" max="14" width="25.26953125" customWidth="1"/>
    <col min="15" max="15" width="25.453125" customWidth="1"/>
    <col min="16" max="16" width="15.54296875" customWidth="1"/>
    <col min="17" max="17" width="14.7265625" customWidth="1"/>
    <col min="18" max="18" width="21.08984375" customWidth="1"/>
    <col min="19" max="19" width="22" customWidth="1"/>
    <col min="20" max="20" width="14.1796875" customWidth="1"/>
  </cols>
  <sheetData>
    <row r="1" spans="1:20" s="2" customFormat="1" ht="80.5" customHeight="1" x14ac:dyDescent="0.35">
      <c r="A1" s="8" t="s">
        <v>0</v>
      </c>
      <c r="B1" s="8" t="s">
        <v>1</v>
      </c>
      <c r="C1" s="8" t="s">
        <v>29</v>
      </c>
      <c r="D1" s="8" t="s">
        <v>30</v>
      </c>
      <c r="E1" s="8" t="s">
        <v>2</v>
      </c>
      <c r="F1" s="8" t="s">
        <v>3</v>
      </c>
      <c r="G1" s="8" t="s">
        <v>39</v>
      </c>
      <c r="H1" s="8" t="s">
        <v>4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41</v>
      </c>
      <c r="O1" s="8" t="s">
        <v>42</v>
      </c>
      <c r="P1" s="9" t="s">
        <v>36</v>
      </c>
      <c r="Q1" s="9" t="s">
        <v>37</v>
      </c>
      <c r="R1" s="8" t="s">
        <v>38</v>
      </c>
      <c r="S1" s="9" t="s">
        <v>43</v>
      </c>
      <c r="T1" s="9" t="s">
        <v>40</v>
      </c>
    </row>
    <row r="2" spans="1:20" ht="15.5" x14ac:dyDescent="0.35">
      <c r="A2" s="11" t="s">
        <v>5</v>
      </c>
      <c r="B2" s="11">
        <v>0</v>
      </c>
      <c r="C2" s="11">
        <v>15.21</v>
      </c>
      <c r="D2" s="11">
        <v>20.638000000000002</v>
      </c>
      <c r="E2" s="11">
        <v>15.298</v>
      </c>
      <c r="F2" s="11">
        <v>20.611000000000001</v>
      </c>
      <c r="G2" s="12">
        <f>E2-C2</f>
        <v>8.799999999999919E-2</v>
      </c>
      <c r="H2" s="11">
        <v>0.115</v>
      </c>
      <c r="I2" s="11">
        <v>31778846.199999999</v>
      </c>
      <c r="J2" s="11">
        <v>31.7788462</v>
      </c>
      <c r="K2" s="11">
        <v>345</v>
      </c>
      <c r="L2" s="11">
        <v>16046.64999</v>
      </c>
      <c r="M2" s="11">
        <v>276.33779299999998</v>
      </c>
      <c r="N2" s="11">
        <v>3000</v>
      </c>
      <c r="O2" s="11">
        <v>139536.08679999999</v>
      </c>
      <c r="P2" s="12">
        <v>2021</v>
      </c>
      <c r="Q2" s="12">
        <v>2020</v>
      </c>
      <c r="R2" s="12">
        <f>P2-Q2</f>
        <v>1</v>
      </c>
      <c r="S2" s="12">
        <f>(M2/R2)*0.5</f>
        <v>138.16889649999999</v>
      </c>
      <c r="T2" s="12">
        <f>(N2/R2)*0.5</f>
        <v>1500</v>
      </c>
    </row>
    <row r="3" spans="1:20" ht="15.5" x14ac:dyDescent="0.35">
      <c r="A3" s="11" t="s">
        <v>6</v>
      </c>
      <c r="B3" s="11">
        <v>0.5</v>
      </c>
      <c r="C3" s="11">
        <v>15.21</v>
      </c>
      <c r="D3" s="11">
        <v>20.638000000000002</v>
      </c>
      <c r="E3" s="11">
        <v>15.384</v>
      </c>
      <c r="F3" s="11">
        <v>20.559000000000001</v>
      </c>
      <c r="G3" s="12">
        <f t="shared" ref="G3:G25" si="0">E3-C3</f>
        <v>0.17399999999999949</v>
      </c>
      <c r="H3" s="11">
        <v>0.253</v>
      </c>
      <c r="I3" s="11">
        <v>57819431</v>
      </c>
      <c r="J3" s="11">
        <v>57.819431000000002</v>
      </c>
      <c r="K3" s="11">
        <v>1525</v>
      </c>
      <c r="L3" s="11">
        <v>96647.682530000005</v>
      </c>
      <c r="M3" s="11">
        <v>228.53530040000001</v>
      </c>
      <c r="N3" s="11">
        <v>6027.6679839999997</v>
      </c>
      <c r="O3" s="11">
        <v>382006.65029999998</v>
      </c>
      <c r="P3" s="12">
        <v>2020</v>
      </c>
      <c r="Q3" s="12">
        <v>2019</v>
      </c>
      <c r="R3" s="12">
        <f t="shared" ref="R3:R25" si="1">P3-Q3</f>
        <v>1</v>
      </c>
      <c r="S3" s="12">
        <f t="shared" ref="S3:S25" si="2">(M3/R3)*0.5</f>
        <v>114.26765020000001</v>
      </c>
      <c r="T3" s="12">
        <f t="shared" ref="T3:T25" si="3">(N3/R3)*0.5</f>
        <v>3013.8339919999999</v>
      </c>
    </row>
    <row r="4" spans="1:20" ht="15.5" x14ac:dyDescent="0.35">
      <c r="A4" s="11" t="s">
        <v>7</v>
      </c>
      <c r="B4" s="11">
        <v>1</v>
      </c>
      <c r="C4" s="11">
        <v>15.21</v>
      </c>
      <c r="D4" s="11">
        <v>20.638000000000002</v>
      </c>
      <c r="E4" s="11">
        <v>15.337999999999999</v>
      </c>
      <c r="F4" s="11">
        <v>20.588000000000001</v>
      </c>
      <c r="G4" s="12">
        <f t="shared" si="0"/>
        <v>0.12799999999999834</v>
      </c>
      <c r="H4" s="11">
        <v>0.17799999999999999</v>
      </c>
      <c r="I4" s="11">
        <v>40056285.200000003</v>
      </c>
      <c r="J4" s="11">
        <v>40.056285199999998</v>
      </c>
      <c r="K4" s="11">
        <v>147</v>
      </c>
      <c r="L4" s="11">
        <v>32135.274649999999</v>
      </c>
      <c r="M4" s="11">
        <v>225.0353101</v>
      </c>
      <c r="N4" s="11">
        <v>825.84269659999995</v>
      </c>
      <c r="O4" s="11">
        <v>180535.25080000001</v>
      </c>
      <c r="P4" s="12">
        <v>2019</v>
      </c>
      <c r="Q4" s="12">
        <v>2019</v>
      </c>
      <c r="R4" s="12">
        <f t="shared" si="1"/>
        <v>0</v>
      </c>
      <c r="S4" s="12">
        <v>0</v>
      </c>
      <c r="T4" s="12">
        <v>0</v>
      </c>
    </row>
    <row r="5" spans="1:20" ht="15.5" x14ac:dyDescent="0.35">
      <c r="A5" s="11" t="s">
        <v>8</v>
      </c>
      <c r="B5" s="11">
        <v>1.5</v>
      </c>
      <c r="C5" s="11">
        <v>15.21</v>
      </c>
      <c r="D5" s="11">
        <v>20.638000000000002</v>
      </c>
      <c r="E5" s="11">
        <v>15.401</v>
      </c>
      <c r="F5" s="11">
        <v>20.463000000000001</v>
      </c>
      <c r="G5" s="12">
        <f t="shared" si="0"/>
        <v>0.19099999999999895</v>
      </c>
      <c r="H5" s="11">
        <v>0.36599999999999999</v>
      </c>
      <c r="I5" s="11">
        <v>98076832.900000006</v>
      </c>
      <c r="J5" s="11">
        <v>98.076832899999999</v>
      </c>
      <c r="K5" s="11">
        <v>618</v>
      </c>
      <c r="L5" s="11">
        <v>471703.72279999999</v>
      </c>
      <c r="M5" s="11">
        <v>267.96948880000002</v>
      </c>
      <c r="N5" s="11">
        <v>1688.52459</v>
      </c>
      <c r="O5" s="11">
        <v>1288807.986</v>
      </c>
      <c r="P5" s="12">
        <v>2019</v>
      </c>
      <c r="Q5" s="12">
        <v>2018</v>
      </c>
      <c r="R5" s="12">
        <f t="shared" si="1"/>
        <v>1</v>
      </c>
      <c r="S5" s="12">
        <f t="shared" si="2"/>
        <v>133.98474440000001</v>
      </c>
      <c r="T5" s="12">
        <f t="shared" si="3"/>
        <v>844.26229499999999</v>
      </c>
    </row>
    <row r="6" spans="1:20" ht="15.5" x14ac:dyDescent="0.35">
      <c r="A6" s="11" t="s">
        <v>9</v>
      </c>
      <c r="B6" s="11">
        <v>2</v>
      </c>
      <c r="C6" s="11">
        <v>15.209</v>
      </c>
      <c r="D6" s="11">
        <v>20.637</v>
      </c>
      <c r="E6" s="11">
        <v>15.305</v>
      </c>
      <c r="F6" s="11">
        <v>20.579000000000001</v>
      </c>
      <c r="G6" s="12">
        <f t="shared" si="0"/>
        <v>9.6000000000000085E-2</v>
      </c>
      <c r="H6" s="11">
        <v>0.154</v>
      </c>
      <c r="I6" s="11">
        <v>308979571</v>
      </c>
      <c r="J6" s="11">
        <v>308.97957100000002</v>
      </c>
      <c r="K6" s="11">
        <v>1475</v>
      </c>
      <c r="L6" s="11">
        <v>14748888.82</v>
      </c>
      <c r="M6" s="11">
        <v>2006.3608509999999</v>
      </c>
      <c r="N6" s="11">
        <v>9577.9220779999996</v>
      </c>
      <c r="O6" s="11">
        <v>95772005.329999998</v>
      </c>
      <c r="P6" s="12">
        <v>2018</v>
      </c>
      <c r="Q6" s="12">
        <v>2018</v>
      </c>
      <c r="R6" s="12">
        <f t="shared" si="1"/>
        <v>0</v>
      </c>
      <c r="S6" s="12">
        <v>0</v>
      </c>
      <c r="T6" s="12">
        <v>0</v>
      </c>
    </row>
    <row r="7" spans="1:20" ht="15.5" x14ac:dyDescent="0.35">
      <c r="A7" s="11" t="s">
        <v>10</v>
      </c>
      <c r="B7" s="11">
        <v>2.5</v>
      </c>
      <c r="C7" s="11">
        <v>15.21</v>
      </c>
      <c r="D7" s="11">
        <v>20.638000000000002</v>
      </c>
      <c r="E7" s="11">
        <v>15.37</v>
      </c>
      <c r="F7" s="11">
        <v>20.481000000000002</v>
      </c>
      <c r="G7" s="12">
        <f t="shared" si="0"/>
        <v>0.15999999999999837</v>
      </c>
      <c r="H7" s="11">
        <v>0.317</v>
      </c>
      <c r="I7" s="11">
        <v>442777971</v>
      </c>
      <c r="J7" s="11">
        <v>442.77797099999998</v>
      </c>
      <c r="K7" s="11">
        <v>1865</v>
      </c>
      <c r="L7" s="11">
        <v>43403826.799999997</v>
      </c>
      <c r="M7" s="11">
        <v>1396.775934</v>
      </c>
      <c r="N7" s="11">
        <v>5883.2807570000004</v>
      </c>
      <c r="O7" s="11">
        <v>136920589.30000001</v>
      </c>
      <c r="P7" s="12">
        <v>2018</v>
      </c>
      <c r="Q7" s="12">
        <v>2008</v>
      </c>
      <c r="R7" s="12">
        <f t="shared" si="1"/>
        <v>10</v>
      </c>
      <c r="S7" s="12">
        <f t="shared" si="2"/>
        <v>69.838796700000003</v>
      </c>
      <c r="T7" s="12">
        <f t="shared" si="3"/>
        <v>294.16403785</v>
      </c>
    </row>
    <row r="8" spans="1:20" ht="15.5" x14ac:dyDescent="0.35">
      <c r="A8" s="11" t="s">
        <v>11</v>
      </c>
      <c r="B8" s="11">
        <v>3</v>
      </c>
      <c r="C8" s="11">
        <v>15.209</v>
      </c>
      <c r="D8" s="11">
        <v>20.637</v>
      </c>
      <c r="E8" s="11">
        <v>15.420999999999999</v>
      </c>
      <c r="F8" s="11">
        <v>20.366</v>
      </c>
      <c r="G8" s="12">
        <f t="shared" si="0"/>
        <v>0.21199999999999974</v>
      </c>
      <c r="H8" s="11">
        <v>0.48299999999999998</v>
      </c>
      <c r="I8" s="11">
        <v>249457083</v>
      </c>
      <c r="J8" s="11">
        <v>249.45708300000001</v>
      </c>
      <c r="K8" s="11">
        <v>970</v>
      </c>
      <c r="L8" s="11">
        <v>7761711.9859999996</v>
      </c>
      <c r="M8" s="11">
        <v>516.47429190000003</v>
      </c>
      <c r="N8" s="11">
        <v>2008.281573</v>
      </c>
      <c r="O8" s="11">
        <v>16069797.07</v>
      </c>
      <c r="P8" s="12">
        <v>2008</v>
      </c>
      <c r="Q8" s="12">
        <v>1998</v>
      </c>
      <c r="R8" s="12">
        <f t="shared" si="1"/>
        <v>10</v>
      </c>
      <c r="S8" s="12">
        <f t="shared" si="2"/>
        <v>25.823714595000002</v>
      </c>
      <c r="T8" s="12">
        <f t="shared" si="3"/>
        <v>100.41407864999999</v>
      </c>
    </row>
    <row r="9" spans="1:20" ht="15.5" x14ac:dyDescent="0.35">
      <c r="A9" s="11" t="s">
        <v>12</v>
      </c>
      <c r="B9" s="11">
        <v>3.5</v>
      </c>
      <c r="C9" s="11">
        <v>15.21</v>
      </c>
      <c r="D9" s="11">
        <v>20.638000000000002</v>
      </c>
      <c r="E9" s="11">
        <v>15.318</v>
      </c>
      <c r="F9" s="11">
        <v>20.484000000000002</v>
      </c>
      <c r="G9" s="12">
        <f t="shared" si="0"/>
        <v>0.10799999999999876</v>
      </c>
      <c r="H9" s="11">
        <v>0.26200000000000001</v>
      </c>
      <c r="I9" s="11">
        <v>211638133</v>
      </c>
      <c r="J9" s="11">
        <v>211.63813300000001</v>
      </c>
      <c r="K9" s="11">
        <v>619</v>
      </c>
      <c r="L9" s="11">
        <v>4739709.9919999996</v>
      </c>
      <c r="M9" s="11">
        <v>807.77913360000002</v>
      </c>
      <c r="N9" s="11">
        <v>2362.5954200000001</v>
      </c>
      <c r="O9" s="11">
        <v>18090496.149999999</v>
      </c>
      <c r="P9" s="12">
        <v>1998</v>
      </c>
      <c r="Q9" s="12">
        <v>1989</v>
      </c>
      <c r="R9" s="12">
        <f t="shared" si="1"/>
        <v>9</v>
      </c>
      <c r="S9" s="12">
        <f t="shared" si="2"/>
        <v>44.876618533333335</v>
      </c>
      <c r="T9" s="12">
        <f t="shared" si="3"/>
        <v>131.25530111111112</v>
      </c>
    </row>
    <row r="10" spans="1:20" ht="15.5" x14ac:dyDescent="0.35">
      <c r="A10" s="11" t="s">
        <v>13</v>
      </c>
      <c r="B10" s="11">
        <v>4</v>
      </c>
      <c r="C10" s="11">
        <v>15.21</v>
      </c>
      <c r="D10" s="11">
        <v>20.638000000000002</v>
      </c>
      <c r="E10" s="11">
        <v>15.324999999999999</v>
      </c>
      <c r="F10" s="11">
        <v>20.603999999999999</v>
      </c>
      <c r="G10" s="12">
        <f t="shared" si="0"/>
        <v>0.11499999999999844</v>
      </c>
      <c r="H10" s="11">
        <v>0.14899999999999999</v>
      </c>
      <c r="I10" s="11">
        <v>180783510</v>
      </c>
      <c r="J10" s="11">
        <v>180.78351000000001</v>
      </c>
      <c r="K10" s="11">
        <v>758</v>
      </c>
      <c r="L10" s="11">
        <v>2954244.5759999999</v>
      </c>
      <c r="M10" s="11">
        <v>1213.312148</v>
      </c>
      <c r="N10" s="11">
        <v>5087.2483220000004</v>
      </c>
      <c r="O10" s="11">
        <v>19827144.809999999</v>
      </c>
      <c r="P10" s="12">
        <v>1989</v>
      </c>
      <c r="Q10" s="12">
        <v>1979</v>
      </c>
      <c r="R10" s="12">
        <f t="shared" si="1"/>
        <v>10</v>
      </c>
      <c r="S10" s="12">
        <f t="shared" si="2"/>
        <v>60.665607399999999</v>
      </c>
      <c r="T10" s="12">
        <f t="shared" si="3"/>
        <v>254.36241610000002</v>
      </c>
    </row>
    <row r="11" spans="1:20" ht="15.5" x14ac:dyDescent="0.35">
      <c r="A11" s="11" t="s">
        <v>14</v>
      </c>
      <c r="B11" s="11">
        <v>4.5</v>
      </c>
      <c r="C11" s="11">
        <v>15.21</v>
      </c>
      <c r="D11" s="11">
        <v>20.641999999999999</v>
      </c>
      <c r="E11" s="11">
        <v>15.368</v>
      </c>
      <c r="F11" s="11">
        <v>20.475000000000001</v>
      </c>
      <c r="G11" s="12">
        <f t="shared" si="0"/>
        <v>0.15799999999999947</v>
      </c>
      <c r="H11" s="11">
        <v>0.32500000000000001</v>
      </c>
      <c r="I11" s="11">
        <v>37978172</v>
      </c>
      <c r="J11" s="11">
        <v>37.978172000000001</v>
      </c>
      <c r="K11" s="11">
        <v>507</v>
      </c>
      <c r="L11" s="11">
        <v>27388.74771</v>
      </c>
      <c r="M11" s="11">
        <v>116.8559138</v>
      </c>
      <c r="N11" s="11">
        <v>1560</v>
      </c>
      <c r="O11" s="11">
        <v>84273.069860000003</v>
      </c>
      <c r="P11" s="12">
        <v>1979</v>
      </c>
      <c r="Q11" s="12">
        <v>1970</v>
      </c>
      <c r="R11" s="12">
        <f t="shared" si="1"/>
        <v>9</v>
      </c>
      <c r="S11" s="12">
        <f t="shared" si="2"/>
        <v>6.491995211111111</v>
      </c>
      <c r="T11" s="12">
        <f t="shared" si="3"/>
        <v>86.666666666666671</v>
      </c>
    </row>
    <row r="12" spans="1:20" ht="15.5" x14ac:dyDescent="0.35">
      <c r="A12" s="11" t="s">
        <v>15</v>
      </c>
      <c r="B12" s="11">
        <v>5</v>
      </c>
      <c r="C12" s="11">
        <v>15.21</v>
      </c>
      <c r="D12" s="11">
        <v>20.638000000000002</v>
      </c>
      <c r="E12" s="11">
        <v>15.413</v>
      </c>
      <c r="F12" s="11">
        <v>20.553999999999998</v>
      </c>
      <c r="G12" s="12">
        <f t="shared" si="0"/>
        <v>0.2029999999999994</v>
      </c>
      <c r="H12" s="11">
        <v>0.28699999999999998</v>
      </c>
      <c r="I12" s="11">
        <v>24080466.300000001</v>
      </c>
      <c r="J12" s="11">
        <v>24.080466300000001</v>
      </c>
      <c r="K12" s="11">
        <v>275</v>
      </c>
      <c r="L12" s="11">
        <v>6981.7562369999996</v>
      </c>
      <c r="M12" s="11">
        <v>83.90406376</v>
      </c>
      <c r="N12" s="11">
        <v>958.18815329999995</v>
      </c>
      <c r="O12" s="11">
        <v>24326.676790000001</v>
      </c>
      <c r="P12" s="12">
        <v>1970</v>
      </c>
      <c r="Q12" s="12">
        <v>1960</v>
      </c>
      <c r="R12" s="12">
        <f t="shared" si="1"/>
        <v>10</v>
      </c>
      <c r="S12" s="12">
        <f t="shared" si="2"/>
        <v>4.1952031879999998</v>
      </c>
      <c r="T12" s="12">
        <f t="shared" si="3"/>
        <v>47.909407664999996</v>
      </c>
    </row>
    <row r="13" spans="1:20" ht="15.5" x14ac:dyDescent="0.35">
      <c r="A13" s="11" t="s">
        <v>16</v>
      </c>
      <c r="B13" s="11">
        <v>5.5</v>
      </c>
      <c r="C13" s="11">
        <v>15.21</v>
      </c>
      <c r="D13" s="11">
        <v>20.638000000000002</v>
      </c>
      <c r="E13" s="11">
        <v>15.475</v>
      </c>
      <c r="F13" s="11">
        <v>20.72</v>
      </c>
      <c r="G13" s="12">
        <f t="shared" si="0"/>
        <v>0.26499999999999879</v>
      </c>
      <c r="H13" s="11">
        <v>0.183</v>
      </c>
      <c r="I13" s="11">
        <v>98816864.700000003</v>
      </c>
      <c r="J13" s="11">
        <v>98.816864699999996</v>
      </c>
      <c r="K13" s="11">
        <v>822</v>
      </c>
      <c r="L13" s="11">
        <v>482462.11379999999</v>
      </c>
      <c r="M13" s="11">
        <v>539.98286719999999</v>
      </c>
      <c r="N13" s="11">
        <v>4491.8032789999997</v>
      </c>
      <c r="O13" s="11">
        <v>2636404.9929999998</v>
      </c>
      <c r="P13" s="12">
        <v>1960</v>
      </c>
      <c r="Q13" s="12">
        <v>1952</v>
      </c>
      <c r="R13" s="12">
        <f t="shared" si="1"/>
        <v>8</v>
      </c>
      <c r="S13" s="12">
        <f t="shared" si="2"/>
        <v>33.748929199999999</v>
      </c>
      <c r="T13" s="12">
        <f t="shared" si="3"/>
        <v>280.73770493749998</v>
      </c>
    </row>
    <row r="14" spans="1:20" ht="15.5" x14ac:dyDescent="0.35">
      <c r="A14" s="11" t="s">
        <v>17</v>
      </c>
      <c r="B14" s="11">
        <v>6</v>
      </c>
      <c r="C14" s="11">
        <v>15.209</v>
      </c>
      <c r="D14" s="11">
        <v>20.640999999999998</v>
      </c>
      <c r="E14" s="11">
        <v>15.43</v>
      </c>
      <c r="F14" s="11">
        <v>20.61</v>
      </c>
      <c r="G14" s="12">
        <f t="shared" si="0"/>
        <v>0.22100000000000009</v>
      </c>
      <c r="H14" s="11">
        <v>0.252</v>
      </c>
      <c r="I14" s="11">
        <v>51064686.899999999</v>
      </c>
      <c r="J14" s="11">
        <v>51.064686899999998</v>
      </c>
      <c r="K14" s="11">
        <v>294</v>
      </c>
      <c r="L14" s="11">
        <v>66578.196179999999</v>
      </c>
      <c r="M14" s="11">
        <v>202.63764639999999</v>
      </c>
      <c r="N14" s="11">
        <v>1166.666667</v>
      </c>
      <c r="O14" s="11">
        <v>264199.1912</v>
      </c>
      <c r="P14" s="12">
        <v>1952</v>
      </c>
      <c r="Q14" s="12">
        <v>1946</v>
      </c>
      <c r="R14" s="12">
        <f t="shared" si="1"/>
        <v>6</v>
      </c>
      <c r="S14" s="12">
        <f t="shared" si="2"/>
        <v>16.886470533333334</v>
      </c>
      <c r="T14" s="12">
        <f t="shared" si="3"/>
        <v>97.222222250000002</v>
      </c>
    </row>
    <row r="15" spans="1:20" ht="15.5" x14ac:dyDescent="0.35">
      <c r="A15" s="11" t="s">
        <v>18</v>
      </c>
      <c r="B15" s="11">
        <v>6.5</v>
      </c>
      <c r="C15" s="11">
        <v>15.21</v>
      </c>
      <c r="D15" s="11">
        <v>20.641999999999999</v>
      </c>
      <c r="E15" s="11">
        <v>15.367000000000001</v>
      </c>
      <c r="F15" s="11">
        <v>20.582000000000001</v>
      </c>
      <c r="G15" s="12">
        <f t="shared" si="0"/>
        <v>0.15700000000000003</v>
      </c>
      <c r="H15" s="11">
        <v>0.217</v>
      </c>
      <c r="I15" s="11">
        <v>2266468.5</v>
      </c>
      <c r="J15" s="11">
        <v>2.2664685000000002</v>
      </c>
      <c r="K15" s="11">
        <v>321</v>
      </c>
      <c r="L15" s="11">
        <v>5.8212877440000002</v>
      </c>
      <c r="M15" s="11">
        <v>10.444555299999999</v>
      </c>
      <c r="N15" s="11">
        <v>1479.2626729999999</v>
      </c>
      <c r="O15" s="11">
        <v>26.826210799999998</v>
      </c>
      <c r="P15" s="12">
        <v>1946</v>
      </c>
      <c r="Q15" s="12">
        <v>1940</v>
      </c>
      <c r="R15" s="12">
        <f t="shared" si="1"/>
        <v>6</v>
      </c>
      <c r="S15" s="12">
        <f t="shared" si="2"/>
        <v>0.87037960833333328</v>
      </c>
      <c r="T15" s="12">
        <f t="shared" si="3"/>
        <v>123.27188941666667</v>
      </c>
    </row>
    <row r="16" spans="1:20" ht="15.5" x14ac:dyDescent="0.35">
      <c r="A16" s="11" t="s">
        <v>19</v>
      </c>
      <c r="B16" s="11">
        <v>7</v>
      </c>
      <c r="C16" s="11">
        <v>15.21</v>
      </c>
      <c r="D16" s="11">
        <v>20.638000000000002</v>
      </c>
      <c r="E16" s="11">
        <v>15.545999999999999</v>
      </c>
      <c r="F16" s="11">
        <v>20.817</v>
      </c>
      <c r="G16" s="12">
        <f t="shared" si="0"/>
        <v>0.33599999999999852</v>
      </c>
      <c r="H16" s="11">
        <v>0.157</v>
      </c>
      <c r="I16" s="11">
        <v>26143111.600000001</v>
      </c>
      <c r="J16" s="11">
        <v>26.143111600000001</v>
      </c>
      <c r="K16" s="11">
        <v>413</v>
      </c>
      <c r="L16" s="11">
        <v>8933.9153839999999</v>
      </c>
      <c r="M16" s="11">
        <v>166.51663439999999</v>
      </c>
      <c r="N16" s="11">
        <v>2630.5732480000001</v>
      </c>
      <c r="O16" s="11">
        <v>56903.91964</v>
      </c>
      <c r="P16" s="12">
        <v>1940</v>
      </c>
      <c r="Q16" s="12">
        <v>1934</v>
      </c>
      <c r="R16" s="12">
        <f t="shared" si="1"/>
        <v>6</v>
      </c>
      <c r="S16" s="12">
        <f t="shared" si="2"/>
        <v>13.876386199999999</v>
      </c>
      <c r="T16" s="12">
        <f t="shared" si="3"/>
        <v>219.21443733333334</v>
      </c>
    </row>
    <row r="17" spans="1:20" ht="15.5" x14ac:dyDescent="0.35">
      <c r="A17" s="11" t="s">
        <v>20</v>
      </c>
      <c r="B17" s="11">
        <v>7.5</v>
      </c>
      <c r="C17" s="11">
        <v>15.21</v>
      </c>
      <c r="D17" s="11">
        <v>20.638000000000002</v>
      </c>
      <c r="E17" s="11">
        <v>15.689</v>
      </c>
      <c r="F17" s="11">
        <v>20.856999999999999</v>
      </c>
      <c r="G17" s="12">
        <f t="shared" si="0"/>
        <v>0.4789999999999992</v>
      </c>
      <c r="H17" s="11">
        <v>0.26</v>
      </c>
      <c r="I17" s="11">
        <v>8574498.5800000001</v>
      </c>
      <c r="J17" s="11">
        <v>8.5744985800000002</v>
      </c>
      <c r="K17" s="11">
        <v>115</v>
      </c>
      <c r="L17" s="11">
        <v>315.20725329999999</v>
      </c>
      <c r="M17" s="11">
        <v>32.978840689999998</v>
      </c>
      <c r="N17" s="11">
        <v>442.30769229999999</v>
      </c>
      <c r="O17" s="11">
        <v>1212.3355899999999</v>
      </c>
      <c r="P17" s="12">
        <v>1934</v>
      </c>
      <c r="Q17" s="12">
        <v>1928</v>
      </c>
      <c r="R17" s="12">
        <f t="shared" si="1"/>
        <v>6</v>
      </c>
      <c r="S17" s="12">
        <f t="shared" si="2"/>
        <v>2.7482367241666665</v>
      </c>
      <c r="T17" s="12">
        <f t="shared" si="3"/>
        <v>36.858974358333334</v>
      </c>
    </row>
    <row r="18" spans="1:20" ht="15.5" x14ac:dyDescent="0.35">
      <c r="A18" s="11" t="s">
        <v>21</v>
      </c>
      <c r="B18" s="11">
        <v>8</v>
      </c>
      <c r="C18" s="11">
        <v>15.21</v>
      </c>
      <c r="D18" s="11">
        <v>20.638000000000002</v>
      </c>
      <c r="E18" s="11">
        <v>15.643000000000001</v>
      </c>
      <c r="F18" s="11">
        <v>20.757999999999999</v>
      </c>
      <c r="G18" s="12">
        <f t="shared" si="0"/>
        <v>0.43299999999999983</v>
      </c>
      <c r="H18" s="11">
        <v>0.313</v>
      </c>
      <c r="I18" s="11">
        <v>21978120.5</v>
      </c>
      <c r="J18" s="11">
        <v>21.978120499999999</v>
      </c>
      <c r="K18" s="11">
        <v>293</v>
      </c>
      <c r="L18" s="11">
        <v>5308.1312749999997</v>
      </c>
      <c r="M18" s="11">
        <v>70.217637379999999</v>
      </c>
      <c r="N18" s="11">
        <v>936.10223640000004</v>
      </c>
      <c r="O18" s="11">
        <v>16958.885859999999</v>
      </c>
      <c r="P18" s="12">
        <v>1928</v>
      </c>
      <c r="Q18" s="12">
        <v>1921</v>
      </c>
      <c r="R18" s="12">
        <f t="shared" si="1"/>
        <v>7</v>
      </c>
      <c r="S18" s="12">
        <f t="shared" si="2"/>
        <v>5.0155455271428568</v>
      </c>
      <c r="T18" s="12">
        <f t="shared" si="3"/>
        <v>66.864445457142864</v>
      </c>
    </row>
    <row r="19" spans="1:20" ht="15.5" x14ac:dyDescent="0.35">
      <c r="A19" s="11" t="s">
        <v>22</v>
      </c>
      <c r="B19" s="11">
        <v>8.5</v>
      </c>
      <c r="C19" s="11">
        <v>15.21</v>
      </c>
      <c r="D19" s="11">
        <v>20.638000000000002</v>
      </c>
      <c r="E19" s="11">
        <v>15.843999999999999</v>
      </c>
      <c r="F19" s="11">
        <v>20.992999999999999</v>
      </c>
      <c r="G19" s="12">
        <f t="shared" si="0"/>
        <v>0.63399999999999856</v>
      </c>
      <c r="H19" s="11">
        <v>0.27900000000000003</v>
      </c>
      <c r="I19" s="11">
        <v>151011147</v>
      </c>
      <c r="J19" s="11">
        <v>151.01114699999999</v>
      </c>
      <c r="K19" s="11">
        <v>229</v>
      </c>
      <c r="L19" s="11">
        <v>1721856.7720000001</v>
      </c>
      <c r="M19" s="11">
        <v>541.2585914</v>
      </c>
      <c r="N19" s="11">
        <v>820.78853049999998</v>
      </c>
      <c r="O19" s="11">
        <v>6171529.6500000004</v>
      </c>
      <c r="P19" s="12">
        <v>1921</v>
      </c>
      <c r="Q19" s="12">
        <v>1915</v>
      </c>
      <c r="R19" s="12">
        <f t="shared" si="1"/>
        <v>6</v>
      </c>
      <c r="S19" s="12">
        <f t="shared" si="2"/>
        <v>45.104882616666664</v>
      </c>
      <c r="T19" s="12">
        <f t="shared" si="3"/>
        <v>68.399044208333336</v>
      </c>
    </row>
    <row r="20" spans="1:20" ht="15.5" x14ac:dyDescent="0.35">
      <c r="A20" s="11" t="s">
        <v>23</v>
      </c>
      <c r="B20" s="11">
        <v>9</v>
      </c>
      <c r="C20" s="11">
        <v>15.21</v>
      </c>
      <c r="D20" s="11">
        <v>20.638000000000002</v>
      </c>
      <c r="E20" s="11">
        <v>15.333</v>
      </c>
      <c r="F20" s="11">
        <v>20.539000000000001</v>
      </c>
      <c r="G20" s="12">
        <f t="shared" si="0"/>
        <v>0.12299999999999933</v>
      </c>
      <c r="H20" s="11">
        <v>0.222</v>
      </c>
      <c r="I20" s="11">
        <v>155350379</v>
      </c>
      <c r="J20" s="11">
        <v>155.350379</v>
      </c>
      <c r="K20" s="11">
        <v>1279</v>
      </c>
      <c r="L20" s="11">
        <v>1874592.848</v>
      </c>
      <c r="M20" s="11">
        <v>699.77648199999999</v>
      </c>
      <c r="N20" s="11">
        <v>5761.2612609999996</v>
      </c>
      <c r="O20" s="11">
        <v>8444111.9269999992</v>
      </c>
      <c r="P20" s="12">
        <v>1915</v>
      </c>
      <c r="Q20" s="12">
        <v>1909</v>
      </c>
      <c r="R20" s="12">
        <f t="shared" si="1"/>
        <v>6</v>
      </c>
      <c r="S20" s="12">
        <f t="shared" si="2"/>
        <v>58.314706833333332</v>
      </c>
      <c r="T20" s="12">
        <f t="shared" si="3"/>
        <v>480.10510508333329</v>
      </c>
    </row>
    <row r="21" spans="1:20" ht="15.5" x14ac:dyDescent="0.35">
      <c r="A21" s="11" t="s">
        <v>24</v>
      </c>
      <c r="B21" s="11">
        <v>9.5</v>
      </c>
      <c r="C21" s="11">
        <v>15.21</v>
      </c>
      <c r="D21" s="11">
        <v>20.638000000000002</v>
      </c>
      <c r="E21" s="11">
        <v>15.788</v>
      </c>
      <c r="F21" s="11">
        <v>20.963999999999999</v>
      </c>
      <c r="G21" s="12">
        <f t="shared" si="0"/>
        <v>0.5779999999999994</v>
      </c>
      <c r="H21" s="11">
        <v>0.252</v>
      </c>
      <c r="I21" s="11">
        <v>39545625.899999999</v>
      </c>
      <c r="J21" s="11">
        <v>39.545625899999997</v>
      </c>
      <c r="K21" s="11">
        <v>687</v>
      </c>
      <c r="L21" s="11">
        <v>30921.84261</v>
      </c>
      <c r="M21" s="11">
        <v>156.92708690000001</v>
      </c>
      <c r="N21" s="11">
        <v>2726.1904760000002</v>
      </c>
      <c r="O21" s="11">
        <v>122705.7246</v>
      </c>
      <c r="P21" s="12">
        <v>1909</v>
      </c>
      <c r="Q21" s="12">
        <v>1903</v>
      </c>
      <c r="R21" s="12">
        <f t="shared" si="1"/>
        <v>6</v>
      </c>
      <c r="S21" s="12">
        <f t="shared" si="2"/>
        <v>13.077257241666667</v>
      </c>
      <c r="T21" s="12">
        <f t="shared" si="3"/>
        <v>227.18253966666668</v>
      </c>
    </row>
    <row r="22" spans="1:20" ht="15.5" x14ac:dyDescent="0.35">
      <c r="A22" s="11" t="s">
        <v>25</v>
      </c>
      <c r="B22" s="11">
        <v>10</v>
      </c>
      <c r="C22" s="11">
        <v>15.21</v>
      </c>
      <c r="D22" s="11">
        <v>20.638000000000002</v>
      </c>
      <c r="E22" s="11">
        <v>15.555999999999999</v>
      </c>
      <c r="F22" s="11">
        <v>20.815000000000001</v>
      </c>
      <c r="G22" s="12">
        <f t="shared" si="0"/>
        <v>0.34599999999999831</v>
      </c>
      <c r="H22" s="11">
        <v>0.16900000000000001</v>
      </c>
      <c r="I22" s="11">
        <v>43248186.200000003</v>
      </c>
      <c r="J22" s="11">
        <v>43.248186199999999</v>
      </c>
      <c r="K22" s="11">
        <v>675</v>
      </c>
      <c r="L22" s="11">
        <v>40445.825040000003</v>
      </c>
      <c r="M22" s="11">
        <v>255.9064272</v>
      </c>
      <c r="N22" s="11">
        <v>3994.08284</v>
      </c>
      <c r="O22" s="11">
        <v>239324.40849999999</v>
      </c>
      <c r="P22" s="12">
        <v>1903</v>
      </c>
      <c r="Q22" s="12">
        <v>1897</v>
      </c>
      <c r="R22" s="12">
        <f t="shared" si="1"/>
        <v>6</v>
      </c>
      <c r="S22" s="12">
        <f t="shared" si="2"/>
        <v>21.325535599999998</v>
      </c>
      <c r="T22" s="12">
        <f t="shared" si="3"/>
        <v>332.84023666666667</v>
      </c>
    </row>
    <row r="23" spans="1:20" ht="15.5" x14ac:dyDescent="0.35">
      <c r="A23" s="11" t="s">
        <v>26</v>
      </c>
      <c r="B23" s="11">
        <v>10.5</v>
      </c>
      <c r="C23" s="11">
        <v>15.21</v>
      </c>
      <c r="D23" s="11">
        <v>20.638000000000002</v>
      </c>
      <c r="E23" s="11">
        <v>15.759</v>
      </c>
      <c r="F23" s="11">
        <v>20.765000000000001</v>
      </c>
      <c r="G23" s="12">
        <f t="shared" si="0"/>
        <v>0.54899999999999949</v>
      </c>
      <c r="H23" s="11">
        <v>0.42199999999999999</v>
      </c>
      <c r="I23" s="11">
        <v>73069958.799999997</v>
      </c>
      <c r="J23" s="11">
        <v>73.069958799999995</v>
      </c>
      <c r="K23" s="11">
        <v>452</v>
      </c>
      <c r="L23" s="11">
        <v>195068.2518</v>
      </c>
      <c r="M23" s="11">
        <v>173.15156110000001</v>
      </c>
      <c r="N23" s="11">
        <v>1071.0900469999999</v>
      </c>
      <c r="O23" s="11">
        <v>462247.04210000002</v>
      </c>
      <c r="P23" s="12">
        <v>1897</v>
      </c>
      <c r="Q23" s="12">
        <v>1881</v>
      </c>
      <c r="R23" s="12">
        <f t="shared" si="1"/>
        <v>16</v>
      </c>
      <c r="S23" s="12">
        <f t="shared" si="2"/>
        <v>5.4109862843750003</v>
      </c>
      <c r="T23" s="12">
        <f t="shared" si="3"/>
        <v>33.471563968749997</v>
      </c>
    </row>
    <row r="24" spans="1:20" ht="15.5" x14ac:dyDescent="0.35">
      <c r="A24" s="11" t="s">
        <v>27</v>
      </c>
      <c r="B24" s="11">
        <v>11</v>
      </c>
      <c r="C24" s="11">
        <v>15.21</v>
      </c>
      <c r="D24" s="11">
        <v>20.638000000000002</v>
      </c>
      <c r="E24" s="11">
        <v>15.721</v>
      </c>
      <c r="F24" s="11">
        <v>20.899000000000001</v>
      </c>
      <c r="G24" s="12">
        <f t="shared" si="0"/>
        <v>0.51099999999999923</v>
      </c>
      <c r="H24" s="11">
        <v>0.25</v>
      </c>
      <c r="I24" s="11">
        <v>72373169.599999994</v>
      </c>
      <c r="J24" s="11">
        <v>72.373169599999997</v>
      </c>
      <c r="K24" s="11">
        <v>1336</v>
      </c>
      <c r="L24" s="11">
        <v>189540.83240000001</v>
      </c>
      <c r="M24" s="11">
        <v>289.49267839999999</v>
      </c>
      <c r="N24" s="11">
        <v>5344</v>
      </c>
      <c r="O24" s="11">
        <v>758163.32960000006</v>
      </c>
      <c r="P24" s="12">
        <v>1881</v>
      </c>
      <c r="Q24" s="12">
        <v>1864</v>
      </c>
      <c r="R24" s="12">
        <f t="shared" si="1"/>
        <v>17</v>
      </c>
      <c r="S24" s="12">
        <f t="shared" si="2"/>
        <v>8.5144905411764711</v>
      </c>
      <c r="T24" s="12">
        <f t="shared" si="3"/>
        <v>157.1764705882353</v>
      </c>
    </row>
    <row r="25" spans="1:20" ht="15.5" x14ac:dyDescent="0.35">
      <c r="A25" s="11" t="s">
        <v>28</v>
      </c>
      <c r="B25" s="11">
        <v>11.5</v>
      </c>
      <c r="C25" s="11">
        <v>15.21</v>
      </c>
      <c r="D25" s="11">
        <v>20.638000000000002</v>
      </c>
      <c r="E25" s="11">
        <v>15.9</v>
      </c>
      <c r="F25" s="11">
        <v>21.010999999999999</v>
      </c>
      <c r="G25" s="12">
        <f t="shared" si="0"/>
        <v>0.6899999999999995</v>
      </c>
      <c r="H25" s="11">
        <v>0.317</v>
      </c>
      <c r="I25" s="11">
        <v>107344739</v>
      </c>
      <c r="J25" s="11">
        <v>107.344739</v>
      </c>
      <c r="K25" s="11">
        <v>482</v>
      </c>
      <c r="L25" s="11">
        <v>618460.97030000004</v>
      </c>
      <c r="M25" s="11">
        <v>338.62693689999998</v>
      </c>
      <c r="N25" s="11">
        <v>1520.5047320000001</v>
      </c>
      <c r="O25" s="11">
        <v>1950980.9790000001</v>
      </c>
      <c r="P25" s="12">
        <v>1864</v>
      </c>
      <c r="Q25" s="12">
        <v>1848</v>
      </c>
      <c r="R25" s="12">
        <f t="shared" si="1"/>
        <v>16</v>
      </c>
      <c r="S25" s="12">
        <f t="shared" si="2"/>
        <v>10.582091778124999</v>
      </c>
      <c r="T25" s="12">
        <f t="shared" si="3"/>
        <v>47.515772875000003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D800-FB03-43EA-A804-2DD3956D9A36}">
  <dimension ref="A1:T18"/>
  <sheetViews>
    <sheetView topLeftCell="J1" workbookViewId="0">
      <selection activeCell="A2" sqref="A2:T18"/>
    </sheetView>
  </sheetViews>
  <sheetFormatPr defaultRowHeight="14.5" x14ac:dyDescent="0.35"/>
  <cols>
    <col min="3" max="3" width="20.1796875" customWidth="1"/>
    <col min="4" max="4" width="21.26953125" customWidth="1"/>
    <col min="5" max="5" width="17.26953125" customWidth="1"/>
    <col min="6" max="6" width="16.90625" customWidth="1"/>
    <col min="9" max="9" width="14.7265625" customWidth="1"/>
    <col min="10" max="10" width="15.81640625" customWidth="1"/>
    <col min="11" max="11" width="16.90625" customWidth="1"/>
    <col min="12" max="12" width="13.08984375" customWidth="1"/>
    <col min="13" max="13" width="18.7265625" customWidth="1"/>
    <col min="14" max="14" width="15.90625" customWidth="1"/>
    <col min="15" max="15" width="18.36328125" customWidth="1"/>
    <col min="17" max="17" width="14.81640625" customWidth="1"/>
    <col min="18" max="18" width="13.7265625" customWidth="1"/>
    <col min="19" max="19" width="26.36328125" customWidth="1"/>
    <col min="20" max="20" width="17.26953125" customWidth="1"/>
  </cols>
  <sheetData>
    <row r="1" spans="1:20" s="2" customFormat="1" ht="80.5" customHeight="1" x14ac:dyDescent="0.35">
      <c r="A1" s="8" t="s">
        <v>0</v>
      </c>
      <c r="B1" s="8" t="s">
        <v>1</v>
      </c>
      <c r="C1" s="8" t="s">
        <v>29</v>
      </c>
      <c r="D1" s="8" t="s">
        <v>30</v>
      </c>
      <c r="E1" s="8" t="s">
        <v>2</v>
      </c>
      <c r="F1" s="8" t="s">
        <v>3</v>
      </c>
      <c r="G1" s="8" t="s">
        <v>39</v>
      </c>
      <c r="H1" s="8" t="s">
        <v>4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41</v>
      </c>
      <c r="O1" s="8" t="s">
        <v>42</v>
      </c>
      <c r="P1" s="9" t="s">
        <v>36</v>
      </c>
      <c r="Q1" s="9" t="s">
        <v>37</v>
      </c>
      <c r="R1" s="8" t="s">
        <v>38</v>
      </c>
      <c r="S1" s="9" t="s">
        <v>43</v>
      </c>
      <c r="T1" s="10" t="s">
        <v>40</v>
      </c>
    </row>
    <row r="2" spans="1:20" ht="15.5" x14ac:dyDescent="0.35">
      <c r="A2" s="16" t="s">
        <v>5</v>
      </c>
      <c r="B2" s="16">
        <v>0</v>
      </c>
      <c r="C2" s="16">
        <v>15.185</v>
      </c>
      <c r="D2" s="16">
        <v>20.611999999999998</v>
      </c>
      <c r="E2" s="16">
        <v>15.567</v>
      </c>
      <c r="F2" s="16">
        <v>20.526</v>
      </c>
      <c r="G2" s="16">
        <v>0.38200000000000001</v>
      </c>
      <c r="H2" s="16">
        <v>0.46800000000000003</v>
      </c>
      <c r="I2" s="17">
        <v>246509035</v>
      </c>
      <c r="J2" s="16">
        <v>246.50903500000001</v>
      </c>
      <c r="K2" s="16">
        <v>511</v>
      </c>
      <c r="L2" s="16">
        <v>543097.61970000004</v>
      </c>
      <c r="M2" s="16">
        <v>526.7287073</v>
      </c>
      <c r="N2" s="16">
        <v>1091.8803419999999</v>
      </c>
      <c r="O2" s="16">
        <v>2715488.0980000002</v>
      </c>
      <c r="P2" s="16">
        <v>2021</v>
      </c>
      <c r="Q2" s="16">
        <v>2018</v>
      </c>
      <c r="R2" s="12">
        <v>3</v>
      </c>
      <c r="S2" s="16">
        <v>87.788117880000001</v>
      </c>
      <c r="T2" s="16">
        <v>181.98005699999999</v>
      </c>
    </row>
    <row r="3" spans="1:20" ht="15.5" x14ac:dyDescent="0.35">
      <c r="A3" s="16" t="s">
        <v>6</v>
      </c>
      <c r="B3" s="16">
        <v>0.5</v>
      </c>
      <c r="C3" s="16">
        <v>15.18</v>
      </c>
      <c r="D3" s="16">
        <v>20.606999999999999</v>
      </c>
      <c r="E3" s="16">
        <v>15.432</v>
      </c>
      <c r="F3" s="16">
        <v>20.564</v>
      </c>
      <c r="G3" s="16">
        <v>0.252</v>
      </c>
      <c r="H3" s="16">
        <v>0.29499999999999998</v>
      </c>
      <c r="I3" s="17">
        <v>433568769</v>
      </c>
      <c r="J3" s="16">
        <v>433.56876899999997</v>
      </c>
      <c r="K3" s="16">
        <v>448</v>
      </c>
      <c r="L3" s="16">
        <v>3801267.3280000002</v>
      </c>
      <c r="M3" s="16">
        <v>1469.724641</v>
      </c>
      <c r="N3" s="16">
        <v>1518.6440680000001</v>
      </c>
      <c r="O3" s="16">
        <v>23907341.68</v>
      </c>
      <c r="P3" s="16">
        <v>2018</v>
      </c>
      <c r="Q3" s="16">
        <v>2015</v>
      </c>
      <c r="R3" s="12">
        <v>3</v>
      </c>
      <c r="S3" s="16">
        <v>244.95410680000001</v>
      </c>
      <c r="T3" s="16">
        <v>253.1073446</v>
      </c>
    </row>
    <row r="4" spans="1:20" ht="15.5" x14ac:dyDescent="0.35">
      <c r="A4" s="16" t="s">
        <v>7</v>
      </c>
      <c r="B4" s="16">
        <v>1</v>
      </c>
      <c r="C4" s="16">
        <v>15.186999999999999</v>
      </c>
      <c r="D4" s="16">
        <v>20.614000000000001</v>
      </c>
      <c r="E4" s="16">
        <v>15.36</v>
      </c>
      <c r="F4" s="16">
        <v>20.657</v>
      </c>
      <c r="G4" s="16">
        <v>0.17299999999999999</v>
      </c>
      <c r="H4" s="16">
        <v>0.13</v>
      </c>
      <c r="I4" s="17">
        <v>358715820</v>
      </c>
      <c r="J4" s="16">
        <v>358.71582000000001</v>
      </c>
      <c r="K4" s="16">
        <v>994</v>
      </c>
      <c r="L4" s="16">
        <v>296428837.89999998</v>
      </c>
      <c r="M4" s="16">
        <v>2759.3524619999998</v>
      </c>
      <c r="N4" s="16">
        <v>7646.1538460000002</v>
      </c>
      <c r="O4" s="16">
        <v>2906165077</v>
      </c>
      <c r="P4" s="16">
        <v>2015</v>
      </c>
      <c r="Q4" s="16">
        <v>2013</v>
      </c>
      <c r="R4" s="12">
        <v>2</v>
      </c>
      <c r="S4" s="16">
        <v>689.83811539999999</v>
      </c>
      <c r="T4" s="16">
        <v>1911.538462</v>
      </c>
    </row>
    <row r="5" spans="1:20" ht="15.5" x14ac:dyDescent="0.35">
      <c r="A5" s="16" t="s">
        <v>8</v>
      </c>
      <c r="B5" s="16">
        <v>1.5</v>
      </c>
      <c r="C5" s="16">
        <v>15.186999999999999</v>
      </c>
      <c r="D5" s="16">
        <v>20.614000000000001</v>
      </c>
      <c r="E5" s="16">
        <v>15.531000000000001</v>
      </c>
      <c r="F5" s="16">
        <v>20.268999999999998</v>
      </c>
      <c r="G5" s="16">
        <v>0.34399999999999997</v>
      </c>
      <c r="H5" s="16">
        <v>0.68899999999999995</v>
      </c>
      <c r="I5" s="17">
        <v>296344671</v>
      </c>
      <c r="J5" s="16">
        <v>296.34467100000001</v>
      </c>
      <c r="K5" s="16">
        <v>891</v>
      </c>
      <c r="L5" s="16">
        <v>28177038.890000001</v>
      </c>
      <c r="M5" s="16">
        <v>430.1083759</v>
      </c>
      <c r="N5" s="16">
        <v>1293.1785199999999</v>
      </c>
      <c r="O5" s="16">
        <v>575041609.89999998</v>
      </c>
      <c r="P5" s="16">
        <v>2013</v>
      </c>
      <c r="Q5" s="16">
        <v>2010</v>
      </c>
      <c r="R5" s="12">
        <v>3</v>
      </c>
      <c r="S5" s="16">
        <v>71.684729320000002</v>
      </c>
      <c r="T5" s="16">
        <v>215.52975330000001</v>
      </c>
    </row>
    <row r="6" spans="1:20" ht="15.5" x14ac:dyDescent="0.35">
      <c r="A6" s="16" t="s">
        <v>9</v>
      </c>
      <c r="B6" s="16">
        <v>2</v>
      </c>
      <c r="C6" s="16">
        <v>15.186999999999999</v>
      </c>
      <c r="D6" s="16">
        <v>20.614000000000001</v>
      </c>
      <c r="E6" s="16">
        <v>15.515000000000001</v>
      </c>
      <c r="F6" s="16">
        <v>20.021999999999998</v>
      </c>
      <c r="G6" s="16">
        <v>0.32800000000000001</v>
      </c>
      <c r="H6" s="16">
        <v>0.92</v>
      </c>
      <c r="I6" s="17">
        <v>218945578</v>
      </c>
      <c r="J6" s="16">
        <v>218.94557800000001</v>
      </c>
      <c r="K6" s="16">
        <v>564</v>
      </c>
      <c r="L6" s="16">
        <v>20151509.920000002</v>
      </c>
      <c r="M6" s="16">
        <v>237.98432389999999</v>
      </c>
      <c r="N6" s="16">
        <v>613.04347829999995</v>
      </c>
      <c r="O6" s="16">
        <v>128353566.40000001</v>
      </c>
      <c r="P6" s="16">
        <v>2010</v>
      </c>
      <c r="Q6" s="16">
        <v>2008</v>
      </c>
      <c r="R6" s="12">
        <v>2</v>
      </c>
      <c r="S6" s="16">
        <v>59.496080980000002</v>
      </c>
      <c r="T6" s="16">
        <v>153.26086960000001</v>
      </c>
    </row>
    <row r="7" spans="1:20" ht="15.5" x14ac:dyDescent="0.35">
      <c r="A7" s="16" t="s">
        <v>10</v>
      </c>
      <c r="B7" s="16">
        <v>2.5</v>
      </c>
      <c r="C7" s="16">
        <v>15.186</v>
      </c>
      <c r="D7" s="16">
        <v>20.613</v>
      </c>
      <c r="E7" s="16">
        <v>15.489000000000001</v>
      </c>
      <c r="F7" s="16">
        <v>20.367000000000001</v>
      </c>
      <c r="G7" s="16">
        <v>0.30299999999999999</v>
      </c>
      <c r="H7" s="16">
        <v>0.54900000000000004</v>
      </c>
      <c r="I7" s="17">
        <v>67745151.400000006</v>
      </c>
      <c r="J7" s="16">
        <v>67.745151399999997</v>
      </c>
      <c r="K7" s="16">
        <v>181</v>
      </c>
      <c r="L7" s="16">
        <v>4151220.9780000001</v>
      </c>
      <c r="M7" s="16">
        <v>123.39736139999999</v>
      </c>
      <c r="N7" s="16">
        <v>329.6903461</v>
      </c>
      <c r="O7" s="16">
        <v>6965135.8689999999</v>
      </c>
      <c r="P7" s="16">
        <v>2008</v>
      </c>
      <c r="Q7" s="16">
        <v>2003</v>
      </c>
      <c r="R7" s="12">
        <v>5</v>
      </c>
      <c r="S7" s="16">
        <v>12.339736139999999</v>
      </c>
      <c r="T7" s="16">
        <v>32.969034610000001</v>
      </c>
    </row>
    <row r="8" spans="1:20" ht="15.5" x14ac:dyDescent="0.35">
      <c r="A8" s="16" t="s">
        <v>11</v>
      </c>
      <c r="B8" s="16">
        <v>3</v>
      </c>
      <c r="C8" s="16">
        <v>15.186</v>
      </c>
      <c r="D8" s="16">
        <v>20.613</v>
      </c>
      <c r="E8" s="16">
        <v>15.528</v>
      </c>
      <c r="F8" s="16">
        <v>20.518000000000001</v>
      </c>
      <c r="G8" s="16">
        <v>0.34200000000000003</v>
      </c>
      <c r="H8" s="16">
        <v>0.437</v>
      </c>
      <c r="I8" s="17">
        <v>68225820.299999997</v>
      </c>
      <c r="J8" s="16">
        <v>68.225820299999995</v>
      </c>
      <c r="K8" s="16">
        <v>290</v>
      </c>
      <c r="L8" s="16">
        <v>1199661.361</v>
      </c>
      <c r="M8" s="16">
        <v>156.12315860000001</v>
      </c>
      <c r="N8" s="16">
        <v>663.61556059999998</v>
      </c>
      <c r="O8" s="16">
        <v>4667943.04</v>
      </c>
      <c r="P8" s="16">
        <v>2003</v>
      </c>
      <c r="Q8" s="16">
        <v>1998</v>
      </c>
      <c r="R8" s="12">
        <v>5</v>
      </c>
      <c r="S8" s="16">
        <v>15.612315860000001</v>
      </c>
      <c r="T8" s="16">
        <v>66.361556059999998</v>
      </c>
    </row>
    <row r="9" spans="1:20" ht="15.5" x14ac:dyDescent="0.35">
      <c r="A9" s="16" t="s">
        <v>12</v>
      </c>
      <c r="B9" s="16">
        <v>3.5</v>
      </c>
      <c r="C9" s="16">
        <v>15.185</v>
      </c>
      <c r="D9" s="16">
        <v>20.611999999999998</v>
      </c>
      <c r="E9" s="16">
        <v>15.577999999999999</v>
      </c>
      <c r="F9" s="16">
        <v>20.192</v>
      </c>
      <c r="G9" s="16">
        <v>0.39300000000000002</v>
      </c>
      <c r="H9" s="16">
        <v>0.81299999999999994</v>
      </c>
      <c r="I9" s="17">
        <v>108042442</v>
      </c>
      <c r="J9" s="16">
        <v>108.04244199999999</v>
      </c>
      <c r="K9" s="16">
        <v>153</v>
      </c>
      <c r="L9" s="16">
        <v>268325.99469999998</v>
      </c>
      <c r="M9" s="16">
        <v>132.89353259999999</v>
      </c>
      <c r="N9" s="16">
        <v>188.1918819</v>
      </c>
      <c r="O9" s="16">
        <v>743285.304</v>
      </c>
      <c r="P9" s="16">
        <v>1998</v>
      </c>
      <c r="Q9" s="16">
        <v>1993</v>
      </c>
      <c r="R9" s="12">
        <v>5</v>
      </c>
      <c r="S9" s="16">
        <v>13.28935326</v>
      </c>
      <c r="T9" s="16">
        <v>18.819188189999998</v>
      </c>
    </row>
    <row r="10" spans="1:20" ht="15.5" x14ac:dyDescent="0.35">
      <c r="A10" s="16" t="s">
        <v>13</v>
      </c>
      <c r="B10" s="16">
        <v>4</v>
      </c>
      <c r="C10" s="16">
        <v>15.188000000000001</v>
      </c>
      <c r="D10" s="16">
        <v>20.614999999999998</v>
      </c>
      <c r="E10" s="16">
        <v>15.569000000000001</v>
      </c>
      <c r="F10" s="16">
        <v>20.446999999999999</v>
      </c>
      <c r="G10" s="16">
        <v>0.38100000000000001</v>
      </c>
      <c r="H10" s="16">
        <v>0.54900000000000004</v>
      </c>
      <c r="I10" s="17">
        <v>54028162.5</v>
      </c>
      <c r="J10" s="16">
        <v>54.028162500000001</v>
      </c>
      <c r="K10" s="16">
        <v>116</v>
      </c>
      <c r="L10" s="16">
        <v>705142.98899999994</v>
      </c>
      <c r="M10" s="16">
        <v>98.411953550000007</v>
      </c>
      <c r="N10" s="16">
        <v>211.2932605</v>
      </c>
      <c r="O10" s="16">
        <v>11951576.08</v>
      </c>
      <c r="P10" s="16">
        <v>1993</v>
      </c>
      <c r="Q10" s="16">
        <v>1988</v>
      </c>
      <c r="R10" s="12">
        <v>5</v>
      </c>
      <c r="S10" s="16">
        <v>9.841195355</v>
      </c>
      <c r="T10" s="16">
        <v>21.12932605</v>
      </c>
    </row>
    <row r="11" spans="1:20" ht="15.5" x14ac:dyDescent="0.35">
      <c r="A11" s="16" t="s">
        <v>14</v>
      </c>
      <c r="B11" s="16">
        <v>4.5</v>
      </c>
      <c r="C11" s="16">
        <v>15.185</v>
      </c>
      <c r="D11" s="16">
        <v>20.611999999999998</v>
      </c>
      <c r="E11" s="16">
        <v>15.519</v>
      </c>
      <c r="F11" s="16">
        <v>19.856999999999999</v>
      </c>
      <c r="G11" s="16">
        <v>0.33400000000000002</v>
      </c>
      <c r="H11" s="16">
        <v>1.089</v>
      </c>
      <c r="I11" s="17">
        <v>166899269</v>
      </c>
      <c r="J11" s="16">
        <v>166.899269</v>
      </c>
      <c r="K11" s="16">
        <v>544</v>
      </c>
      <c r="L11" s="16">
        <v>4376655.2769999998</v>
      </c>
      <c r="M11" s="16">
        <v>153.25920020000001</v>
      </c>
      <c r="N11" s="16">
        <v>499.54086319999999</v>
      </c>
      <c r="O11" s="16">
        <v>12987107.65</v>
      </c>
      <c r="P11" s="16">
        <v>1988</v>
      </c>
      <c r="Q11" s="16">
        <v>1983</v>
      </c>
      <c r="R11" s="12">
        <v>5</v>
      </c>
      <c r="S11" s="16">
        <v>15.32592002</v>
      </c>
      <c r="T11" s="16">
        <v>49.954086320000002</v>
      </c>
    </row>
    <row r="12" spans="1:20" ht="15.5" x14ac:dyDescent="0.35">
      <c r="A12" s="16" t="s">
        <v>15</v>
      </c>
      <c r="B12" s="16">
        <v>5</v>
      </c>
      <c r="C12" s="16">
        <v>15.185</v>
      </c>
      <c r="D12" s="16">
        <v>20.611999999999998</v>
      </c>
      <c r="E12" s="16">
        <v>15.493</v>
      </c>
      <c r="F12" s="16">
        <v>20.295000000000002</v>
      </c>
      <c r="G12" s="16">
        <v>0.308</v>
      </c>
      <c r="H12" s="16">
        <v>0.625</v>
      </c>
      <c r="I12" s="17">
        <v>140046934</v>
      </c>
      <c r="J12" s="16">
        <v>140.04693399999999</v>
      </c>
      <c r="K12" s="16">
        <v>469</v>
      </c>
      <c r="L12" s="16">
        <v>12464975.560000001</v>
      </c>
      <c r="M12" s="16">
        <v>224.07509440000001</v>
      </c>
      <c r="N12" s="16">
        <v>750.4</v>
      </c>
      <c r="O12" s="16">
        <v>593570264.70000005</v>
      </c>
      <c r="P12" s="16">
        <v>1983</v>
      </c>
      <c r="Q12" s="16">
        <v>1979</v>
      </c>
      <c r="R12" s="12">
        <v>4</v>
      </c>
      <c r="S12" s="16">
        <v>28.009386800000001</v>
      </c>
      <c r="T12" s="16">
        <v>93.8</v>
      </c>
    </row>
    <row r="13" spans="1:20" ht="15.5" x14ac:dyDescent="0.35">
      <c r="A13" s="16" t="s">
        <v>16</v>
      </c>
      <c r="B13" s="16">
        <v>5.5</v>
      </c>
      <c r="C13" s="16">
        <v>15.185</v>
      </c>
      <c r="D13" s="16">
        <v>20.611999999999998</v>
      </c>
      <c r="E13" s="16">
        <v>15.371</v>
      </c>
      <c r="F13" s="16">
        <v>20.638000000000002</v>
      </c>
      <c r="G13" s="16">
        <v>0.186</v>
      </c>
      <c r="H13" s="16">
        <v>0.16</v>
      </c>
      <c r="I13" s="17">
        <v>94199652.799999997</v>
      </c>
      <c r="J13" s="16">
        <v>94.199652799999996</v>
      </c>
      <c r="K13" s="16">
        <v>466</v>
      </c>
      <c r="L13" s="16">
        <v>1463068.3829999999</v>
      </c>
      <c r="M13" s="16">
        <v>588.74783000000002</v>
      </c>
      <c r="N13" s="16">
        <v>2912.5</v>
      </c>
      <c r="O13" s="16">
        <v>6966992.2980000004</v>
      </c>
      <c r="P13" s="16">
        <v>1979</v>
      </c>
      <c r="Q13" s="16">
        <v>1974</v>
      </c>
      <c r="R13" s="12">
        <v>5</v>
      </c>
      <c r="S13" s="16">
        <v>58.874783000000001</v>
      </c>
      <c r="T13" s="16">
        <v>291.25</v>
      </c>
    </row>
    <row r="14" spans="1:20" ht="15.5" x14ac:dyDescent="0.35">
      <c r="A14" s="16" t="s">
        <v>17</v>
      </c>
      <c r="B14" s="16">
        <v>6</v>
      </c>
      <c r="C14" s="16">
        <v>15.186999999999999</v>
      </c>
      <c r="D14" s="16">
        <v>20.614000000000001</v>
      </c>
      <c r="E14" s="16">
        <v>15.332000000000001</v>
      </c>
      <c r="F14" s="16">
        <v>20.486999999999998</v>
      </c>
      <c r="G14" s="16">
        <v>0.14499999999999999</v>
      </c>
      <c r="H14" s="16">
        <v>0.27200000000000002</v>
      </c>
      <c r="I14" s="17">
        <v>9704017.9700000007</v>
      </c>
      <c r="J14" s="16">
        <v>9.7040179700000007</v>
      </c>
      <c r="K14" s="16">
        <v>449</v>
      </c>
      <c r="L14" s="16">
        <v>1187680.3589999999</v>
      </c>
      <c r="M14" s="16">
        <v>35.676536650000003</v>
      </c>
      <c r="N14" s="16">
        <v>1650.7352940000001</v>
      </c>
      <c r="O14" s="16">
        <v>5119311.8899999997</v>
      </c>
      <c r="P14" s="16">
        <v>1974</v>
      </c>
      <c r="Q14" s="16">
        <v>1969</v>
      </c>
      <c r="R14" s="12">
        <v>5</v>
      </c>
      <c r="S14" s="16">
        <v>3.5676536649999999</v>
      </c>
      <c r="T14" s="16">
        <v>165.07352940000001</v>
      </c>
    </row>
    <row r="15" spans="1:20" ht="15.5" x14ac:dyDescent="0.35">
      <c r="A15" s="16" t="s">
        <v>18</v>
      </c>
      <c r="B15" s="16">
        <v>6.5</v>
      </c>
      <c r="C15" s="16">
        <v>15.183999999999999</v>
      </c>
      <c r="D15" s="16">
        <v>20.611000000000001</v>
      </c>
      <c r="E15" s="16">
        <v>15.414</v>
      </c>
      <c r="F15" s="16">
        <v>20.318999999999999</v>
      </c>
      <c r="G15" s="16">
        <v>0.23</v>
      </c>
      <c r="H15" s="16">
        <v>0.52200000000000002</v>
      </c>
      <c r="I15" s="17">
        <v>115351004</v>
      </c>
      <c r="J15" s="16">
        <v>115.351004</v>
      </c>
      <c r="K15" s="16">
        <v>289</v>
      </c>
      <c r="L15" s="16">
        <v>1062841.4099999999</v>
      </c>
      <c r="M15" s="16">
        <v>220.97893490000001</v>
      </c>
      <c r="N15" s="16">
        <v>553.63984670000002</v>
      </c>
      <c r="O15" s="16">
        <v>8175703.1529999999</v>
      </c>
      <c r="P15" s="16">
        <v>1969</v>
      </c>
      <c r="Q15" s="16">
        <v>1964</v>
      </c>
      <c r="R15" s="12">
        <v>5</v>
      </c>
      <c r="S15" s="16">
        <v>22.097893490000001</v>
      </c>
      <c r="T15" s="16">
        <v>55.363984670000001</v>
      </c>
    </row>
    <row r="16" spans="1:20" ht="15.5" x14ac:dyDescent="0.35">
      <c r="A16" s="16" t="s">
        <v>19</v>
      </c>
      <c r="B16" s="16">
        <v>7</v>
      </c>
      <c r="C16" s="16">
        <v>15.183999999999999</v>
      </c>
      <c r="D16" s="16">
        <v>20.611000000000001</v>
      </c>
      <c r="E16" s="16">
        <v>15.334</v>
      </c>
      <c r="F16" s="16">
        <v>20.212</v>
      </c>
      <c r="G16" s="16">
        <v>0.15</v>
      </c>
      <c r="H16" s="16">
        <v>0.54900000000000004</v>
      </c>
      <c r="I16" s="17">
        <v>35183832.5</v>
      </c>
      <c r="J16" s="16">
        <v>35.183832500000001</v>
      </c>
      <c r="K16" s="16">
        <v>134</v>
      </c>
      <c r="L16" s="16">
        <v>113408.2188</v>
      </c>
      <c r="M16" s="16">
        <v>64.087126589999997</v>
      </c>
      <c r="N16" s="16">
        <v>244.0801457</v>
      </c>
      <c r="O16" s="16">
        <v>1145537.5630000001</v>
      </c>
      <c r="P16" s="16">
        <v>1964</v>
      </c>
      <c r="Q16" s="16">
        <v>1959</v>
      </c>
      <c r="R16" s="12">
        <v>5</v>
      </c>
      <c r="S16" s="16">
        <v>6.4087126589999999</v>
      </c>
      <c r="T16" s="16">
        <v>24.408014569999999</v>
      </c>
    </row>
    <row r="17" spans="1:20" ht="15.5" x14ac:dyDescent="0.35">
      <c r="A17" s="16" t="s">
        <v>20</v>
      </c>
      <c r="B17" s="16">
        <v>7.5</v>
      </c>
      <c r="C17" s="16">
        <v>15.185</v>
      </c>
      <c r="D17" s="16">
        <v>20.611999999999998</v>
      </c>
      <c r="E17" s="16">
        <v>15.343999999999999</v>
      </c>
      <c r="F17" s="16">
        <v>20.277999999999999</v>
      </c>
      <c r="G17" s="16">
        <v>0.159</v>
      </c>
      <c r="H17" s="16">
        <v>0.49299999999999999</v>
      </c>
      <c r="I17" s="17">
        <v>119827936</v>
      </c>
      <c r="J17" s="16">
        <v>119.82793599999999</v>
      </c>
      <c r="K17" s="16">
        <v>429</v>
      </c>
      <c r="L17" s="16">
        <v>155840.03210000001</v>
      </c>
      <c r="M17" s="16">
        <v>243.05869369999999</v>
      </c>
      <c r="N17" s="16">
        <v>870.18255580000005</v>
      </c>
      <c r="O17" s="16">
        <v>509281.15059999999</v>
      </c>
      <c r="P17" s="16">
        <v>1959</v>
      </c>
      <c r="Q17" s="16">
        <v>1955</v>
      </c>
      <c r="R17" s="12">
        <v>4</v>
      </c>
      <c r="S17" s="16">
        <v>30.382336710000001</v>
      </c>
      <c r="T17" s="16">
        <v>108.7728195</v>
      </c>
    </row>
    <row r="18" spans="1:20" ht="15.5" x14ac:dyDescent="0.35">
      <c r="A18" s="16" t="s">
        <v>21</v>
      </c>
      <c r="B18" s="16">
        <v>8</v>
      </c>
      <c r="C18" s="16">
        <v>15.186</v>
      </c>
      <c r="D18" s="16">
        <v>20.613</v>
      </c>
      <c r="E18" s="16">
        <v>15.318</v>
      </c>
      <c r="F18" s="16">
        <v>20.202000000000002</v>
      </c>
      <c r="G18" s="16">
        <v>0.13200000000000001</v>
      </c>
      <c r="H18" s="16">
        <v>0.54300000000000004</v>
      </c>
      <c r="I18" s="17">
        <v>52788461.5</v>
      </c>
      <c r="J18" s="16">
        <v>52.788461499999997</v>
      </c>
      <c r="K18" s="16">
        <v>198</v>
      </c>
      <c r="L18" s="16">
        <v>32182.064320000001</v>
      </c>
      <c r="M18" s="16">
        <v>97.216319519999999</v>
      </c>
      <c r="N18" s="16">
        <v>364.64088400000003</v>
      </c>
      <c r="O18" s="16">
        <v>174902.52350000001</v>
      </c>
      <c r="P18" s="16">
        <v>1955</v>
      </c>
      <c r="Q18" s="16">
        <v>1950</v>
      </c>
      <c r="R18" s="12">
        <v>5</v>
      </c>
      <c r="S18" s="16">
        <v>9.7216319519999992</v>
      </c>
      <c r="T18" s="16">
        <v>36.464088400000001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7B59D-DCF0-4E27-BFD9-FCBAB3972C1A}">
  <dimension ref="A1:R49"/>
  <sheetViews>
    <sheetView topLeftCell="F13" workbookViewId="0">
      <selection activeCell="A2" sqref="A2:R49"/>
    </sheetView>
  </sheetViews>
  <sheetFormatPr defaultRowHeight="14.5" x14ac:dyDescent="0.35"/>
  <cols>
    <col min="3" max="3" width="18.26953125" customWidth="1"/>
    <col min="4" max="4" width="17" customWidth="1"/>
    <col min="5" max="5" width="18.08984375" customWidth="1"/>
    <col min="6" max="6" width="17.36328125" customWidth="1"/>
    <col min="8" max="8" width="11.81640625" customWidth="1"/>
    <col min="9" max="9" width="15.08984375" customWidth="1"/>
    <col min="10" max="10" width="13.08984375" customWidth="1"/>
    <col min="11" max="11" width="13.26953125" customWidth="1"/>
    <col min="12" max="12" width="18.453125" customWidth="1"/>
    <col min="13" max="13" width="17.453125" customWidth="1"/>
    <col min="16" max="16" width="20.7265625" customWidth="1"/>
    <col min="17" max="17" width="24.7265625" customWidth="1"/>
  </cols>
  <sheetData>
    <row r="1" spans="1:18" s="2" customFormat="1" ht="80.5" customHeight="1" x14ac:dyDescent="0.35">
      <c r="A1" s="8" t="s">
        <v>0</v>
      </c>
      <c r="B1" s="8" t="s">
        <v>1</v>
      </c>
      <c r="C1" s="8" t="s">
        <v>29</v>
      </c>
      <c r="D1" s="8" t="s">
        <v>30</v>
      </c>
      <c r="E1" s="8" t="s">
        <v>2</v>
      </c>
      <c r="F1" s="8" t="s">
        <v>3</v>
      </c>
      <c r="G1" s="8" t="s">
        <v>39</v>
      </c>
      <c r="H1" s="8" t="s">
        <v>4</v>
      </c>
      <c r="I1" s="8" t="s">
        <v>31</v>
      </c>
      <c r="J1" s="8" t="s">
        <v>32</v>
      </c>
      <c r="K1" s="8" t="s">
        <v>33</v>
      </c>
      <c r="L1" s="8" t="s">
        <v>35</v>
      </c>
      <c r="M1" s="8" t="s">
        <v>41</v>
      </c>
      <c r="N1" s="9" t="s">
        <v>36</v>
      </c>
      <c r="O1" s="9" t="s">
        <v>37</v>
      </c>
      <c r="P1" s="8" t="s">
        <v>38</v>
      </c>
      <c r="Q1" s="9" t="s">
        <v>43</v>
      </c>
      <c r="R1" s="9" t="s">
        <v>40</v>
      </c>
    </row>
    <row r="2" spans="1:18" ht="15.5" x14ac:dyDescent="0.35">
      <c r="A2" s="11" t="s">
        <v>5</v>
      </c>
      <c r="B2" s="11">
        <v>0</v>
      </c>
      <c r="C2" s="11">
        <v>15.202</v>
      </c>
      <c r="D2" s="11">
        <v>20.620999999999999</v>
      </c>
      <c r="E2" s="11">
        <v>15.26</v>
      </c>
      <c r="F2" s="11">
        <v>20.475999999999999</v>
      </c>
      <c r="G2" s="11">
        <v>5.8000000000000003E-2</v>
      </c>
      <c r="H2" s="11">
        <v>0.20300000000000001</v>
      </c>
      <c r="I2" s="11">
        <v>257275859</v>
      </c>
      <c r="J2" s="11">
        <v>257.27585900000003</v>
      </c>
      <c r="K2" s="11">
        <v>542</v>
      </c>
      <c r="L2" s="11">
        <v>1267.3687640000001</v>
      </c>
      <c r="M2" s="11">
        <v>2669.9507389999999</v>
      </c>
      <c r="N2" s="15">
        <v>2022</v>
      </c>
      <c r="O2" s="15">
        <v>2019</v>
      </c>
      <c r="P2" s="11">
        <v>3</v>
      </c>
      <c r="Q2" s="11">
        <v>211.22812730000001</v>
      </c>
      <c r="R2" s="11">
        <v>444.99178979999999</v>
      </c>
    </row>
    <row r="3" spans="1:18" ht="15.5" x14ac:dyDescent="0.35">
      <c r="A3" s="11" t="s">
        <v>6</v>
      </c>
      <c r="B3" s="11">
        <v>0.5</v>
      </c>
      <c r="C3" s="11">
        <v>15.202</v>
      </c>
      <c r="D3" s="11">
        <v>20.620999999999999</v>
      </c>
      <c r="E3" s="11">
        <v>15.314</v>
      </c>
      <c r="F3" s="11">
        <v>20.61</v>
      </c>
      <c r="G3" s="11">
        <v>0.112</v>
      </c>
      <c r="H3" s="11">
        <v>0.123</v>
      </c>
      <c r="I3" s="11">
        <v>222044707</v>
      </c>
      <c r="J3" s="11">
        <v>222.04470699999999</v>
      </c>
      <c r="K3" s="11">
        <v>554</v>
      </c>
      <c r="L3" s="11">
        <v>1805.24152</v>
      </c>
      <c r="M3" s="11">
        <v>4504.0650409999998</v>
      </c>
      <c r="N3" s="15">
        <v>2019</v>
      </c>
      <c r="O3" s="15">
        <v>2017</v>
      </c>
      <c r="P3" s="11">
        <v>2</v>
      </c>
      <c r="Q3" s="11">
        <v>451.31038009999997</v>
      </c>
      <c r="R3" s="11">
        <v>1126.0162600000001</v>
      </c>
    </row>
    <row r="4" spans="1:18" ht="15.5" x14ac:dyDescent="0.35">
      <c r="A4" s="11" t="s">
        <v>7</v>
      </c>
      <c r="B4" s="11">
        <v>1</v>
      </c>
      <c r="C4" s="11">
        <v>15.202999999999999</v>
      </c>
      <c r="D4" s="11">
        <v>20.622</v>
      </c>
      <c r="E4" s="11">
        <v>15.276</v>
      </c>
      <c r="F4" s="11">
        <v>20.593</v>
      </c>
      <c r="G4" s="11">
        <v>7.2999999999999995E-2</v>
      </c>
      <c r="H4" s="11">
        <v>0.10199999999999999</v>
      </c>
      <c r="I4" s="11">
        <v>140446321</v>
      </c>
      <c r="J4" s="11">
        <v>140.44632100000001</v>
      </c>
      <c r="K4" s="11">
        <v>735</v>
      </c>
      <c r="L4" s="11">
        <v>1376.924716</v>
      </c>
      <c r="M4" s="11">
        <v>7205.882353</v>
      </c>
      <c r="N4" s="15">
        <v>2017</v>
      </c>
      <c r="O4" s="15">
        <v>2015</v>
      </c>
      <c r="P4" s="11">
        <v>2</v>
      </c>
      <c r="Q4" s="11">
        <v>344.23117889999997</v>
      </c>
      <c r="R4" s="11">
        <v>1801.4705879999999</v>
      </c>
    </row>
    <row r="5" spans="1:18" ht="15.5" x14ac:dyDescent="0.35">
      <c r="A5" s="11" t="s">
        <v>8</v>
      </c>
      <c r="B5" s="11">
        <v>1.5</v>
      </c>
      <c r="C5" s="11">
        <v>15.202999999999999</v>
      </c>
      <c r="D5" s="11">
        <v>20.622</v>
      </c>
      <c r="E5" s="11">
        <v>15.273</v>
      </c>
      <c r="F5" s="11">
        <v>20.472999999999999</v>
      </c>
      <c r="G5" s="11">
        <v>7.0000000000000007E-2</v>
      </c>
      <c r="H5" s="11">
        <v>0.219</v>
      </c>
      <c r="I5" s="11">
        <v>28917100.699999999</v>
      </c>
      <c r="J5" s="11">
        <v>28.917100699999999</v>
      </c>
      <c r="K5" s="11">
        <v>173</v>
      </c>
      <c r="L5" s="11">
        <v>132.0415557</v>
      </c>
      <c r="M5" s="11">
        <v>789.95433790000004</v>
      </c>
      <c r="N5" s="15">
        <v>2015</v>
      </c>
      <c r="O5" s="15">
        <v>2013</v>
      </c>
      <c r="P5" s="11">
        <v>2</v>
      </c>
      <c r="Q5" s="11">
        <v>33.010388929999998</v>
      </c>
      <c r="R5" s="11">
        <v>197.4885845</v>
      </c>
    </row>
    <row r="6" spans="1:18" ht="15.5" x14ac:dyDescent="0.35">
      <c r="A6" s="11" t="s">
        <v>9</v>
      </c>
      <c r="B6" s="11">
        <v>2</v>
      </c>
      <c r="C6" s="11">
        <v>15.202999999999999</v>
      </c>
      <c r="D6" s="11">
        <v>20.622</v>
      </c>
      <c r="E6" s="11">
        <v>15.24</v>
      </c>
      <c r="F6" s="11">
        <v>20.585000000000001</v>
      </c>
      <c r="G6" s="11">
        <v>3.6999999999999998E-2</v>
      </c>
      <c r="H6" s="11">
        <v>7.3999999999999996E-2</v>
      </c>
      <c r="I6" s="11">
        <v>194145692.80000001</v>
      </c>
      <c r="J6" s="11">
        <v>194.14569280000001</v>
      </c>
      <c r="K6" s="11">
        <v>123</v>
      </c>
      <c r="L6" s="11">
        <v>2623.5904430000001</v>
      </c>
      <c r="M6" s="11">
        <v>1662.1621620000001</v>
      </c>
      <c r="N6" s="15">
        <v>2013</v>
      </c>
      <c r="O6" s="15">
        <v>2011</v>
      </c>
      <c r="P6" s="11">
        <v>2</v>
      </c>
      <c r="Q6" s="11">
        <v>655.89761080000005</v>
      </c>
      <c r="R6" s="11">
        <v>415.54054050000002</v>
      </c>
    </row>
    <row r="7" spans="1:18" ht="15.5" x14ac:dyDescent="0.35">
      <c r="A7" s="11" t="s">
        <v>10</v>
      </c>
      <c r="B7" s="11">
        <v>2.5</v>
      </c>
      <c r="C7" s="11">
        <v>15.202</v>
      </c>
      <c r="D7" s="11">
        <v>20.620999999999999</v>
      </c>
      <c r="E7" s="11">
        <v>15.273999999999999</v>
      </c>
      <c r="F7" s="11">
        <v>20.504000000000001</v>
      </c>
      <c r="G7" s="11">
        <v>7.1999999999999995E-2</v>
      </c>
      <c r="H7" s="11">
        <v>0.189</v>
      </c>
      <c r="I7" s="11">
        <v>9038461.5399999991</v>
      </c>
      <c r="J7" s="11">
        <v>9.0384615400000001</v>
      </c>
      <c r="K7" s="11">
        <v>79</v>
      </c>
      <c r="L7" s="11">
        <v>47.822547829999998</v>
      </c>
      <c r="M7" s="11">
        <v>417.989418</v>
      </c>
      <c r="N7" s="15">
        <v>2011</v>
      </c>
      <c r="O7" s="15">
        <v>2006</v>
      </c>
      <c r="P7" s="11">
        <v>5</v>
      </c>
      <c r="Q7" s="11">
        <v>4.782254783</v>
      </c>
      <c r="R7" s="11">
        <v>41.798941800000001</v>
      </c>
    </row>
    <row r="8" spans="1:18" ht="15.5" x14ac:dyDescent="0.35">
      <c r="A8" s="11" t="s">
        <v>11</v>
      </c>
      <c r="B8" s="11">
        <v>3</v>
      </c>
      <c r="C8" s="11">
        <v>15.202</v>
      </c>
      <c r="D8" s="11">
        <v>20.622</v>
      </c>
      <c r="E8" s="11">
        <v>15.295999999999999</v>
      </c>
      <c r="F8" s="11">
        <v>20.463999999999999</v>
      </c>
      <c r="G8" s="11">
        <v>9.4E-2</v>
      </c>
      <c r="H8" s="11">
        <v>0.252</v>
      </c>
      <c r="I8" s="11">
        <v>8672037.4299999997</v>
      </c>
      <c r="J8" s="11">
        <v>8.6720374299999996</v>
      </c>
      <c r="K8" s="11">
        <v>85</v>
      </c>
      <c r="L8" s="11">
        <v>34.412846940000001</v>
      </c>
      <c r="M8" s="11">
        <v>337.30158729999999</v>
      </c>
      <c r="N8" s="15">
        <v>2006</v>
      </c>
      <c r="O8" s="15">
        <v>2000</v>
      </c>
      <c r="P8" s="11">
        <v>6</v>
      </c>
      <c r="Q8" s="11">
        <v>2.8677372449999998</v>
      </c>
      <c r="R8" s="11">
        <v>28.10846561</v>
      </c>
    </row>
    <row r="9" spans="1:18" ht="15.5" x14ac:dyDescent="0.35">
      <c r="A9" s="11" t="s">
        <v>12</v>
      </c>
      <c r="B9" s="11">
        <v>3.5</v>
      </c>
      <c r="C9" s="11">
        <v>15.202999999999999</v>
      </c>
      <c r="D9" s="11">
        <v>20.622</v>
      </c>
      <c r="E9" s="11">
        <v>15.323</v>
      </c>
      <c r="F9" s="11">
        <v>20.434000000000001</v>
      </c>
      <c r="G9" s="11">
        <v>0.12</v>
      </c>
      <c r="H9" s="11">
        <v>0.308</v>
      </c>
      <c r="I9" s="11">
        <v>5914882.7699999996</v>
      </c>
      <c r="J9" s="11">
        <v>5.9148827700000002</v>
      </c>
      <c r="K9" s="11">
        <v>38</v>
      </c>
      <c r="L9" s="11">
        <v>19.204164840000001</v>
      </c>
      <c r="M9" s="11">
        <v>123.3766234</v>
      </c>
      <c r="N9" s="15">
        <v>2000</v>
      </c>
      <c r="O9" s="15">
        <v>1995</v>
      </c>
      <c r="P9" s="11">
        <v>5</v>
      </c>
      <c r="Q9" s="11">
        <v>1.920416484</v>
      </c>
      <c r="R9" s="11">
        <v>12.33766234</v>
      </c>
    </row>
    <row r="10" spans="1:18" ht="15.5" x14ac:dyDescent="0.35">
      <c r="A10" s="11" t="s">
        <v>13</v>
      </c>
      <c r="B10" s="11">
        <v>4</v>
      </c>
      <c r="C10" s="11">
        <v>15.202999999999999</v>
      </c>
      <c r="D10" s="11">
        <v>20.622</v>
      </c>
      <c r="E10" s="11">
        <v>15.297000000000001</v>
      </c>
      <c r="F10" s="11">
        <v>20.486000000000001</v>
      </c>
      <c r="G10" s="11">
        <v>9.4E-2</v>
      </c>
      <c r="H10" s="11">
        <v>0.23</v>
      </c>
      <c r="I10" s="11">
        <v>13404689.1</v>
      </c>
      <c r="J10" s="11">
        <v>13.404689100000001</v>
      </c>
      <c r="K10" s="11">
        <v>121</v>
      </c>
      <c r="L10" s="11">
        <v>58.28125696</v>
      </c>
      <c r="M10" s="11">
        <v>526.08695650000004</v>
      </c>
      <c r="N10" s="15">
        <v>1995</v>
      </c>
      <c r="O10" s="15">
        <v>1990</v>
      </c>
      <c r="P10" s="11">
        <v>5</v>
      </c>
      <c r="Q10" s="11">
        <v>5.8281256959999999</v>
      </c>
      <c r="R10" s="11">
        <v>52.608695650000001</v>
      </c>
    </row>
    <row r="11" spans="1:18" ht="15.5" x14ac:dyDescent="0.35">
      <c r="A11" s="11" t="s">
        <v>14</v>
      </c>
      <c r="B11" s="11">
        <v>4.5</v>
      </c>
      <c r="C11" s="11">
        <v>15.202999999999999</v>
      </c>
      <c r="D11" s="11">
        <v>20.622</v>
      </c>
      <c r="E11" s="11">
        <v>15.272</v>
      </c>
      <c r="F11" s="11">
        <v>20.565000000000001</v>
      </c>
      <c r="G11" s="11">
        <v>6.9000000000000006E-2</v>
      </c>
      <c r="H11" s="11">
        <v>0.126</v>
      </c>
      <c r="I11" s="11">
        <v>10290000</v>
      </c>
      <c r="J11" s="11">
        <v>10.29</v>
      </c>
      <c r="K11" s="11">
        <v>91</v>
      </c>
      <c r="L11" s="11">
        <v>81.666666669999998</v>
      </c>
      <c r="M11" s="11">
        <v>722.22222220000003</v>
      </c>
      <c r="N11" s="15">
        <v>1990</v>
      </c>
      <c r="O11" s="15">
        <v>1985</v>
      </c>
      <c r="P11" s="11">
        <v>5</v>
      </c>
      <c r="Q11" s="11">
        <v>8.1666666669999994</v>
      </c>
      <c r="R11" s="11">
        <v>72.222222220000006</v>
      </c>
    </row>
    <row r="12" spans="1:18" ht="15.5" x14ac:dyDescent="0.35">
      <c r="A12" s="11" t="s">
        <v>15</v>
      </c>
      <c r="B12" s="11">
        <v>5</v>
      </c>
      <c r="C12" s="11">
        <v>15.202999999999999</v>
      </c>
      <c r="D12" s="11">
        <v>20.622</v>
      </c>
      <c r="E12" s="11">
        <v>15.278</v>
      </c>
      <c r="F12" s="11">
        <v>20.515000000000001</v>
      </c>
      <c r="G12" s="11">
        <v>7.4999999999999997E-2</v>
      </c>
      <c r="H12" s="11">
        <v>0.182</v>
      </c>
      <c r="I12" s="11">
        <v>36739059.799999997</v>
      </c>
      <c r="J12" s="11">
        <v>36.7390598</v>
      </c>
      <c r="K12" s="11">
        <v>178</v>
      </c>
      <c r="L12" s="11">
        <v>201.86296590000001</v>
      </c>
      <c r="M12" s="11">
        <v>978.02197799999999</v>
      </c>
      <c r="N12" s="15">
        <v>1985</v>
      </c>
      <c r="O12" s="15">
        <v>1979</v>
      </c>
      <c r="P12" s="11">
        <v>6</v>
      </c>
      <c r="Q12" s="11">
        <v>16.82191383</v>
      </c>
      <c r="R12" s="11">
        <v>81.501831499999994</v>
      </c>
    </row>
    <row r="13" spans="1:18" ht="15.5" x14ac:dyDescent="0.35">
      <c r="A13" s="11" t="s">
        <v>16</v>
      </c>
      <c r="B13" s="11">
        <v>5.5</v>
      </c>
      <c r="C13" s="11">
        <v>15.202999999999999</v>
      </c>
      <c r="D13" s="11">
        <v>20.622</v>
      </c>
      <c r="E13" s="11">
        <v>15.260999999999999</v>
      </c>
      <c r="F13" s="11">
        <v>20.564</v>
      </c>
      <c r="G13" s="11">
        <v>5.8000000000000003E-2</v>
      </c>
      <c r="H13" s="11">
        <v>0.11600000000000001</v>
      </c>
      <c r="I13" s="11">
        <v>12260383.4</v>
      </c>
      <c r="J13" s="11">
        <v>12.2603834</v>
      </c>
      <c r="K13" s="11">
        <v>91</v>
      </c>
      <c r="L13" s="11">
        <v>105.6929603</v>
      </c>
      <c r="M13" s="11">
        <v>784.48275860000001</v>
      </c>
      <c r="N13" s="15">
        <v>1979</v>
      </c>
      <c r="O13" s="15">
        <v>1974</v>
      </c>
      <c r="P13" s="11">
        <v>5</v>
      </c>
      <c r="Q13" s="11">
        <v>10.56929603</v>
      </c>
      <c r="R13" s="11">
        <v>78.448275859999995</v>
      </c>
    </row>
    <row r="14" spans="1:18" ht="15.5" x14ac:dyDescent="0.35">
      <c r="A14" s="11" t="s">
        <v>17</v>
      </c>
      <c r="B14" s="11">
        <v>6</v>
      </c>
      <c r="C14" s="11">
        <v>15.202999999999999</v>
      </c>
      <c r="D14" s="11">
        <v>20.622</v>
      </c>
      <c r="E14" s="11">
        <v>15.297000000000001</v>
      </c>
      <c r="F14" s="11">
        <v>20.535</v>
      </c>
      <c r="G14" s="11">
        <v>9.4E-2</v>
      </c>
      <c r="H14" s="11">
        <v>0.18099999999999999</v>
      </c>
      <c r="I14" s="11">
        <v>27619775.699999999</v>
      </c>
      <c r="J14" s="11">
        <v>27.619775700000002</v>
      </c>
      <c r="K14" s="11">
        <v>166</v>
      </c>
      <c r="L14" s="11">
        <v>152.59544589999999</v>
      </c>
      <c r="M14" s="11">
        <v>917.12707179999995</v>
      </c>
      <c r="N14" s="15">
        <v>1974</v>
      </c>
      <c r="O14" s="15">
        <v>1969</v>
      </c>
      <c r="P14" s="11">
        <v>5</v>
      </c>
      <c r="Q14" s="11">
        <v>15.259544590000001</v>
      </c>
      <c r="R14" s="11">
        <v>91.712707179999995</v>
      </c>
    </row>
    <row r="15" spans="1:18" ht="15.5" x14ac:dyDescent="0.35">
      <c r="A15" s="11" t="s">
        <v>18</v>
      </c>
      <c r="B15" s="11">
        <v>6.5</v>
      </c>
      <c r="C15" s="11">
        <v>15.202999999999999</v>
      </c>
      <c r="D15" s="11">
        <v>20.622</v>
      </c>
      <c r="E15" s="11">
        <v>15.295999999999999</v>
      </c>
      <c r="F15" s="11">
        <v>20.475999999999999</v>
      </c>
      <c r="G15" s="11">
        <v>9.2999999999999999E-2</v>
      </c>
      <c r="H15" s="11">
        <v>0.23899999999999999</v>
      </c>
      <c r="I15" s="11">
        <v>12082052.300000001</v>
      </c>
      <c r="J15" s="11">
        <v>12.082052300000001</v>
      </c>
      <c r="K15" s="11">
        <v>143</v>
      </c>
      <c r="L15" s="11">
        <v>50.552520080000001</v>
      </c>
      <c r="M15" s="11">
        <v>598.32635979999998</v>
      </c>
      <c r="N15" s="15">
        <v>1969</v>
      </c>
      <c r="O15" s="15">
        <v>1964</v>
      </c>
      <c r="P15" s="11">
        <v>5</v>
      </c>
      <c r="Q15" s="11">
        <v>5.0552520080000001</v>
      </c>
      <c r="R15" s="11">
        <v>59.832635979999999</v>
      </c>
    </row>
    <row r="16" spans="1:18" ht="15.5" x14ac:dyDescent="0.35">
      <c r="A16" s="11" t="s">
        <v>19</v>
      </c>
      <c r="B16" s="11">
        <v>7</v>
      </c>
      <c r="C16" s="11">
        <v>15.202999999999999</v>
      </c>
      <c r="D16" s="11">
        <v>20.622</v>
      </c>
      <c r="E16" s="11">
        <v>15.303000000000001</v>
      </c>
      <c r="F16" s="11">
        <v>20.478999999999999</v>
      </c>
      <c r="G16" s="11">
        <v>0.1</v>
      </c>
      <c r="H16" s="11">
        <v>0.24299999999999999</v>
      </c>
      <c r="I16" s="11">
        <v>10697781.9</v>
      </c>
      <c r="J16" s="11">
        <v>10.697781900000001</v>
      </c>
      <c r="K16" s="11">
        <v>100</v>
      </c>
      <c r="L16" s="11">
        <v>44.023793830000002</v>
      </c>
      <c r="M16" s="11">
        <v>411.52263369999997</v>
      </c>
      <c r="N16" s="15">
        <v>1964</v>
      </c>
      <c r="O16" s="15">
        <v>1958</v>
      </c>
      <c r="P16" s="11">
        <v>6</v>
      </c>
      <c r="Q16" s="11">
        <v>3.6686494860000001</v>
      </c>
      <c r="R16" s="11">
        <v>34.293552810000001</v>
      </c>
    </row>
    <row r="17" spans="1:18" ht="15.5" x14ac:dyDescent="0.35">
      <c r="A17" s="11" t="s">
        <v>20</v>
      </c>
      <c r="B17" s="11">
        <v>7.5</v>
      </c>
      <c r="C17" s="11">
        <v>15.202999999999999</v>
      </c>
      <c r="D17" s="11">
        <v>20.622</v>
      </c>
      <c r="E17" s="11">
        <v>15.321</v>
      </c>
      <c r="F17" s="11">
        <v>20.613</v>
      </c>
      <c r="G17" s="11">
        <v>0.11799999999999999</v>
      </c>
      <c r="H17" s="11">
        <v>0.127</v>
      </c>
      <c r="I17" s="11">
        <v>12100000</v>
      </c>
      <c r="J17" s="11">
        <v>12.1</v>
      </c>
      <c r="K17" s="11">
        <v>65</v>
      </c>
      <c r="L17" s="11">
        <v>95.275590550000004</v>
      </c>
      <c r="M17" s="11">
        <v>511.8110236</v>
      </c>
      <c r="N17" s="15">
        <v>1958</v>
      </c>
      <c r="O17" s="15">
        <v>1953</v>
      </c>
      <c r="P17" s="11">
        <v>5</v>
      </c>
      <c r="Q17" s="11">
        <v>9.5275590549999993</v>
      </c>
      <c r="R17" s="11">
        <v>51.181102359999997</v>
      </c>
    </row>
    <row r="18" spans="1:18" ht="15.5" x14ac:dyDescent="0.35">
      <c r="A18" s="11" t="s">
        <v>21</v>
      </c>
      <c r="B18" s="11">
        <v>8</v>
      </c>
      <c r="C18" s="11">
        <v>15.202999999999999</v>
      </c>
      <c r="D18" s="11">
        <v>20.622</v>
      </c>
      <c r="E18" s="11">
        <v>15.340999999999999</v>
      </c>
      <c r="F18" s="11">
        <v>20.641999999999999</v>
      </c>
      <c r="G18" s="11">
        <v>0.13800000000000001</v>
      </c>
      <c r="H18" s="11">
        <v>0.11799999999999999</v>
      </c>
      <c r="I18" s="11">
        <v>25341204.5</v>
      </c>
      <c r="J18" s="11">
        <v>25.3412045</v>
      </c>
      <c r="K18" s="11">
        <v>94</v>
      </c>
      <c r="L18" s="11">
        <v>214.7559703</v>
      </c>
      <c r="M18" s="11">
        <v>796.61016949999998</v>
      </c>
      <c r="N18" s="15">
        <v>1953</v>
      </c>
      <c r="O18" s="15">
        <v>1948</v>
      </c>
      <c r="P18" s="11">
        <v>5</v>
      </c>
      <c r="Q18" s="11">
        <v>21.475597029999999</v>
      </c>
      <c r="R18" s="11">
        <v>79.661016950000004</v>
      </c>
    </row>
    <row r="19" spans="1:18" ht="15.5" x14ac:dyDescent="0.35">
      <c r="A19" s="11" t="s">
        <v>22</v>
      </c>
      <c r="B19" s="11">
        <v>8.5</v>
      </c>
      <c r="C19" s="11">
        <v>15.202999999999999</v>
      </c>
      <c r="D19" s="11">
        <v>20.622</v>
      </c>
      <c r="E19" s="11">
        <v>15.334</v>
      </c>
      <c r="F19" s="11">
        <v>20.405000000000001</v>
      </c>
      <c r="G19" s="11">
        <v>0.13100000000000001</v>
      </c>
      <c r="H19" s="11">
        <v>0.34799999999999998</v>
      </c>
      <c r="I19" s="11">
        <v>34220645.600000001</v>
      </c>
      <c r="J19" s="11">
        <v>34.220645599999997</v>
      </c>
      <c r="K19" s="11">
        <v>111</v>
      </c>
      <c r="L19" s="11">
        <v>98.335188509999995</v>
      </c>
      <c r="M19" s="11">
        <v>318.96551720000002</v>
      </c>
      <c r="N19" s="15">
        <v>1948</v>
      </c>
      <c r="O19" s="15">
        <v>1942</v>
      </c>
      <c r="P19" s="11">
        <v>6</v>
      </c>
      <c r="Q19" s="11">
        <v>8.1945990420000001</v>
      </c>
      <c r="R19" s="11">
        <v>26.580459770000001</v>
      </c>
    </row>
    <row r="20" spans="1:18" ht="15.5" x14ac:dyDescent="0.35">
      <c r="A20" s="11" t="s">
        <v>23</v>
      </c>
      <c r="B20" s="11">
        <v>9</v>
      </c>
      <c r="C20" s="11">
        <v>15.202999999999999</v>
      </c>
      <c r="D20" s="11">
        <v>20.622</v>
      </c>
      <c r="E20" s="11">
        <v>15.422000000000001</v>
      </c>
      <c r="F20" s="11">
        <v>20.641999999999999</v>
      </c>
      <c r="G20" s="11">
        <v>0.219</v>
      </c>
      <c r="H20" s="11">
        <v>0.19900000000000001</v>
      </c>
      <c r="I20" s="11">
        <v>32021772.100000001</v>
      </c>
      <c r="J20" s="11">
        <v>32.0217721</v>
      </c>
      <c r="K20" s="11">
        <v>155</v>
      </c>
      <c r="L20" s="11">
        <v>160.91342760000001</v>
      </c>
      <c r="M20" s="11">
        <v>778.89447240000004</v>
      </c>
      <c r="N20" s="15">
        <v>1942</v>
      </c>
      <c r="O20" s="15">
        <v>1937</v>
      </c>
      <c r="P20" s="11">
        <v>5</v>
      </c>
      <c r="Q20" s="11">
        <v>16.09134276</v>
      </c>
      <c r="R20" s="11">
        <v>77.889447239999996</v>
      </c>
    </row>
    <row r="21" spans="1:18" ht="15.5" x14ac:dyDescent="0.35">
      <c r="A21" s="11" t="s">
        <v>24</v>
      </c>
      <c r="B21" s="11">
        <v>9.5</v>
      </c>
      <c r="C21" s="11">
        <v>15.202999999999999</v>
      </c>
      <c r="D21" s="11">
        <v>20.622</v>
      </c>
      <c r="E21" s="11">
        <v>15.356999999999999</v>
      </c>
      <c r="F21" s="11">
        <v>20.562999999999999</v>
      </c>
      <c r="G21" s="11">
        <v>0.154</v>
      </c>
      <c r="H21" s="11">
        <v>0.21299999999999999</v>
      </c>
      <c r="I21" s="11">
        <v>17622224.899999999</v>
      </c>
      <c r="J21" s="11">
        <v>17.622224899999999</v>
      </c>
      <c r="K21" s="11">
        <v>103</v>
      </c>
      <c r="L21" s="11">
        <v>82.733450230000003</v>
      </c>
      <c r="M21" s="11">
        <v>483.56807509999999</v>
      </c>
      <c r="N21" s="15">
        <v>1937</v>
      </c>
      <c r="O21" s="15">
        <v>1932</v>
      </c>
      <c r="P21" s="11">
        <v>5</v>
      </c>
      <c r="Q21" s="11">
        <v>8.2733450229999992</v>
      </c>
      <c r="R21" s="11">
        <v>48.356807510000003</v>
      </c>
    </row>
    <row r="22" spans="1:18" ht="15.5" x14ac:dyDescent="0.35">
      <c r="A22" s="11" t="s">
        <v>25</v>
      </c>
      <c r="B22" s="11">
        <v>10</v>
      </c>
      <c r="C22" s="11">
        <v>15.204000000000001</v>
      </c>
      <c r="D22" s="11">
        <v>20.620999999999999</v>
      </c>
      <c r="E22" s="11">
        <v>15.331</v>
      </c>
      <c r="F22" s="11">
        <v>20.378</v>
      </c>
      <c r="G22" s="11">
        <v>0.127</v>
      </c>
      <c r="H22" s="11">
        <v>0.37</v>
      </c>
      <c r="I22" s="11">
        <v>14129609.5</v>
      </c>
      <c r="J22" s="11">
        <v>14.129609500000001</v>
      </c>
      <c r="K22" s="11">
        <v>141</v>
      </c>
      <c r="L22" s="11">
        <v>38.188133780000001</v>
      </c>
      <c r="M22" s="11">
        <v>381.08108110000001</v>
      </c>
      <c r="N22" s="15">
        <v>1932</v>
      </c>
      <c r="O22" s="15">
        <v>1927</v>
      </c>
      <c r="P22" s="11">
        <v>5</v>
      </c>
      <c r="Q22" s="11">
        <v>3.8188133780000002</v>
      </c>
      <c r="R22" s="11">
        <v>38.108108110000003</v>
      </c>
    </row>
    <row r="23" spans="1:18" ht="15.5" x14ac:dyDescent="0.35">
      <c r="A23" s="11" t="s">
        <v>26</v>
      </c>
      <c r="B23" s="11">
        <v>10.5</v>
      </c>
      <c r="C23" s="11">
        <v>15.202999999999999</v>
      </c>
      <c r="D23" s="11">
        <v>20.620999999999999</v>
      </c>
      <c r="E23" s="11">
        <v>15.423999999999999</v>
      </c>
      <c r="F23" s="11">
        <v>20.713999999999999</v>
      </c>
      <c r="G23" s="11">
        <v>0.221</v>
      </c>
      <c r="H23" s="11">
        <v>0.128</v>
      </c>
      <c r="I23" s="11">
        <v>26854663.800000001</v>
      </c>
      <c r="J23" s="11">
        <v>26.854663800000001</v>
      </c>
      <c r="K23" s="11">
        <v>164</v>
      </c>
      <c r="L23" s="11">
        <v>209.80206089999999</v>
      </c>
      <c r="M23" s="11">
        <v>1281.25</v>
      </c>
      <c r="N23" s="15">
        <v>1927</v>
      </c>
      <c r="O23" s="15">
        <v>1921</v>
      </c>
      <c r="P23" s="11">
        <v>6</v>
      </c>
      <c r="Q23" s="11">
        <v>17.48350508</v>
      </c>
      <c r="R23" s="11">
        <v>106.77083330000001</v>
      </c>
    </row>
    <row r="24" spans="1:18" ht="15.5" x14ac:dyDescent="0.35">
      <c r="A24" s="11" t="s">
        <v>27</v>
      </c>
      <c r="B24" s="11">
        <v>11</v>
      </c>
      <c r="C24" s="11">
        <v>15.201000000000001</v>
      </c>
      <c r="D24" s="11">
        <v>20.620999999999999</v>
      </c>
      <c r="E24" s="11">
        <v>15.441000000000001</v>
      </c>
      <c r="F24" s="11">
        <v>20.449000000000002</v>
      </c>
      <c r="G24" s="11">
        <v>0.24</v>
      </c>
      <c r="H24" s="11">
        <v>0.41199999999999998</v>
      </c>
      <c r="I24" s="11">
        <v>34726138.799999997</v>
      </c>
      <c r="J24" s="11">
        <v>34.726138800000001</v>
      </c>
      <c r="K24" s="11">
        <v>217</v>
      </c>
      <c r="L24" s="11">
        <v>84.286744659999997</v>
      </c>
      <c r="M24" s="11">
        <v>526.69902909999996</v>
      </c>
      <c r="N24" s="15">
        <v>1921</v>
      </c>
      <c r="O24" s="15">
        <v>1916</v>
      </c>
      <c r="P24" s="11">
        <v>5</v>
      </c>
      <c r="Q24" s="11">
        <v>8.4286744660000004</v>
      </c>
      <c r="R24" s="11">
        <v>52.669902909999998</v>
      </c>
    </row>
    <row r="25" spans="1:18" ht="15.5" x14ac:dyDescent="0.35">
      <c r="A25" s="11" t="s">
        <v>28</v>
      </c>
      <c r="B25" s="11">
        <v>11.5</v>
      </c>
      <c r="C25" s="11">
        <v>15.202999999999999</v>
      </c>
      <c r="D25" s="11">
        <v>20.63</v>
      </c>
      <c r="E25" s="11">
        <v>15.430999999999999</v>
      </c>
      <c r="F25" s="11">
        <v>20.713999999999999</v>
      </c>
      <c r="G25" s="11">
        <v>0.22800000000000001</v>
      </c>
      <c r="H25" s="11">
        <v>0.14399999999999999</v>
      </c>
      <c r="I25" s="11">
        <v>21065618.199999999</v>
      </c>
      <c r="J25" s="11">
        <v>21.065618199999999</v>
      </c>
      <c r="K25" s="11">
        <v>153</v>
      </c>
      <c r="L25" s="11">
        <v>146.28901529999999</v>
      </c>
      <c r="M25" s="11">
        <v>1062.5</v>
      </c>
      <c r="N25" s="15">
        <v>1916</v>
      </c>
      <c r="O25" s="15">
        <v>1911</v>
      </c>
      <c r="P25" s="11">
        <v>5</v>
      </c>
      <c r="Q25" s="11">
        <v>14.62890153</v>
      </c>
      <c r="R25" s="11">
        <v>106.25</v>
      </c>
    </row>
    <row r="26" spans="1:18" ht="15.5" x14ac:dyDescent="0.35">
      <c r="A26" s="11" t="s">
        <v>44</v>
      </c>
      <c r="B26" s="11">
        <v>12</v>
      </c>
      <c r="C26" s="11">
        <v>15.202999999999999</v>
      </c>
      <c r="D26" s="11">
        <v>20.63</v>
      </c>
      <c r="E26" s="11">
        <v>15.461</v>
      </c>
      <c r="F26" s="11">
        <v>20.648</v>
      </c>
      <c r="G26" s="11">
        <v>0.25800000000000001</v>
      </c>
      <c r="H26" s="11">
        <v>0.24</v>
      </c>
      <c r="I26" s="11">
        <v>28579175.699999999</v>
      </c>
      <c r="J26" s="11">
        <v>28.5791757</v>
      </c>
      <c r="K26" s="11">
        <v>237</v>
      </c>
      <c r="L26" s="11">
        <v>119.0798988</v>
      </c>
      <c r="M26" s="11">
        <v>987.5</v>
      </c>
      <c r="N26" s="15">
        <v>1911</v>
      </c>
      <c r="O26" s="15">
        <v>1906</v>
      </c>
      <c r="P26" s="11">
        <v>5</v>
      </c>
      <c r="Q26" s="11">
        <v>11.907989880000001</v>
      </c>
      <c r="R26" s="11">
        <v>98.75</v>
      </c>
    </row>
    <row r="27" spans="1:18" ht="15.5" x14ac:dyDescent="0.35">
      <c r="A27" s="11" t="s">
        <v>45</v>
      </c>
      <c r="B27" s="11">
        <v>12.5</v>
      </c>
      <c r="C27" s="11">
        <v>15.202999999999999</v>
      </c>
      <c r="D27" s="11">
        <v>20.63</v>
      </c>
      <c r="E27" s="11">
        <v>15.542999999999999</v>
      </c>
      <c r="F27" s="11">
        <v>20.63</v>
      </c>
      <c r="G27" s="11">
        <v>0.34</v>
      </c>
      <c r="H27" s="11">
        <v>0.34</v>
      </c>
      <c r="I27" s="11">
        <v>34563723.399999999</v>
      </c>
      <c r="J27" s="11">
        <v>34.563723400000001</v>
      </c>
      <c r="K27" s="11">
        <v>117</v>
      </c>
      <c r="L27" s="11">
        <v>101.65801</v>
      </c>
      <c r="M27" s="11">
        <v>344.1176471</v>
      </c>
      <c r="N27" s="15">
        <v>1906</v>
      </c>
      <c r="O27" s="15">
        <v>1900</v>
      </c>
      <c r="P27" s="11">
        <v>6</v>
      </c>
      <c r="Q27" s="11">
        <v>8.4715008330000003</v>
      </c>
      <c r="R27" s="11">
        <v>28.676470590000001</v>
      </c>
    </row>
    <row r="28" spans="1:18" ht="15.5" x14ac:dyDescent="0.35">
      <c r="A28" s="11" t="s">
        <v>46</v>
      </c>
      <c r="B28" s="11">
        <v>13</v>
      </c>
      <c r="C28" s="11">
        <v>15.202999999999999</v>
      </c>
      <c r="D28" s="11">
        <v>20.63</v>
      </c>
      <c r="E28" s="11">
        <v>15.366</v>
      </c>
      <c r="F28" s="11">
        <v>20.564</v>
      </c>
      <c r="G28" s="11">
        <v>0.16300000000000001</v>
      </c>
      <c r="H28" s="11">
        <v>0.22900000000000001</v>
      </c>
      <c r="I28" s="11">
        <v>30435472.199999999</v>
      </c>
      <c r="J28" s="11">
        <v>30.4354722</v>
      </c>
      <c r="K28" s="11">
        <v>198</v>
      </c>
      <c r="L28" s="11">
        <v>132.90599209999999</v>
      </c>
      <c r="M28" s="11">
        <v>864.62882100000002</v>
      </c>
      <c r="N28" s="15">
        <v>1900</v>
      </c>
      <c r="O28" s="15">
        <v>1895</v>
      </c>
      <c r="P28" s="11">
        <v>5</v>
      </c>
      <c r="Q28" s="11">
        <v>13.29059921</v>
      </c>
      <c r="R28" s="11">
        <v>86.462882100000002</v>
      </c>
    </row>
    <row r="29" spans="1:18" ht="15.5" x14ac:dyDescent="0.35">
      <c r="A29" s="11" t="s">
        <v>47</v>
      </c>
      <c r="B29" s="11">
        <v>13.5</v>
      </c>
      <c r="C29" s="11">
        <v>15.202999999999999</v>
      </c>
      <c r="D29" s="11">
        <v>20.63</v>
      </c>
      <c r="E29" s="11">
        <v>15.487</v>
      </c>
      <c r="F29" s="11">
        <v>20.722999999999999</v>
      </c>
      <c r="G29" s="11">
        <v>0.28399999999999997</v>
      </c>
      <c r="H29" s="11">
        <v>0.191</v>
      </c>
      <c r="I29" s="11">
        <v>52970374.200000003</v>
      </c>
      <c r="J29" s="11">
        <v>52.970374200000002</v>
      </c>
      <c r="K29" s="11">
        <v>110</v>
      </c>
      <c r="L29" s="11">
        <v>277.3318021</v>
      </c>
      <c r="M29" s="11">
        <v>575.91623040000002</v>
      </c>
      <c r="N29" s="15">
        <v>1895</v>
      </c>
      <c r="O29" s="15">
        <v>1892</v>
      </c>
      <c r="P29" s="11">
        <v>3</v>
      </c>
      <c r="Q29" s="11">
        <v>46.221967020000001</v>
      </c>
      <c r="R29" s="11">
        <v>95.986038390000004</v>
      </c>
    </row>
    <row r="30" spans="1:18" ht="15.5" x14ac:dyDescent="0.35">
      <c r="A30" s="11" t="s">
        <v>48</v>
      </c>
      <c r="B30" s="11">
        <v>14</v>
      </c>
      <c r="C30" s="11">
        <v>15.202999999999999</v>
      </c>
      <c r="D30" s="11">
        <v>20.629000000000001</v>
      </c>
      <c r="E30" s="11">
        <v>15.358000000000001</v>
      </c>
      <c r="F30" s="11">
        <v>20.661000000000001</v>
      </c>
      <c r="G30" s="11">
        <v>0.155</v>
      </c>
      <c r="H30" s="11">
        <v>0.123</v>
      </c>
      <c r="I30" s="11">
        <v>27116451</v>
      </c>
      <c r="J30" s="11">
        <v>27.116451000000001</v>
      </c>
      <c r="K30" s="11">
        <v>133</v>
      </c>
      <c r="L30" s="11">
        <v>220.4589512</v>
      </c>
      <c r="M30" s="11">
        <v>1081.3008130000001</v>
      </c>
      <c r="N30" s="15">
        <v>1892</v>
      </c>
      <c r="O30" s="15">
        <v>1890</v>
      </c>
      <c r="P30" s="11">
        <v>2</v>
      </c>
      <c r="Q30" s="11">
        <v>55.1147378</v>
      </c>
      <c r="R30" s="11">
        <v>270.3252033</v>
      </c>
    </row>
    <row r="31" spans="1:18" ht="15.5" x14ac:dyDescent="0.35">
      <c r="A31" s="11" t="s">
        <v>49</v>
      </c>
      <c r="B31" s="11">
        <v>14.5</v>
      </c>
      <c r="C31" s="11">
        <v>15.202999999999999</v>
      </c>
      <c r="D31" s="11">
        <v>20.63</v>
      </c>
      <c r="E31" s="11">
        <v>15.379</v>
      </c>
      <c r="F31" s="11">
        <v>20.693000000000001</v>
      </c>
      <c r="G31" s="11">
        <v>0.17599999999999999</v>
      </c>
      <c r="H31" s="11">
        <v>0.113</v>
      </c>
      <c r="I31" s="11">
        <v>33327171.899999999</v>
      </c>
      <c r="J31" s="11">
        <v>33.327171900000003</v>
      </c>
      <c r="K31" s="11">
        <v>156</v>
      </c>
      <c r="L31" s="11">
        <v>294.93072480000001</v>
      </c>
      <c r="M31" s="11">
        <v>1380.5309729999999</v>
      </c>
      <c r="N31" s="15">
        <v>1890</v>
      </c>
      <c r="O31" s="15">
        <v>1887</v>
      </c>
      <c r="P31" s="11">
        <v>3</v>
      </c>
      <c r="Q31" s="11">
        <v>49.155120799999999</v>
      </c>
      <c r="R31" s="11">
        <v>230.08849559999999</v>
      </c>
    </row>
    <row r="32" spans="1:18" ht="15.5" x14ac:dyDescent="0.35">
      <c r="A32" s="11" t="s">
        <v>50</v>
      </c>
      <c r="B32" s="11">
        <v>15</v>
      </c>
      <c r="C32" s="11">
        <v>15.202999999999999</v>
      </c>
      <c r="D32" s="11">
        <v>20.63</v>
      </c>
      <c r="E32" s="11">
        <v>15.516</v>
      </c>
      <c r="F32" s="11">
        <v>20.763000000000002</v>
      </c>
      <c r="G32" s="11">
        <v>0.313</v>
      </c>
      <c r="H32" s="11">
        <v>0.18</v>
      </c>
      <c r="I32" s="11">
        <v>60367025.299999997</v>
      </c>
      <c r="J32" s="11">
        <v>60.367025300000002</v>
      </c>
      <c r="K32" s="11">
        <v>240</v>
      </c>
      <c r="L32" s="11">
        <v>335.37236280000002</v>
      </c>
      <c r="M32" s="11">
        <v>1333.333333</v>
      </c>
      <c r="N32" s="15">
        <v>1887</v>
      </c>
      <c r="O32" s="15">
        <v>1884</v>
      </c>
      <c r="P32" s="11">
        <v>3</v>
      </c>
      <c r="Q32" s="11">
        <v>55.895393800000001</v>
      </c>
      <c r="R32" s="11">
        <v>222.2222222</v>
      </c>
    </row>
    <row r="33" spans="1:18" ht="15.5" x14ac:dyDescent="0.35">
      <c r="A33" s="11" t="s">
        <v>51</v>
      </c>
      <c r="B33" s="11">
        <v>15.5</v>
      </c>
      <c r="C33" s="11">
        <v>15.202999999999999</v>
      </c>
      <c r="D33" s="11">
        <v>20.63</v>
      </c>
      <c r="E33" s="11">
        <v>15.444000000000001</v>
      </c>
      <c r="F33" s="11">
        <v>20.742999999999999</v>
      </c>
      <c r="G33" s="11">
        <v>0.24099999999999999</v>
      </c>
      <c r="H33" s="11">
        <v>0.128</v>
      </c>
      <c r="I33" s="11">
        <v>44230591.5</v>
      </c>
      <c r="J33" s="11">
        <v>44.230591500000003</v>
      </c>
      <c r="K33" s="11">
        <v>171</v>
      </c>
      <c r="L33" s="11">
        <v>345.55149610000001</v>
      </c>
      <c r="M33" s="11">
        <v>1335.9375</v>
      </c>
      <c r="N33" s="15">
        <v>1884</v>
      </c>
      <c r="O33" s="15">
        <v>1881</v>
      </c>
      <c r="P33" s="11">
        <v>3</v>
      </c>
      <c r="Q33" s="11">
        <v>57.591916019999999</v>
      </c>
      <c r="R33" s="11">
        <v>222.65625</v>
      </c>
    </row>
    <row r="34" spans="1:18" ht="15.5" x14ac:dyDescent="0.35">
      <c r="A34" s="11" t="s">
        <v>52</v>
      </c>
      <c r="B34" s="11">
        <v>16</v>
      </c>
      <c r="C34" s="11">
        <v>15.202999999999999</v>
      </c>
      <c r="D34" s="11">
        <v>20.63</v>
      </c>
      <c r="E34" s="11">
        <v>15.411</v>
      </c>
      <c r="F34" s="11">
        <v>20.727</v>
      </c>
      <c r="G34" s="11">
        <v>0.20799999999999999</v>
      </c>
      <c r="H34" s="11">
        <v>0.111</v>
      </c>
      <c r="I34" s="11">
        <v>68285185.900000006</v>
      </c>
      <c r="J34" s="11">
        <v>68.285185900000002</v>
      </c>
      <c r="K34" s="11">
        <v>239</v>
      </c>
      <c r="L34" s="11">
        <v>615.18185500000004</v>
      </c>
      <c r="M34" s="11">
        <v>2153.1531530000002</v>
      </c>
      <c r="N34" s="15">
        <v>1881</v>
      </c>
      <c r="O34" s="15">
        <v>1879</v>
      </c>
      <c r="P34" s="11">
        <v>2</v>
      </c>
      <c r="Q34" s="11">
        <v>153.7954637</v>
      </c>
      <c r="R34" s="11">
        <v>538.28828829999998</v>
      </c>
    </row>
    <row r="35" spans="1:18" ht="15.5" x14ac:dyDescent="0.35">
      <c r="A35" s="11" t="s">
        <v>53</v>
      </c>
      <c r="B35" s="11">
        <v>16.5</v>
      </c>
      <c r="C35" s="11">
        <v>15.202</v>
      </c>
      <c r="D35" s="11">
        <v>20.63</v>
      </c>
      <c r="E35" s="11">
        <v>15.427</v>
      </c>
      <c r="F35" s="11">
        <v>20.687999999999999</v>
      </c>
      <c r="G35" s="11">
        <v>0.22500000000000001</v>
      </c>
      <c r="H35" s="11">
        <v>0.16700000000000001</v>
      </c>
      <c r="I35" s="11">
        <v>85577548.799999997</v>
      </c>
      <c r="J35" s="11">
        <v>85.577548800000002</v>
      </c>
      <c r="K35" s="11">
        <v>96</v>
      </c>
      <c r="L35" s="11">
        <v>512.44041200000004</v>
      </c>
      <c r="M35" s="11">
        <v>574.85029940000004</v>
      </c>
      <c r="N35" s="15">
        <v>1879</v>
      </c>
      <c r="O35" s="15">
        <v>1876</v>
      </c>
      <c r="P35" s="11">
        <v>3</v>
      </c>
      <c r="Q35" s="11">
        <v>85.406735330000004</v>
      </c>
      <c r="R35" s="11">
        <v>95.808383230000004</v>
      </c>
    </row>
    <row r="36" spans="1:18" ht="15.5" x14ac:dyDescent="0.35">
      <c r="A36" s="11" t="s">
        <v>54</v>
      </c>
      <c r="B36" s="11">
        <v>17</v>
      </c>
      <c r="C36" s="11">
        <v>15.202</v>
      </c>
      <c r="D36" s="11">
        <v>20.629000000000001</v>
      </c>
      <c r="E36" s="11">
        <v>15.429</v>
      </c>
      <c r="F36" s="11">
        <v>20.702999999999999</v>
      </c>
      <c r="G36" s="11">
        <v>0.22700000000000001</v>
      </c>
      <c r="H36" s="11">
        <v>0.153</v>
      </c>
      <c r="I36" s="11">
        <v>46572245.299999997</v>
      </c>
      <c r="J36" s="11">
        <v>46.572245299999999</v>
      </c>
      <c r="K36" s="11">
        <v>81</v>
      </c>
      <c r="L36" s="11">
        <v>304.39376010000001</v>
      </c>
      <c r="M36" s="11">
        <v>529.41176470000005</v>
      </c>
      <c r="N36" s="15">
        <v>1876</v>
      </c>
      <c r="O36" s="15">
        <v>1873</v>
      </c>
      <c r="P36" s="11">
        <v>3</v>
      </c>
      <c r="Q36" s="11">
        <v>50.73229336</v>
      </c>
      <c r="R36" s="11">
        <v>88.235294120000006</v>
      </c>
    </row>
    <row r="37" spans="1:18" ht="15.5" x14ac:dyDescent="0.35">
      <c r="A37" s="11" t="s">
        <v>55</v>
      </c>
      <c r="B37" s="11">
        <v>17.5</v>
      </c>
      <c r="C37" s="11">
        <v>15.202999999999999</v>
      </c>
      <c r="D37" s="11">
        <v>20.63</v>
      </c>
      <c r="E37" s="11">
        <v>15.377000000000001</v>
      </c>
      <c r="F37" s="11">
        <v>20.684000000000001</v>
      </c>
      <c r="G37" s="11">
        <v>0.17399999999999999</v>
      </c>
      <c r="H37" s="11">
        <v>0.12</v>
      </c>
      <c r="I37" s="11">
        <v>77078619.900000006</v>
      </c>
      <c r="J37" s="11">
        <v>77.078619900000007</v>
      </c>
      <c r="K37" s="11">
        <v>182</v>
      </c>
      <c r="L37" s="11">
        <v>642.32183250000003</v>
      </c>
      <c r="M37" s="11">
        <v>1516.666667</v>
      </c>
      <c r="N37" s="15">
        <v>1873</v>
      </c>
      <c r="O37" s="15">
        <v>1871</v>
      </c>
      <c r="P37" s="11">
        <v>2</v>
      </c>
      <c r="Q37" s="11">
        <v>160.58045809999999</v>
      </c>
      <c r="R37" s="11">
        <v>379.16666670000001</v>
      </c>
    </row>
    <row r="38" spans="1:18" ht="15.5" x14ac:dyDescent="0.35">
      <c r="A38" s="11" t="s">
        <v>56</v>
      </c>
      <c r="B38" s="11">
        <v>18</v>
      </c>
      <c r="C38" s="11">
        <v>15.202</v>
      </c>
      <c r="D38" s="11">
        <v>20.629000000000001</v>
      </c>
      <c r="E38" s="11">
        <v>15.461</v>
      </c>
      <c r="F38" s="11">
        <v>20.783999999999999</v>
      </c>
      <c r="G38" s="11">
        <v>0.25900000000000001</v>
      </c>
      <c r="H38" s="11">
        <v>0.104</v>
      </c>
      <c r="I38" s="11">
        <v>63282003</v>
      </c>
      <c r="J38" s="11">
        <v>63.282003000000003</v>
      </c>
      <c r="K38" s="11">
        <v>189</v>
      </c>
      <c r="L38" s="11">
        <v>608.48079810000002</v>
      </c>
      <c r="M38" s="11">
        <v>1817.3076920000001</v>
      </c>
      <c r="N38" s="15">
        <v>1871</v>
      </c>
      <c r="O38" s="15">
        <v>1868</v>
      </c>
      <c r="P38" s="11">
        <v>3</v>
      </c>
      <c r="Q38" s="11">
        <v>101.4134663</v>
      </c>
      <c r="R38" s="11">
        <v>302.88461539999997</v>
      </c>
    </row>
    <row r="39" spans="1:18" ht="15.5" x14ac:dyDescent="0.35">
      <c r="A39" s="11" t="s">
        <v>57</v>
      </c>
      <c r="B39" s="11">
        <v>18.5</v>
      </c>
      <c r="C39" s="11">
        <v>15.202999999999999</v>
      </c>
      <c r="D39" s="11">
        <v>20.629000000000001</v>
      </c>
      <c r="E39" s="11">
        <v>15.419</v>
      </c>
      <c r="F39" s="11">
        <v>20.661999999999999</v>
      </c>
      <c r="G39" s="11">
        <v>0.216</v>
      </c>
      <c r="H39" s="11">
        <v>0.183</v>
      </c>
      <c r="I39" s="11">
        <v>39066742.100000001</v>
      </c>
      <c r="J39" s="11">
        <v>39.066742099999999</v>
      </c>
      <c r="K39" s="11">
        <v>177</v>
      </c>
      <c r="L39" s="11">
        <v>213.479465</v>
      </c>
      <c r="M39" s="11">
        <v>967.21311479999997</v>
      </c>
      <c r="N39" s="15">
        <v>1868</v>
      </c>
      <c r="O39" s="15">
        <v>1865</v>
      </c>
      <c r="P39" s="11">
        <v>3</v>
      </c>
      <c r="Q39" s="11">
        <v>35.579910839999997</v>
      </c>
      <c r="R39" s="11">
        <v>161.2021858</v>
      </c>
    </row>
    <row r="40" spans="1:18" ht="15.5" x14ac:dyDescent="0.35">
      <c r="A40" s="11" t="s">
        <v>58</v>
      </c>
      <c r="B40" s="11">
        <v>19</v>
      </c>
      <c r="C40" s="11">
        <v>15.202999999999999</v>
      </c>
      <c r="D40" s="11">
        <v>20.629000000000001</v>
      </c>
      <c r="E40" s="11">
        <v>15.58</v>
      </c>
      <c r="F40" s="11">
        <v>20.814</v>
      </c>
      <c r="G40" s="11">
        <v>0.377</v>
      </c>
      <c r="H40" s="11">
        <v>0.192</v>
      </c>
      <c r="I40" s="11">
        <v>64534186.299999997</v>
      </c>
      <c r="J40" s="11">
        <v>64.534186300000002</v>
      </c>
      <c r="K40" s="11">
        <v>330</v>
      </c>
      <c r="L40" s="11">
        <v>336.1155536</v>
      </c>
      <c r="M40" s="11">
        <v>1718.75</v>
      </c>
      <c r="N40" s="15">
        <v>1865</v>
      </c>
      <c r="O40" s="15">
        <v>1863</v>
      </c>
      <c r="P40" s="11">
        <v>2</v>
      </c>
      <c r="Q40" s="11">
        <v>84.028888409999993</v>
      </c>
      <c r="R40" s="11">
        <v>429.6875</v>
      </c>
    </row>
    <row r="41" spans="1:18" ht="15.5" x14ac:dyDescent="0.35">
      <c r="A41" s="11" t="s">
        <v>59</v>
      </c>
      <c r="B41" s="11">
        <v>19.5</v>
      </c>
      <c r="C41" s="11">
        <v>15.202999999999999</v>
      </c>
      <c r="D41" s="11">
        <v>20.629000000000001</v>
      </c>
      <c r="E41" s="11">
        <v>15.542</v>
      </c>
      <c r="F41" s="11">
        <v>20.792000000000002</v>
      </c>
      <c r="G41" s="11">
        <v>0.33900000000000002</v>
      </c>
      <c r="H41" s="11">
        <v>0.17599999999999999</v>
      </c>
      <c r="I41" s="11">
        <v>53280000</v>
      </c>
      <c r="J41" s="11">
        <v>53.28</v>
      </c>
      <c r="K41" s="11">
        <v>313</v>
      </c>
      <c r="L41" s="11">
        <v>302.72727270000001</v>
      </c>
      <c r="M41" s="11">
        <v>1778.409091</v>
      </c>
      <c r="N41" s="15">
        <v>1863</v>
      </c>
      <c r="O41" s="15">
        <v>1860</v>
      </c>
      <c r="P41" s="11">
        <v>3</v>
      </c>
      <c r="Q41" s="11">
        <v>50.454545449999998</v>
      </c>
      <c r="R41" s="11">
        <v>296.40151520000001</v>
      </c>
    </row>
    <row r="42" spans="1:18" ht="15.5" x14ac:dyDescent="0.35">
      <c r="A42" s="11" t="s">
        <v>60</v>
      </c>
      <c r="B42" s="11">
        <v>20</v>
      </c>
      <c r="C42" s="11">
        <v>15.202999999999999</v>
      </c>
      <c r="D42" s="11">
        <v>20.63</v>
      </c>
      <c r="E42" s="11">
        <v>15.428000000000001</v>
      </c>
      <c r="F42" s="11">
        <v>20.722000000000001</v>
      </c>
      <c r="G42" s="11">
        <v>0.22500000000000001</v>
      </c>
      <c r="H42" s="11">
        <v>0.13300000000000001</v>
      </c>
      <c r="I42" s="11">
        <v>31119848.100000001</v>
      </c>
      <c r="J42" s="11">
        <v>31.119848099999999</v>
      </c>
      <c r="K42" s="11">
        <v>224</v>
      </c>
      <c r="L42" s="11">
        <v>233.98382029999999</v>
      </c>
      <c r="M42" s="11">
        <v>1684.2105260000001</v>
      </c>
      <c r="N42" s="15">
        <v>1860</v>
      </c>
      <c r="O42" s="15">
        <v>1857</v>
      </c>
      <c r="P42" s="11">
        <v>3</v>
      </c>
      <c r="Q42" s="11">
        <v>38.997303379999998</v>
      </c>
      <c r="R42" s="11">
        <v>280.70175440000003</v>
      </c>
    </row>
    <row r="43" spans="1:18" ht="15.5" x14ac:dyDescent="0.35">
      <c r="A43" s="11" t="s">
        <v>61</v>
      </c>
      <c r="B43" s="11">
        <v>20.5</v>
      </c>
      <c r="C43" s="11">
        <v>15.202999999999999</v>
      </c>
      <c r="D43" s="11">
        <v>20.63</v>
      </c>
      <c r="E43" s="11">
        <v>15.53</v>
      </c>
      <c r="F43" s="11">
        <v>20.760999999999999</v>
      </c>
      <c r="G43" s="11">
        <v>0.32700000000000001</v>
      </c>
      <c r="H43" s="11">
        <v>0.19600000000000001</v>
      </c>
      <c r="I43" s="11">
        <v>74085000</v>
      </c>
      <c r="J43" s="11">
        <v>74.084999999999994</v>
      </c>
      <c r="K43" s="11">
        <v>269</v>
      </c>
      <c r="L43" s="11">
        <v>377.98469390000002</v>
      </c>
      <c r="M43" s="11">
        <v>1372.4489799999999</v>
      </c>
      <c r="N43" s="15">
        <v>1857</v>
      </c>
      <c r="O43" s="15">
        <v>1854</v>
      </c>
      <c r="P43" s="11">
        <v>3</v>
      </c>
      <c r="Q43" s="11">
        <v>62.997448980000001</v>
      </c>
      <c r="R43" s="11">
        <v>228.7414966</v>
      </c>
    </row>
    <row r="44" spans="1:18" ht="15.5" x14ac:dyDescent="0.35">
      <c r="A44" s="11" t="s">
        <v>62</v>
      </c>
      <c r="B44" s="11">
        <v>21</v>
      </c>
      <c r="C44" s="11">
        <v>15.202999999999999</v>
      </c>
      <c r="D44" s="11">
        <v>20.629000000000001</v>
      </c>
      <c r="E44" s="11">
        <v>15.587</v>
      </c>
      <c r="F44" s="11">
        <v>20.803000000000001</v>
      </c>
      <c r="G44" s="11">
        <v>0.38400000000000001</v>
      </c>
      <c r="H44" s="11">
        <v>0.21</v>
      </c>
      <c r="I44" s="11">
        <v>56853877.799999997</v>
      </c>
      <c r="J44" s="11">
        <v>56.853877799999999</v>
      </c>
      <c r="K44" s="11">
        <v>231</v>
      </c>
      <c r="L44" s="11">
        <v>270.73275139999998</v>
      </c>
      <c r="M44" s="11">
        <v>1100</v>
      </c>
      <c r="N44" s="15">
        <v>1854</v>
      </c>
      <c r="O44" s="15">
        <v>1852</v>
      </c>
      <c r="P44" s="11">
        <v>2</v>
      </c>
      <c r="Q44" s="11">
        <v>67.683187860000004</v>
      </c>
      <c r="R44" s="11">
        <v>275</v>
      </c>
    </row>
    <row r="45" spans="1:18" ht="15.5" x14ac:dyDescent="0.35">
      <c r="A45" s="11" t="s">
        <v>63</v>
      </c>
      <c r="B45" s="11">
        <v>21.5</v>
      </c>
      <c r="C45" s="11">
        <v>15.202999999999999</v>
      </c>
      <c r="D45" s="11">
        <v>20.629000000000001</v>
      </c>
      <c r="E45" s="11">
        <v>15.574999999999999</v>
      </c>
      <c r="F45" s="11">
        <v>20.754999999999999</v>
      </c>
      <c r="G45" s="11">
        <v>0.372</v>
      </c>
      <c r="H45" s="11">
        <v>0.246</v>
      </c>
      <c r="I45" s="11">
        <v>62742322.399999999</v>
      </c>
      <c r="J45" s="11">
        <v>62.742322399999999</v>
      </c>
      <c r="K45" s="11">
        <v>255</v>
      </c>
      <c r="L45" s="11">
        <v>255.0500911</v>
      </c>
      <c r="M45" s="11">
        <v>1036.585366</v>
      </c>
      <c r="N45" s="15">
        <v>1852</v>
      </c>
      <c r="O45" s="15">
        <v>1849</v>
      </c>
      <c r="P45" s="11">
        <v>3</v>
      </c>
      <c r="Q45" s="11">
        <v>42.508348509999998</v>
      </c>
      <c r="R45" s="11">
        <v>172.7642276</v>
      </c>
    </row>
    <row r="46" spans="1:18" ht="15.5" x14ac:dyDescent="0.35">
      <c r="A46" s="11" t="s">
        <v>64</v>
      </c>
      <c r="B46" s="11">
        <v>22</v>
      </c>
      <c r="C46" s="11">
        <v>15.202999999999999</v>
      </c>
      <c r="D46" s="11">
        <v>20.629000000000001</v>
      </c>
      <c r="E46" s="11">
        <v>15.564</v>
      </c>
      <c r="F46" s="11">
        <v>20.872</v>
      </c>
      <c r="G46" s="11">
        <v>0.36099999999999999</v>
      </c>
      <c r="H46" s="11">
        <v>0.11799999999999999</v>
      </c>
      <c r="I46" s="11">
        <v>72922322.400000006</v>
      </c>
      <c r="J46" s="11">
        <v>72.922322399999999</v>
      </c>
      <c r="K46" s="11">
        <v>203</v>
      </c>
      <c r="L46" s="11">
        <v>617.98578310000005</v>
      </c>
      <c r="M46" s="11">
        <v>1720.3389830000001</v>
      </c>
      <c r="N46" s="15">
        <v>1849</v>
      </c>
      <c r="O46" s="15">
        <v>1846</v>
      </c>
      <c r="P46" s="11">
        <v>3</v>
      </c>
      <c r="Q46" s="11">
        <v>102.9976305</v>
      </c>
      <c r="R46" s="11">
        <v>286.72316380000001</v>
      </c>
    </row>
    <row r="47" spans="1:18" ht="15.5" x14ac:dyDescent="0.35">
      <c r="A47" s="11" t="s">
        <v>65</v>
      </c>
      <c r="B47" s="11">
        <v>22.5</v>
      </c>
      <c r="C47" s="11">
        <v>15.202999999999999</v>
      </c>
      <c r="D47" s="11">
        <v>20.629000000000001</v>
      </c>
      <c r="E47" s="11">
        <v>15.538</v>
      </c>
      <c r="F47" s="11">
        <v>20.766999999999999</v>
      </c>
      <c r="G47" s="11">
        <v>0.33500000000000002</v>
      </c>
      <c r="H47" s="11">
        <v>0.19700000000000001</v>
      </c>
      <c r="I47" s="11">
        <v>30943467.899999999</v>
      </c>
      <c r="J47" s="11">
        <v>30.943467900000002</v>
      </c>
      <c r="K47" s="11">
        <v>152</v>
      </c>
      <c r="L47" s="11">
        <v>157.0734411</v>
      </c>
      <c r="M47" s="11">
        <v>771.57360410000001</v>
      </c>
      <c r="N47" s="15">
        <v>1846</v>
      </c>
      <c r="O47" s="15">
        <v>1844</v>
      </c>
      <c r="P47" s="11">
        <v>2</v>
      </c>
      <c r="Q47" s="11">
        <v>39.268360280000003</v>
      </c>
      <c r="R47" s="11">
        <v>192.89340100000001</v>
      </c>
    </row>
    <row r="48" spans="1:18" ht="15.5" x14ac:dyDescent="0.35">
      <c r="A48" s="11" t="s">
        <v>66</v>
      </c>
      <c r="B48" s="11">
        <v>23</v>
      </c>
      <c r="C48" s="11">
        <v>15.202999999999999</v>
      </c>
      <c r="D48" s="11">
        <v>20.629000000000001</v>
      </c>
      <c r="E48" s="11">
        <v>15.488</v>
      </c>
      <c r="F48" s="11">
        <v>20.738</v>
      </c>
      <c r="G48" s="11">
        <v>0.28499999999999998</v>
      </c>
      <c r="H48" s="11">
        <v>0.17599999999999999</v>
      </c>
      <c r="I48" s="11">
        <v>6473781.4699999997</v>
      </c>
      <c r="J48" s="11">
        <v>6.4737814699999996</v>
      </c>
      <c r="K48" s="11">
        <v>75</v>
      </c>
      <c r="L48" s="11">
        <v>36.782849259999999</v>
      </c>
      <c r="M48" s="11">
        <v>426.13636359999998</v>
      </c>
      <c r="N48" s="15">
        <v>1844</v>
      </c>
      <c r="O48" s="15">
        <v>1841</v>
      </c>
      <c r="P48" s="11">
        <v>3</v>
      </c>
      <c r="Q48" s="11">
        <v>6.1304748770000002</v>
      </c>
      <c r="R48" s="11">
        <v>71.022727270000004</v>
      </c>
    </row>
    <row r="49" spans="1:18" ht="15.5" x14ac:dyDescent="0.35">
      <c r="A49" s="11" t="s">
        <v>67</v>
      </c>
      <c r="B49" s="11">
        <v>23.5</v>
      </c>
      <c r="C49" s="11">
        <v>15.202999999999999</v>
      </c>
      <c r="D49" s="11">
        <v>20.629000000000001</v>
      </c>
      <c r="E49" s="11">
        <v>15.648999999999999</v>
      </c>
      <c r="F49" s="11">
        <v>20.786999999999999</v>
      </c>
      <c r="G49" s="11">
        <v>0.44600000000000001</v>
      </c>
      <c r="H49" s="11">
        <v>0.28799999999999998</v>
      </c>
      <c r="I49" s="11">
        <v>18928003.899999999</v>
      </c>
      <c r="J49" s="11">
        <v>18.9280039</v>
      </c>
      <c r="K49" s="11">
        <v>90</v>
      </c>
      <c r="L49" s="11">
        <v>65.722235760000004</v>
      </c>
      <c r="M49" s="11">
        <v>312.5</v>
      </c>
      <c r="N49" s="15">
        <v>1841</v>
      </c>
      <c r="O49" s="11">
        <v>1838</v>
      </c>
      <c r="P49" s="11">
        <v>3</v>
      </c>
      <c r="Q49" s="11">
        <v>10.953705960000001</v>
      </c>
      <c r="R49" s="11">
        <v>52.083333330000002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6D4D-BDEA-4709-B28A-81E878B14A95}">
  <dimension ref="A1:R17"/>
  <sheetViews>
    <sheetView topLeftCell="I1" workbookViewId="0">
      <selection activeCell="A2" sqref="A2:R17"/>
    </sheetView>
  </sheetViews>
  <sheetFormatPr defaultRowHeight="15.5" x14ac:dyDescent="0.35"/>
  <cols>
    <col min="1" max="1" width="8.7265625" style="5"/>
    <col min="2" max="2" width="14.90625" style="5" customWidth="1"/>
    <col min="3" max="3" width="17.90625" style="5" customWidth="1"/>
    <col min="4" max="4" width="17.6328125" style="5" customWidth="1"/>
    <col min="5" max="5" width="20" style="5" customWidth="1"/>
    <col min="6" max="6" width="17.08984375" style="5" customWidth="1"/>
    <col min="7" max="7" width="12.6328125" style="5" customWidth="1"/>
    <col min="8" max="8" width="14.26953125" style="5" customWidth="1"/>
    <col min="9" max="9" width="14.453125" style="5" customWidth="1"/>
    <col min="10" max="10" width="15.08984375" style="5" customWidth="1"/>
    <col min="11" max="11" width="15.54296875" style="5" customWidth="1"/>
    <col min="12" max="12" width="22.6328125" style="5" customWidth="1"/>
    <col min="13" max="13" width="16.453125" style="5" customWidth="1"/>
    <col min="14" max="14" width="16.1796875" style="5" customWidth="1"/>
    <col min="15" max="15" width="14.26953125" style="5" customWidth="1"/>
    <col min="16" max="16" width="23.26953125" style="5" customWidth="1"/>
    <col min="17" max="17" width="22.26953125" style="5" customWidth="1"/>
    <col min="18" max="18" width="16.453125" style="5" customWidth="1"/>
    <col min="19" max="16384" width="8.7265625" style="5"/>
  </cols>
  <sheetData>
    <row r="1" spans="1:18" s="4" customFormat="1" ht="80.5" customHeight="1" x14ac:dyDescent="0.3">
      <c r="A1" s="8" t="s">
        <v>0</v>
      </c>
      <c r="B1" s="8" t="s">
        <v>1</v>
      </c>
      <c r="C1" s="8" t="s">
        <v>29</v>
      </c>
      <c r="D1" s="8" t="s">
        <v>30</v>
      </c>
      <c r="E1" s="8" t="s">
        <v>2</v>
      </c>
      <c r="F1" s="8" t="s">
        <v>3</v>
      </c>
      <c r="G1" s="8" t="s">
        <v>39</v>
      </c>
      <c r="H1" s="8" t="s">
        <v>4</v>
      </c>
      <c r="I1" s="8" t="s">
        <v>31</v>
      </c>
      <c r="J1" s="8" t="s">
        <v>32</v>
      </c>
      <c r="K1" s="8" t="s">
        <v>33</v>
      </c>
      <c r="L1" s="8" t="s">
        <v>35</v>
      </c>
      <c r="M1" s="8" t="s">
        <v>41</v>
      </c>
      <c r="N1" s="9" t="s">
        <v>36</v>
      </c>
      <c r="O1" s="9" t="s">
        <v>37</v>
      </c>
      <c r="P1" s="8" t="s">
        <v>38</v>
      </c>
      <c r="Q1" s="9" t="s">
        <v>43</v>
      </c>
      <c r="R1" s="10" t="s">
        <v>40</v>
      </c>
    </row>
    <row r="2" spans="1:18" x14ac:dyDescent="0.35">
      <c r="A2" s="11" t="s">
        <v>5</v>
      </c>
      <c r="B2" s="15">
        <v>0</v>
      </c>
      <c r="C2" s="11">
        <v>15.19</v>
      </c>
      <c r="D2" s="15">
        <v>20.617999999999999</v>
      </c>
      <c r="E2" s="15">
        <v>15.451000000000001</v>
      </c>
      <c r="F2" s="15">
        <v>20.425000000000001</v>
      </c>
      <c r="G2" s="15">
        <v>0.45400000000000001</v>
      </c>
      <c r="H2" s="15">
        <v>0.26100000000000001</v>
      </c>
      <c r="I2" s="15">
        <v>54689649.590000004</v>
      </c>
      <c r="J2" s="15">
        <v>54.689649590000002</v>
      </c>
      <c r="K2" s="15">
        <v>342</v>
      </c>
      <c r="L2" s="15">
        <v>120.4617832</v>
      </c>
      <c r="M2" s="15">
        <v>753.30396480000002</v>
      </c>
      <c r="N2" s="15">
        <v>2021</v>
      </c>
      <c r="O2" s="15">
        <v>2020</v>
      </c>
      <c r="P2" s="15">
        <v>1</v>
      </c>
      <c r="Q2" s="15">
        <v>60.230891620000001</v>
      </c>
      <c r="R2" s="11">
        <v>376.65198240000001</v>
      </c>
    </row>
    <row r="3" spans="1:18" x14ac:dyDescent="0.35">
      <c r="A3" s="11" t="s">
        <v>6</v>
      </c>
      <c r="B3" s="15">
        <v>0.5</v>
      </c>
      <c r="C3" s="11">
        <v>15.191000000000001</v>
      </c>
      <c r="D3" s="15">
        <v>20.619</v>
      </c>
      <c r="E3" s="15">
        <v>15.605</v>
      </c>
      <c r="F3" s="15">
        <v>20.300999999999998</v>
      </c>
      <c r="G3" s="15">
        <v>0.73199999999999998</v>
      </c>
      <c r="H3" s="15">
        <v>0.41399999999999998</v>
      </c>
      <c r="I3" s="15">
        <v>55782575.200000003</v>
      </c>
      <c r="J3" s="15">
        <v>55.782575199999997</v>
      </c>
      <c r="K3" s="15">
        <v>335</v>
      </c>
      <c r="L3" s="15">
        <v>76.205703830000004</v>
      </c>
      <c r="M3" s="15">
        <v>457.65027320000002</v>
      </c>
      <c r="N3" s="15">
        <v>2020</v>
      </c>
      <c r="O3" s="15">
        <v>2020</v>
      </c>
      <c r="P3" s="15">
        <v>0</v>
      </c>
      <c r="Q3" s="15">
        <v>0</v>
      </c>
      <c r="R3" s="11">
        <v>0</v>
      </c>
    </row>
    <row r="4" spans="1:18" x14ac:dyDescent="0.35">
      <c r="A4" s="11" t="s">
        <v>7</v>
      </c>
      <c r="B4" s="15">
        <v>1</v>
      </c>
      <c r="C4" s="11">
        <v>15.191000000000001</v>
      </c>
      <c r="D4" s="15">
        <v>20.619</v>
      </c>
      <c r="E4" s="15">
        <v>15.523</v>
      </c>
      <c r="F4" s="15">
        <v>20.472000000000001</v>
      </c>
      <c r="G4" s="15">
        <v>0.47899999999999998</v>
      </c>
      <c r="H4" s="15">
        <v>0.33200000000000002</v>
      </c>
      <c r="I4" s="15">
        <v>31883643.309999999</v>
      </c>
      <c r="J4" s="15">
        <v>31.88364331</v>
      </c>
      <c r="K4" s="15">
        <v>142</v>
      </c>
      <c r="L4" s="15">
        <v>66.562929659999995</v>
      </c>
      <c r="M4" s="15">
        <v>296.4509395</v>
      </c>
      <c r="N4" s="15">
        <v>2020</v>
      </c>
      <c r="O4" s="15">
        <v>2019</v>
      </c>
      <c r="P4" s="15">
        <v>1</v>
      </c>
      <c r="Q4" s="15">
        <v>33.281464829999997</v>
      </c>
      <c r="R4" s="11">
        <v>148.22546969999999</v>
      </c>
    </row>
    <row r="5" spans="1:18" x14ac:dyDescent="0.35">
      <c r="A5" s="11" t="s">
        <v>8</v>
      </c>
      <c r="B5" s="15">
        <v>1.5</v>
      </c>
      <c r="C5" s="11">
        <v>15.191000000000001</v>
      </c>
      <c r="D5" s="15">
        <v>20.619</v>
      </c>
      <c r="E5" s="15">
        <v>15.401999999999999</v>
      </c>
      <c r="F5" s="15">
        <v>20.472999999999999</v>
      </c>
      <c r="G5" s="15">
        <v>0.35699999999999998</v>
      </c>
      <c r="H5" s="15">
        <v>0.21099999999999999</v>
      </c>
      <c r="I5" s="15">
        <v>107672086.7</v>
      </c>
      <c r="J5" s="15">
        <v>107.67208669999999</v>
      </c>
      <c r="K5" s="15">
        <v>532</v>
      </c>
      <c r="L5" s="15">
        <v>301.60248380000002</v>
      </c>
      <c r="M5" s="15">
        <v>1490.1960779999999</v>
      </c>
      <c r="N5" s="15">
        <v>2019</v>
      </c>
      <c r="O5" s="15">
        <v>2019</v>
      </c>
      <c r="P5" s="15">
        <v>0</v>
      </c>
      <c r="Q5" s="15">
        <v>0</v>
      </c>
      <c r="R5" s="11">
        <v>0</v>
      </c>
    </row>
    <row r="6" spans="1:18" x14ac:dyDescent="0.35">
      <c r="A6" s="11" t="s">
        <v>9</v>
      </c>
      <c r="B6" s="15">
        <v>2</v>
      </c>
      <c r="C6" s="11">
        <v>15.191000000000001</v>
      </c>
      <c r="D6" s="15">
        <v>20.619</v>
      </c>
      <c r="E6" s="15">
        <v>15.581</v>
      </c>
      <c r="F6" s="15">
        <v>20.742999999999999</v>
      </c>
      <c r="G6" s="15">
        <v>0.26600000000000001</v>
      </c>
      <c r="H6" s="15">
        <v>0.39</v>
      </c>
      <c r="I6" s="15">
        <v>72038698.569999993</v>
      </c>
      <c r="J6" s="15">
        <v>72.038698569999994</v>
      </c>
      <c r="K6" s="15">
        <v>311</v>
      </c>
      <c r="L6" s="15">
        <v>270.82217509999998</v>
      </c>
      <c r="M6" s="15">
        <v>1169.1729319999999</v>
      </c>
      <c r="N6" s="15">
        <v>2019</v>
      </c>
      <c r="O6" s="15">
        <v>2019</v>
      </c>
      <c r="P6" s="15">
        <v>0</v>
      </c>
      <c r="Q6" s="15">
        <v>0</v>
      </c>
      <c r="R6" s="11">
        <v>0</v>
      </c>
    </row>
    <row r="7" spans="1:18" x14ac:dyDescent="0.35">
      <c r="A7" s="11" t="s">
        <v>10</v>
      </c>
      <c r="B7" s="15">
        <v>2.5</v>
      </c>
      <c r="C7" s="11">
        <v>15.19</v>
      </c>
      <c r="D7" s="15">
        <v>20.617999999999999</v>
      </c>
      <c r="E7" s="15">
        <v>15.398</v>
      </c>
      <c r="F7" s="15">
        <v>20.437000000000001</v>
      </c>
      <c r="G7" s="15">
        <v>0.38900000000000001</v>
      </c>
      <c r="H7" s="15">
        <v>0.20799999999999999</v>
      </c>
      <c r="I7" s="11">
        <v>48728928.759999998</v>
      </c>
      <c r="J7" s="15">
        <v>48.728928760000002</v>
      </c>
      <c r="K7" s="15">
        <v>207</v>
      </c>
      <c r="L7" s="15">
        <v>125.2671691</v>
      </c>
      <c r="M7" s="15">
        <v>532.1336761</v>
      </c>
      <c r="N7" s="15">
        <v>2019</v>
      </c>
      <c r="O7" s="15">
        <v>1996</v>
      </c>
      <c r="P7" s="15">
        <v>23</v>
      </c>
      <c r="Q7" s="15">
        <v>2.7231993270000001</v>
      </c>
      <c r="R7" s="11">
        <v>11.56812339</v>
      </c>
    </row>
    <row r="8" spans="1:18" x14ac:dyDescent="0.35">
      <c r="A8" s="11" t="s">
        <v>11</v>
      </c>
      <c r="B8" s="15">
        <v>3</v>
      </c>
      <c r="C8" s="11">
        <v>15.191000000000001</v>
      </c>
      <c r="D8" s="15">
        <v>20.617999999999999</v>
      </c>
      <c r="E8" s="15">
        <v>15.552</v>
      </c>
      <c r="F8" s="15">
        <v>20.792999999999999</v>
      </c>
      <c r="G8" s="15">
        <v>0.186</v>
      </c>
      <c r="H8" s="15">
        <v>0.36099999999999999</v>
      </c>
      <c r="I8" s="11">
        <v>47100095.780000001</v>
      </c>
      <c r="J8" s="15">
        <v>47.100095779999997</v>
      </c>
      <c r="K8" s="15">
        <v>150</v>
      </c>
      <c r="L8" s="15">
        <v>253.22632139999999</v>
      </c>
      <c r="M8" s="15">
        <v>806.45161289999999</v>
      </c>
      <c r="N8" s="15">
        <v>1996</v>
      </c>
      <c r="O8" s="15">
        <v>1974</v>
      </c>
      <c r="P8" s="15">
        <v>22</v>
      </c>
      <c r="Q8" s="15">
        <v>5.7551436679999997</v>
      </c>
      <c r="R8" s="11">
        <v>18.32844575</v>
      </c>
    </row>
    <row r="9" spans="1:18" x14ac:dyDescent="0.35">
      <c r="A9" s="11" t="s">
        <v>12</v>
      </c>
      <c r="B9" s="15">
        <v>3.5</v>
      </c>
      <c r="C9" s="11">
        <v>15.191000000000001</v>
      </c>
      <c r="D9" s="15">
        <v>20.617999999999999</v>
      </c>
      <c r="E9" s="15">
        <v>15.551</v>
      </c>
      <c r="F9" s="15">
        <v>20.035</v>
      </c>
      <c r="G9" s="15">
        <v>0.94299999999999995</v>
      </c>
      <c r="H9" s="15">
        <v>0.36</v>
      </c>
      <c r="I9" s="15">
        <v>21198577.469999999</v>
      </c>
      <c r="J9" s="15">
        <v>21.19857747</v>
      </c>
      <c r="K9" s="15">
        <v>70</v>
      </c>
      <c r="L9" s="15">
        <v>22.479933689999999</v>
      </c>
      <c r="M9" s="15">
        <v>74.231177090000003</v>
      </c>
      <c r="N9" s="15">
        <v>1974</v>
      </c>
      <c r="O9" s="15">
        <v>1952</v>
      </c>
      <c r="P9" s="15">
        <v>22</v>
      </c>
      <c r="Q9" s="15">
        <v>0.51090758400000003</v>
      </c>
      <c r="R9" s="11">
        <v>1.6870722069999999</v>
      </c>
    </row>
    <row r="10" spans="1:18" x14ac:dyDescent="0.35">
      <c r="A10" s="11" t="s">
        <v>13</v>
      </c>
      <c r="B10" s="15">
        <v>4</v>
      </c>
      <c r="C10" s="11">
        <v>15.19</v>
      </c>
      <c r="D10" s="15">
        <v>20.617999999999999</v>
      </c>
      <c r="E10" s="15">
        <v>15.398999999999999</v>
      </c>
      <c r="F10" s="15">
        <v>20.632000000000001</v>
      </c>
      <c r="G10" s="15">
        <v>0.19500000000000001</v>
      </c>
      <c r="H10" s="15">
        <v>0.20899999999999999</v>
      </c>
      <c r="I10" s="15">
        <v>14977064.220000001</v>
      </c>
      <c r="J10" s="15">
        <v>14.977064220000001</v>
      </c>
      <c r="K10" s="15">
        <v>54</v>
      </c>
      <c r="L10" s="15">
        <v>76.80545755</v>
      </c>
      <c r="M10" s="15">
        <v>276.92307690000001</v>
      </c>
      <c r="N10" s="15">
        <v>1952</v>
      </c>
      <c r="O10" s="15">
        <v>1929</v>
      </c>
      <c r="P10" s="15">
        <v>23</v>
      </c>
      <c r="Q10" s="15">
        <v>1.6696838599999999</v>
      </c>
      <c r="R10" s="11">
        <v>6.0200668899999998</v>
      </c>
    </row>
    <row r="11" spans="1:18" x14ac:dyDescent="0.35">
      <c r="A11" s="11" t="s">
        <v>14</v>
      </c>
      <c r="B11" s="15">
        <v>4.5</v>
      </c>
      <c r="C11" s="11">
        <v>15.19</v>
      </c>
      <c r="D11" s="15">
        <v>20.619</v>
      </c>
      <c r="E11" s="15">
        <v>15.563000000000001</v>
      </c>
      <c r="F11" s="15">
        <v>20.704999999999998</v>
      </c>
      <c r="G11" s="15">
        <v>0.28699999999999998</v>
      </c>
      <c r="H11" s="15">
        <v>0.373</v>
      </c>
      <c r="I11" s="15">
        <v>32779818.390000001</v>
      </c>
      <c r="J11" s="15">
        <v>32.779818390000003</v>
      </c>
      <c r="K11" s="15">
        <v>176</v>
      </c>
      <c r="L11" s="15">
        <v>114.21539509999999</v>
      </c>
      <c r="M11" s="15">
        <v>613.24041810000006</v>
      </c>
      <c r="N11" s="15">
        <v>1929</v>
      </c>
      <c r="O11" s="15">
        <v>1907</v>
      </c>
      <c r="P11" s="15">
        <v>22</v>
      </c>
      <c r="Q11" s="15">
        <v>2.5958044340000002</v>
      </c>
      <c r="R11" s="11">
        <v>13.937282229999999</v>
      </c>
    </row>
    <row r="12" spans="1:18" x14ac:dyDescent="0.35">
      <c r="A12" s="11" t="s">
        <v>15</v>
      </c>
      <c r="B12" s="15">
        <v>5</v>
      </c>
      <c r="C12" s="11">
        <v>15.19</v>
      </c>
      <c r="D12" s="15">
        <v>20.619</v>
      </c>
      <c r="E12" s="15">
        <v>15.365</v>
      </c>
      <c r="F12" s="15">
        <v>20.513999999999999</v>
      </c>
      <c r="G12" s="15">
        <v>0.28000000000000003</v>
      </c>
      <c r="H12" s="15">
        <v>0.17499999999999999</v>
      </c>
      <c r="I12" s="15">
        <v>6055045.8739999998</v>
      </c>
      <c r="J12" s="15">
        <v>6.0550458740000002</v>
      </c>
      <c r="K12" s="15">
        <v>32</v>
      </c>
      <c r="L12" s="15">
        <v>21.625163839999999</v>
      </c>
      <c r="M12" s="15">
        <v>114.2857143</v>
      </c>
      <c r="N12" s="15">
        <v>1907</v>
      </c>
      <c r="O12" s="15">
        <v>1884</v>
      </c>
      <c r="P12" s="15">
        <v>23</v>
      </c>
      <c r="Q12" s="15">
        <v>0.47011225699999998</v>
      </c>
      <c r="R12" s="11">
        <v>2.4844720499999999</v>
      </c>
    </row>
    <row r="13" spans="1:18" x14ac:dyDescent="0.35">
      <c r="A13" s="11" t="s">
        <v>16</v>
      </c>
      <c r="B13" s="15">
        <v>5.5</v>
      </c>
      <c r="C13" s="11">
        <v>15.19</v>
      </c>
      <c r="D13" s="15">
        <v>20.619</v>
      </c>
      <c r="E13" s="15">
        <v>15.342000000000001</v>
      </c>
      <c r="F13" s="15">
        <v>20.507999999999999</v>
      </c>
      <c r="G13" s="15">
        <v>0.26300000000000001</v>
      </c>
      <c r="H13" s="15">
        <v>0.152</v>
      </c>
      <c r="I13" s="15">
        <v>7696581.193</v>
      </c>
      <c r="J13" s="15">
        <v>7.6965811930000001</v>
      </c>
      <c r="K13" s="15">
        <v>47</v>
      </c>
      <c r="L13" s="15">
        <v>29.264567270000001</v>
      </c>
      <c r="M13" s="15">
        <v>178.70722430000001</v>
      </c>
      <c r="N13" s="15">
        <v>1884</v>
      </c>
      <c r="O13" s="15">
        <v>1862</v>
      </c>
      <c r="P13" s="15">
        <v>22</v>
      </c>
      <c r="Q13" s="15">
        <v>0.66510380199999997</v>
      </c>
      <c r="R13" s="11">
        <v>4.0615278259999998</v>
      </c>
    </row>
    <row r="14" spans="1:18" x14ac:dyDescent="0.35">
      <c r="A14" s="11" t="s">
        <v>17</v>
      </c>
      <c r="B14" s="15">
        <v>6</v>
      </c>
      <c r="C14" s="11">
        <v>15.19</v>
      </c>
      <c r="D14" s="15">
        <v>20.619</v>
      </c>
      <c r="E14" s="15">
        <v>15.438000000000001</v>
      </c>
      <c r="F14" s="15">
        <v>20.41</v>
      </c>
      <c r="G14" s="15">
        <v>0.45700000000000002</v>
      </c>
      <c r="H14" s="15">
        <v>0.248</v>
      </c>
      <c r="I14" s="15">
        <v>12300557.48</v>
      </c>
      <c r="J14" s="15">
        <v>12.30055748</v>
      </c>
      <c r="K14" s="15">
        <v>71</v>
      </c>
      <c r="L14" s="15">
        <v>26.915880699999999</v>
      </c>
      <c r="M14" s="15">
        <v>155.36105029999999</v>
      </c>
      <c r="N14" s="15">
        <v>1862</v>
      </c>
      <c r="O14" s="15">
        <v>1840</v>
      </c>
      <c r="P14" s="15">
        <v>22</v>
      </c>
      <c r="Q14" s="15">
        <v>0.61172456099999994</v>
      </c>
      <c r="R14" s="11">
        <v>3.5309329620000001</v>
      </c>
    </row>
    <row r="15" spans="1:18" x14ac:dyDescent="0.35">
      <c r="A15" s="11" t="s">
        <v>18</v>
      </c>
      <c r="B15" s="15">
        <v>6.5</v>
      </c>
      <c r="C15" s="11">
        <v>15.19</v>
      </c>
      <c r="D15" s="15">
        <v>20.619</v>
      </c>
      <c r="E15" s="15">
        <v>15.433</v>
      </c>
      <c r="F15" s="15">
        <v>20.725999999999999</v>
      </c>
      <c r="G15" s="15">
        <v>0.13600000000000001</v>
      </c>
      <c r="H15" s="15">
        <v>0.24299999999999999</v>
      </c>
      <c r="I15" s="15">
        <v>15431673.92</v>
      </c>
      <c r="J15" s="15">
        <v>15.43167392</v>
      </c>
      <c r="K15" s="15">
        <v>170</v>
      </c>
      <c r="L15" s="15">
        <v>113.4681906</v>
      </c>
      <c r="M15" s="15">
        <v>1250</v>
      </c>
      <c r="N15" s="15">
        <v>1840</v>
      </c>
      <c r="O15" s="15">
        <v>1817</v>
      </c>
      <c r="P15" s="15">
        <v>23</v>
      </c>
      <c r="Q15" s="15">
        <v>2.4666997949999998</v>
      </c>
      <c r="R15" s="11">
        <v>27.173913039999999</v>
      </c>
    </row>
    <row r="16" spans="1:18" x14ac:dyDescent="0.35">
      <c r="A16" s="11" t="s">
        <v>19</v>
      </c>
      <c r="B16" s="15">
        <v>7</v>
      </c>
      <c r="C16" s="11">
        <v>15.19</v>
      </c>
      <c r="D16" s="15">
        <v>20.619</v>
      </c>
      <c r="E16" s="15">
        <v>15.403</v>
      </c>
      <c r="F16" s="15">
        <v>20.652000000000001</v>
      </c>
      <c r="G16" s="15">
        <v>0.18</v>
      </c>
      <c r="H16" s="15">
        <v>0.21299999999999999</v>
      </c>
      <c r="I16" s="15">
        <v>17153797.359999999</v>
      </c>
      <c r="J16" s="15">
        <v>17.153797359999999</v>
      </c>
      <c r="K16" s="15">
        <v>130</v>
      </c>
      <c r="L16" s="15">
        <v>95.298874220000002</v>
      </c>
      <c r="M16" s="15">
        <v>722.22222220000003</v>
      </c>
      <c r="N16" s="15">
        <v>1817</v>
      </c>
      <c r="O16" s="15">
        <v>1795</v>
      </c>
      <c r="P16" s="15">
        <v>22</v>
      </c>
      <c r="Q16" s="15">
        <v>2.165883505</v>
      </c>
      <c r="R16" s="11">
        <v>16.414141409999999</v>
      </c>
    </row>
    <row r="17" spans="1:18" x14ac:dyDescent="0.35">
      <c r="A17" s="11" t="s">
        <v>20</v>
      </c>
      <c r="B17" s="15">
        <v>7.5</v>
      </c>
      <c r="C17" s="11">
        <v>15.191000000000001</v>
      </c>
      <c r="D17" s="15">
        <v>20.619</v>
      </c>
      <c r="E17" s="15">
        <v>15.427</v>
      </c>
      <c r="F17" s="15">
        <v>20.733000000000001</v>
      </c>
      <c r="G17" s="15">
        <v>0.122</v>
      </c>
      <c r="H17" s="15">
        <v>0.23599999999999999</v>
      </c>
      <c r="I17" s="15">
        <v>72184957.489999995</v>
      </c>
      <c r="J17" s="15">
        <v>72.184957490000002</v>
      </c>
      <c r="K17" s="15">
        <v>568</v>
      </c>
      <c r="L17" s="15">
        <v>591.67997949999994</v>
      </c>
      <c r="M17" s="15">
        <v>4655.7377049999996</v>
      </c>
      <c r="N17" s="15">
        <v>1795</v>
      </c>
      <c r="O17" s="15">
        <v>1773</v>
      </c>
      <c r="P17" s="15">
        <v>22</v>
      </c>
      <c r="Q17" s="15">
        <v>13.44727226</v>
      </c>
      <c r="R17" s="11">
        <v>105.8122206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29A6-0219-4752-9D60-20DC98161F47}">
  <dimension ref="A1:T12"/>
  <sheetViews>
    <sheetView topLeftCell="L1" workbookViewId="0">
      <selection activeCell="A2" sqref="A2:T12"/>
    </sheetView>
  </sheetViews>
  <sheetFormatPr defaultRowHeight="15.5" x14ac:dyDescent="0.35"/>
  <cols>
    <col min="1" max="1" width="8.7265625" style="5"/>
    <col min="2" max="2" width="17.453125" style="5" customWidth="1"/>
    <col min="3" max="3" width="21.1796875" style="5" customWidth="1"/>
    <col min="4" max="4" width="18.90625" style="5" customWidth="1"/>
    <col min="5" max="5" width="30.453125" style="5" customWidth="1"/>
    <col min="6" max="6" width="21.54296875" style="5" customWidth="1"/>
    <col min="7" max="7" width="16.81640625" style="5" customWidth="1"/>
    <col min="8" max="8" width="14.81640625" style="5" customWidth="1"/>
    <col min="9" max="9" width="21.90625" style="5" customWidth="1"/>
    <col min="10" max="10" width="20.08984375" style="5" customWidth="1"/>
    <col min="11" max="11" width="19" style="5" customWidth="1"/>
    <col min="12" max="12" width="15.6328125" style="5" bestFit="1" customWidth="1"/>
    <col min="13" max="13" width="17.453125" style="5" customWidth="1"/>
    <col min="14" max="14" width="18" style="5" customWidth="1"/>
    <col min="15" max="15" width="24.54296875" style="5" customWidth="1"/>
    <col min="16" max="16" width="15.453125" style="5" customWidth="1"/>
    <col min="17" max="17" width="16.7265625" style="5" customWidth="1"/>
    <col min="18" max="18" width="22.1796875" style="5" customWidth="1"/>
    <col min="19" max="19" width="20.453125" style="5" customWidth="1"/>
    <col min="20" max="20" width="17.7265625" style="5" customWidth="1"/>
    <col min="21" max="16384" width="8.7265625" style="5"/>
  </cols>
  <sheetData>
    <row r="1" spans="1:20" s="4" customFormat="1" ht="80.5" customHeight="1" x14ac:dyDescent="0.3">
      <c r="A1" s="8" t="s">
        <v>0</v>
      </c>
      <c r="B1" s="8" t="s">
        <v>1</v>
      </c>
      <c r="C1" s="8" t="s">
        <v>29</v>
      </c>
      <c r="D1" s="8" t="s">
        <v>30</v>
      </c>
      <c r="E1" s="8" t="s">
        <v>2</v>
      </c>
      <c r="F1" s="8" t="s">
        <v>3</v>
      </c>
      <c r="G1" s="8" t="s">
        <v>39</v>
      </c>
      <c r="H1" s="8" t="s">
        <v>4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41</v>
      </c>
      <c r="O1" s="8" t="s">
        <v>42</v>
      </c>
      <c r="P1" s="9" t="s">
        <v>36</v>
      </c>
      <c r="Q1" s="9" t="s">
        <v>37</v>
      </c>
      <c r="R1" s="8" t="s">
        <v>38</v>
      </c>
      <c r="S1" s="9" t="s">
        <v>43</v>
      </c>
      <c r="T1" s="10" t="s">
        <v>40</v>
      </c>
    </row>
    <row r="2" spans="1:20" x14ac:dyDescent="0.35">
      <c r="A2" s="16" t="s">
        <v>5</v>
      </c>
      <c r="B2" s="16">
        <v>0</v>
      </c>
      <c r="C2" s="16">
        <v>15.183999999999999</v>
      </c>
      <c r="D2" s="16">
        <v>20.608000000000001</v>
      </c>
      <c r="E2" s="16">
        <v>15.894</v>
      </c>
      <c r="F2" s="16">
        <v>20.850999999999999</v>
      </c>
      <c r="G2" s="16">
        <v>0.71</v>
      </c>
      <c r="H2" s="16">
        <v>0.46700000000000003</v>
      </c>
      <c r="I2" s="12">
        <v>2611050452</v>
      </c>
      <c r="J2" s="16">
        <v>2611.050452</v>
      </c>
      <c r="K2" s="16">
        <v>12994</v>
      </c>
      <c r="L2" s="16">
        <v>13398.256659999999</v>
      </c>
      <c r="M2" s="16">
        <v>5591.114458</v>
      </c>
      <c r="N2" s="16">
        <v>27824.41113</v>
      </c>
      <c r="O2" s="16">
        <v>50943.94169</v>
      </c>
      <c r="P2" s="12">
        <v>2021</v>
      </c>
      <c r="Q2" s="12">
        <v>2004</v>
      </c>
      <c r="R2" s="16">
        <v>17</v>
      </c>
      <c r="S2" s="16">
        <v>164.44454289999999</v>
      </c>
      <c r="T2" s="16">
        <v>818.36503340000002</v>
      </c>
    </row>
    <row r="3" spans="1:20" x14ac:dyDescent="0.35">
      <c r="A3" s="16" t="s">
        <v>6</v>
      </c>
      <c r="B3" s="16">
        <v>0.5</v>
      </c>
      <c r="C3" s="16">
        <v>15.183999999999999</v>
      </c>
      <c r="D3" s="16">
        <v>20.608000000000001</v>
      </c>
      <c r="E3" s="16">
        <v>15.542</v>
      </c>
      <c r="F3" s="16">
        <v>20.786999999999999</v>
      </c>
      <c r="G3" s="16">
        <v>0.35799999999999998</v>
      </c>
      <c r="H3" s="16">
        <v>0.17899999999999999</v>
      </c>
      <c r="I3" s="12">
        <v>1308525193</v>
      </c>
      <c r="J3" s="16">
        <v>1308.5251929999999</v>
      </c>
      <c r="K3" s="16">
        <v>8558</v>
      </c>
      <c r="L3" s="16">
        <v>68877.204370000007</v>
      </c>
      <c r="M3" s="16">
        <v>7310.19661</v>
      </c>
      <c r="N3" s="16">
        <v>47810.055869999997</v>
      </c>
      <c r="O3" s="16">
        <v>257967.0576</v>
      </c>
      <c r="P3" s="12">
        <v>2004</v>
      </c>
      <c r="Q3" s="12">
        <v>1987</v>
      </c>
      <c r="R3" s="16">
        <v>17</v>
      </c>
      <c r="S3" s="16">
        <v>215.0057826</v>
      </c>
      <c r="T3" s="16">
        <v>1406.1781140000001</v>
      </c>
    </row>
    <row r="4" spans="1:20" x14ac:dyDescent="0.35">
      <c r="A4" s="16" t="s">
        <v>7</v>
      </c>
      <c r="B4" s="16">
        <v>1</v>
      </c>
      <c r="C4" s="16">
        <v>15.183999999999999</v>
      </c>
      <c r="D4" s="16">
        <v>20.608000000000001</v>
      </c>
      <c r="E4" s="16">
        <v>15.683999999999999</v>
      </c>
      <c r="F4" s="16">
        <v>20.789000000000001</v>
      </c>
      <c r="G4" s="16">
        <v>0.5</v>
      </c>
      <c r="H4" s="16">
        <v>0.31900000000000001</v>
      </c>
      <c r="I4" s="12">
        <v>4024714919</v>
      </c>
      <c r="J4" s="16">
        <v>4024.714919</v>
      </c>
      <c r="K4" s="16">
        <v>22694</v>
      </c>
      <c r="L4" s="16">
        <v>25583.205709999998</v>
      </c>
      <c r="M4" s="16">
        <v>12616.661190000001</v>
      </c>
      <c r="N4" s="16">
        <v>71141.065830000007</v>
      </c>
      <c r="O4" s="16">
        <v>130526.5598</v>
      </c>
      <c r="P4" s="12">
        <v>1987</v>
      </c>
      <c r="Q4" s="12">
        <v>1971</v>
      </c>
      <c r="R4" s="16">
        <v>16</v>
      </c>
      <c r="S4" s="16">
        <v>394.27066209999998</v>
      </c>
      <c r="T4" s="16">
        <v>2223.1583070000001</v>
      </c>
    </row>
    <row r="5" spans="1:20" x14ac:dyDescent="0.35">
      <c r="A5" s="16" t="s">
        <v>8</v>
      </c>
      <c r="B5" s="16">
        <v>1.5</v>
      </c>
      <c r="C5" s="16">
        <v>15.183999999999999</v>
      </c>
      <c r="D5" s="16">
        <v>20.608000000000001</v>
      </c>
      <c r="E5" s="16">
        <v>15.676</v>
      </c>
      <c r="F5" s="16">
        <v>20.512</v>
      </c>
      <c r="G5" s="16">
        <v>0.49199999999999999</v>
      </c>
      <c r="H5" s="16">
        <v>0.58799999999999997</v>
      </c>
      <c r="I5" s="12">
        <v>67728044.629999995</v>
      </c>
      <c r="J5" s="16">
        <v>67.728044629999999</v>
      </c>
      <c r="K5" s="16">
        <v>271</v>
      </c>
      <c r="L5" s="16">
        <v>401933.49449999997</v>
      </c>
      <c r="M5" s="16">
        <v>115.1837494</v>
      </c>
      <c r="N5" s="16">
        <v>460.88435370000002</v>
      </c>
      <c r="O5" s="16">
        <v>2245438.517</v>
      </c>
      <c r="P5" s="12">
        <v>1971</v>
      </c>
      <c r="Q5" s="12">
        <v>1954</v>
      </c>
      <c r="R5" s="16">
        <v>17</v>
      </c>
      <c r="S5" s="16">
        <v>3.3877573339999998</v>
      </c>
      <c r="T5" s="16">
        <v>13.55542217</v>
      </c>
    </row>
    <row r="6" spans="1:20" x14ac:dyDescent="0.35">
      <c r="A6" s="16" t="s">
        <v>9</v>
      </c>
      <c r="B6" s="16">
        <v>2</v>
      </c>
      <c r="C6" s="16">
        <v>15.183999999999999</v>
      </c>
      <c r="D6" s="16">
        <v>20.608000000000001</v>
      </c>
      <c r="E6" s="16">
        <v>15.680999999999999</v>
      </c>
      <c r="F6" s="16">
        <v>20.718</v>
      </c>
      <c r="G6" s="16">
        <v>0.497</v>
      </c>
      <c r="H6" s="16">
        <v>0.38700000000000001</v>
      </c>
      <c r="I6" s="12">
        <v>250782603.90000001</v>
      </c>
      <c r="J6" s="16">
        <v>250.7826039</v>
      </c>
      <c r="K6" s="16">
        <v>1883</v>
      </c>
      <c r="L6" s="16">
        <v>13543169.119999999</v>
      </c>
      <c r="M6" s="16">
        <v>648.01706449999995</v>
      </c>
      <c r="N6" s="16">
        <v>4865.6330749999997</v>
      </c>
      <c r="O6" s="16">
        <v>89689861.730000004</v>
      </c>
      <c r="P6" s="12">
        <v>1954</v>
      </c>
      <c r="Q6" s="12">
        <v>1938</v>
      </c>
      <c r="R6" s="16">
        <v>16</v>
      </c>
      <c r="S6" s="16">
        <v>20.250533260000001</v>
      </c>
      <c r="T6" s="16">
        <v>152.05103360000001</v>
      </c>
    </row>
    <row r="7" spans="1:20" x14ac:dyDescent="0.35">
      <c r="A7" s="16" t="s">
        <v>10</v>
      </c>
      <c r="B7" s="16">
        <v>2.5</v>
      </c>
      <c r="C7" s="16">
        <v>15.183999999999999</v>
      </c>
      <c r="D7" s="16">
        <v>20.608000000000001</v>
      </c>
      <c r="E7" s="16">
        <v>15.569000000000001</v>
      </c>
      <c r="F7" s="16">
        <v>20.846</v>
      </c>
      <c r="G7" s="16">
        <v>0.38500000000000001</v>
      </c>
      <c r="H7" s="16">
        <v>0.14699999999999999</v>
      </c>
      <c r="I7" s="12">
        <v>79563878.060000002</v>
      </c>
      <c r="J7" s="16">
        <v>79.563878059999993</v>
      </c>
      <c r="K7" s="16">
        <v>446</v>
      </c>
      <c r="L7" s="16">
        <v>33007749.52</v>
      </c>
      <c r="M7" s="16">
        <v>541.25087110000004</v>
      </c>
      <c r="N7" s="16">
        <v>3034.0136050000001</v>
      </c>
      <c r="O7" s="16">
        <v>127937013.59999999</v>
      </c>
      <c r="P7" s="12">
        <v>1938</v>
      </c>
      <c r="Q7" s="12">
        <v>1930</v>
      </c>
      <c r="R7" s="16">
        <v>8</v>
      </c>
      <c r="S7" s="16">
        <v>33.82817945</v>
      </c>
      <c r="T7" s="16">
        <v>189.6258503</v>
      </c>
    </row>
    <row r="8" spans="1:20" x14ac:dyDescent="0.35">
      <c r="A8" s="16" t="s">
        <v>11</v>
      </c>
      <c r="B8" s="16">
        <v>3</v>
      </c>
      <c r="C8" s="16">
        <v>15.183999999999999</v>
      </c>
      <c r="D8" s="16">
        <v>20.608000000000001</v>
      </c>
      <c r="E8" s="16">
        <v>15.686</v>
      </c>
      <c r="F8" s="16">
        <v>20.853000000000002</v>
      </c>
      <c r="G8" s="16">
        <v>0.502</v>
      </c>
      <c r="H8" s="16">
        <v>0.25700000000000001</v>
      </c>
      <c r="I8" s="12">
        <v>75826573.189999998</v>
      </c>
      <c r="J8" s="16">
        <v>75.826573190000005</v>
      </c>
      <c r="K8" s="16">
        <v>879</v>
      </c>
      <c r="L8" s="16">
        <v>6113187.6399999997</v>
      </c>
      <c r="M8" s="16">
        <v>295.04503190000003</v>
      </c>
      <c r="N8" s="16">
        <v>3420.233463</v>
      </c>
      <c r="O8" s="16">
        <v>43050617.18</v>
      </c>
      <c r="P8" s="12">
        <v>1930</v>
      </c>
      <c r="Q8" s="12">
        <v>1921</v>
      </c>
      <c r="R8" s="16">
        <v>9</v>
      </c>
      <c r="S8" s="16">
        <v>16.391390659999999</v>
      </c>
      <c r="T8" s="16">
        <v>190.01297020000001</v>
      </c>
    </row>
    <row r="9" spans="1:20" x14ac:dyDescent="0.35">
      <c r="A9" s="16" t="s">
        <v>12</v>
      </c>
      <c r="B9" s="16">
        <v>3.5</v>
      </c>
      <c r="C9" s="16">
        <v>15.183999999999999</v>
      </c>
      <c r="D9" s="16">
        <v>20.608000000000001</v>
      </c>
      <c r="E9" s="16">
        <v>15.971</v>
      </c>
      <c r="F9" s="16">
        <v>20.966000000000001</v>
      </c>
      <c r="G9" s="16">
        <v>0.78700000000000003</v>
      </c>
      <c r="H9" s="16">
        <v>0.42899999999999999</v>
      </c>
      <c r="I9" s="12">
        <v>134938837.90000001</v>
      </c>
      <c r="J9" s="16">
        <v>134.93883790000001</v>
      </c>
      <c r="K9" s="16">
        <v>312</v>
      </c>
      <c r="L9" s="16">
        <v>4758770.0439999998</v>
      </c>
      <c r="M9" s="16">
        <v>314.54274579999998</v>
      </c>
      <c r="N9" s="16">
        <v>727.27272730000004</v>
      </c>
      <c r="O9" s="16">
        <v>27829064.59</v>
      </c>
      <c r="P9" s="12">
        <v>1921</v>
      </c>
      <c r="Q9" s="12">
        <v>1913</v>
      </c>
      <c r="R9" s="16">
        <v>8</v>
      </c>
      <c r="S9" s="16">
        <v>19.65892161</v>
      </c>
      <c r="T9" s="16">
        <v>45.454545449999998</v>
      </c>
    </row>
    <row r="10" spans="1:20" x14ac:dyDescent="0.35">
      <c r="A10" s="16" t="s">
        <v>13</v>
      </c>
      <c r="B10" s="16">
        <v>4</v>
      </c>
      <c r="C10" s="16">
        <v>15.183999999999999</v>
      </c>
      <c r="D10" s="16">
        <v>20.608000000000001</v>
      </c>
      <c r="E10" s="16">
        <v>15.78</v>
      </c>
      <c r="F10" s="16">
        <v>20.850999999999999</v>
      </c>
      <c r="G10" s="16">
        <v>0.59599999999999997</v>
      </c>
      <c r="H10" s="16">
        <v>0.35299999999999998</v>
      </c>
      <c r="I10" s="12">
        <v>470386904.89999998</v>
      </c>
      <c r="J10" s="16">
        <v>470.38690489999999</v>
      </c>
      <c r="K10" s="16">
        <v>807</v>
      </c>
      <c r="L10" s="16">
        <v>3222844.503</v>
      </c>
      <c r="M10" s="16">
        <v>1332.5408070000001</v>
      </c>
      <c r="N10" s="16">
        <v>2286.1189800000002</v>
      </c>
      <c r="O10" s="16">
        <v>17611172.149999999</v>
      </c>
      <c r="P10" s="12">
        <v>1913</v>
      </c>
      <c r="Q10" s="12">
        <v>1905</v>
      </c>
      <c r="R10" s="16">
        <v>8</v>
      </c>
      <c r="S10" s="16">
        <v>83.283800429999999</v>
      </c>
      <c r="T10" s="16">
        <v>142.88243629999999</v>
      </c>
    </row>
    <row r="11" spans="1:20" x14ac:dyDescent="0.35">
      <c r="A11" s="16" t="s">
        <v>14</v>
      </c>
      <c r="B11" s="16">
        <v>4.5</v>
      </c>
      <c r="C11" s="16">
        <v>15.183999999999999</v>
      </c>
      <c r="D11" s="16">
        <v>20.608000000000001</v>
      </c>
      <c r="E11" s="16">
        <v>15.89</v>
      </c>
      <c r="F11" s="16">
        <v>20.963000000000001</v>
      </c>
      <c r="G11" s="16">
        <v>0.70599999999999996</v>
      </c>
      <c r="H11" s="16">
        <v>0.35099999999999998</v>
      </c>
      <c r="I11" s="12">
        <v>223427587.5</v>
      </c>
      <c r="J11" s="16">
        <v>223.42758749999999</v>
      </c>
      <c r="K11" s="16">
        <v>1851</v>
      </c>
      <c r="L11" s="16">
        <v>393556.11900000001</v>
      </c>
      <c r="M11" s="16">
        <v>636.54583330000003</v>
      </c>
      <c r="N11" s="16">
        <v>5273.5042739999999</v>
      </c>
      <c r="O11" s="16">
        <v>3225869.8280000002</v>
      </c>
      <c r="P11" s="12">
        <v>1905</v>
      </c>
      <c r="Q11" s="12">
        <v>1896</v>
      </c>
      <c r="R11" s="16">
        <v>9</v>
      </c>
      <c r="S11" s="16">
        <v>35.363657410000002</v>
      </c>
      <c r="T11" s="16">
        <v>292.97245959999998</v>
      </c>
    </row>
    <row r="12" spans="1:20" x14ac:dyDescent="0.35">
      <c r="A12" s="16" t="s">
        <v>15</v>
      </c>
      <c r="B12" s="16">
        <v>5</v>
      </c>
      <c r="C12" s="16">
        <v>15.183999999999999</v>
      </c>
      <c r="D12" s="16">
        <v>20.608000000000001</v>
      </c>
      <c r="E12" s="16">
        <v>16.254000000000001</v>
      </c>
      <c r="F12" s="16">
        <v>21.077999999999999</v>
      </c>
      <c r="G12" s="16">
        <v>1.07</v>
      </c>
      <c r="H12" s="16">
        <v>0.6</v>
      </c>
      <c r="I12" s="12">
        <v>556554705.39999998</v>
      </c>
      <c r="J12" s="16">
        <v>556.55470539999999</v>
      </c>
      <c r="K12" s="16">
        <v>2308</v>
      </c>
      <c r="L12" s="16">
        <v>302028.64360000001</v>
      </c>
      <c r="M12" s="16">
        <v>927.59117570000001</v>
      </c>
      <c r="N12" s="16">
        <v>3846.666667</v>
      </c>
      <c r="O12" s="16">
        <v>2603695.2039999999</v>
      </c>
      <c r="P12" s="12">
        <v>1896</v>
      </c>
      <c r="Q12" s="12">
        <v>1888</v>
      </c>
      <c r="R12" s="16">
        <v>8</v>
      </c>
      <c r="S12" s="16">
        <v>57.97444848</v>
      </c>
      <c r="T12" s="16">
        <v>240.41666670000001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C25B-B543-46C6-8ADC-B1F9712CA8BF}">
  <dimension ref="A1:R25"/>
  <sheetViews>
    <sheetView topLeftCell="J1" workbookViewId="0">
      <selection activeCell="A2" sqref="A2:R25"/>
    </sheetView>
  </sheetViews>
  <sheetFormatPr defaultRowHeight="14.5" x14ac:dyDescent="0.35"/>
  <cols>
    <col min="2" max="2" width="8.81640625" bestFit="1" customWidth="1"/>
    <col min="3" max="3" width="16.54296875" customWidth="1"/>
    <col min="4" max="4" width="21.26953125" customWidth="1"/>
    <col min="5" max="5" width="19.90625" customWidth="1"/>
    <col min="6" max="6" width="23.81640625" customWidth="1"/>
    <col min="7" max="7" width="21.81640625" customWidth="1"/>
    <col min="8" max="8" width="16.08984375" customWidth="1"/>
    <col min="9" max="9" width="24.7265625" customWidth="1"/>
    <col min="10" max="10" width="20.90625" customWidth="1"/>
    <col min="11" max="11" width="21.7265625" customWidth="1"/>
    <col min="12" max="12" width="17.36328125" customWidth="1"/>
    <col min="13" max="13" width="19.453125" customWidth="1"/>
    <col min="14" max="14" width="20.90625" customWidth="1"/>
    <col min="15" max="15" width="19.81640625" customWidth="1"/>
    <col min="16" max="16" width="20.26953125" customWidth="1"/>
    <col min="17" max="17" width="17.81640625" customWidth="1"/>
    <col min="18" max="18" width="19.6328125" customWidth="1"/>
  </cols>
  <sheetData>
    <row r="1" spans="1:18" s="2" customFormat="1" ht="80.5" customHeight="1" x14ac:dyDescent="0.35">
      <c r="A1" s="8" t="s">
        <v>0</v>
      </c>
      <c r="B1" s="8" t="s">
        <v>1</v>
      </c>
      <c r="C1" s="8" t="s">
        <v>29</v>
      </c>
      <c r="D1" s="8" t="s">
        <v>30</v>
      </c>
      <c r="E1" s="8" t="s">
        <v>2</v>
      </c>
      <c r="F1" s="8" t="s">
        <v>3</v>
      </c>
      <c r="G1" s="8" t="s">
        <v>39</v>
      </c>
      <c r="H1" s="8" t="s">
        <v>4</v>
      </c>
      <c r="I1" s="8" t="s">
        <v>31</v>
      </c>
      <c r="J1" s="8" t="s">
        <v>32</v>
      </c>
      <c r="K1" s="8" t="s">
        <v>33</v>
      </c>
      <c r="L1" s="8" t="s">
        <v>35</v>
      </c>
      <c r="M1" s="8" t="s">
        <v>41</v>
      </c>
      <c r="N1" s="9" t="s">
        <v>36</v>
      </c>
      <c r="O1" s="9" t="s">
        <v>37</v>
      </c>
      <c r="P1" s="8" t="s">
        <v>38</v>
      </c>
      <c r="Q1" s="9" t="s">
        <v>43</v>
      </c>
      <c r="R1" s="10" t="s">
        <v>40</v>
      </c>
    </row>
    <row r="2" spans="1:18" ht="15.5" x14ac:dyDescent="0.35">
      <c r="A2" s="12" t="s">
        <v>5</v>
      </c>
      <c r="B2" s="12">
        <v>0</v>
      </c>
      <c r="C2" s="12">
        <v>15.205</v>
      </c>
      <c r="D2" s="12">
        <v>20.638999999999999</v>
      </c>
      <c r="E2" s="12">
        <v>15.616</v>
      </c>
      <c r="F2" s="12">
        <v>20.85</v>
      </c>
      <c r="G2" s="12">
        <f>E2-C2</f>
        <v>0.41099999999999959</v>
      </c>
      <c r="H2" s="12">
        <v>0.2</v>
      </c>
      <c r="I2" s="12">
        <v>31778846.199999999</v>
      </c>
      <c r="J2" s="17">
        <v>31.7788462</v>
      </c>
      <c r="K2" s="12">
        <v>485</v>
      </c>
      <c r="L2" s="12">
        <v>158.89423099999999</v>
      </c>
      <c r="M2" s="12">
        <v>2.4249999999999998</v>
      </c>
      <c r="N2" s="12">
        <v>2021</v>
      </c>
      <c r="O2" s="12">
        <v>2016</v>
      </c>
      <c r="P2" s="12">
        <v>5</v>
      </c>
      <c r="Q2" s="12">
        <v>15.8894231</v>
      </c>
      <c r="R2" s="12">
        <v>0.24249999999999999</v>
      </c>
    </row>
    <row r="3" spans="1:18" ht="15.5" x14ac:dyDescent="0.35">
      <c r="A3" s="12" t="s">
        <v>6</v>
      </c>
      <c r="B3" s="12">
        <v>0.5</v>
      </c>
      <c r="C3" s="12">
        <v>15.205</v>
      </c>
      <c r="D3" s="12">
        <v>20.638999999999999</v>
      </c>
      <c r="E3" s="12">
        <v>15.452999999999999</v>
      </c>
      <c r="F3" s="12">
        <v>20.728000000000002</v>
      </c>
      <c r="G3" s="12">
        <f t="shared" ref="G3:G25" si="0">E3-C3</f>
        <v>0.24799999999999933</v>
      </c>
      <c r="H3" s="12">
        <v>0.159</v>
      </c>
      <c r="I3" s="12">
        <v>57819431</v>
      </c>
      <c r="J3" s="17">
        <v>57.819431000000002</v>
      </c>
      <c r="K3" s="12">
        <v>1350</v>
      </c>
      <c r="L3" s="12">
        <v>363.64422009999998</v>
      </c>
      <c r="M3" s="12">
        <v>8.4905660380000008</v>
      </c>
      <c r="N3" s="12">
        <v>2016</v>
      </c>
      <c r="O3" s="12">
        <v>2012</v>
      </c>
      <c r="P3" s="12">
        <v>4</v>
      </c>
      <c r="Q3" s="12">
        <v>45.455527519999997</v>
      </c>
      <c r="R3" s="12">
        <v>1.0613207549999999</v>
      </c>
    </row>
    <row r="4" spans="1:18" ht="15.5" x14ac:dyDescent="0.35">
      <c r="A4" s="12" t="s">
        <v>7</v>
      </c>
      <c r="B4" s="12">
        <v>1</v>
      </c>
      <c r="C4" s="12">
        <v>15.205</v>
      </c>
      <c r="D4" s="12">
        <v>20.638999999999999</v>
      </c>
      <c r="E4" s="12">
        <v>15.339</v>
      </c>
      <c r="F4" s="12">
        <v>20.670999999999999</v>
      </c>
      <c r="G4" s="12">
        <f t="shared" si="0"/>
        <v>0.13400000000000034</v>
      </c>
      <c r="H4" s="12">
        <v>0.10199999999999999</v>
      </c>
      <c r="I4" s="12">
        <v>40056285.200000003</v>
      </c>
      <c r="J4" s="17">
        <v>40.056285199999998</v>
      </c>
      <c r="K4" s="12">
        <v>2747</v>
      </c>
      <c r="L4" s="12">
        <v>392.7086784</v>
      </c>
      <c r="M4" s="12">
        <v>26.931372549999999</v>
      </c>
      <c r="N4" s="12">
        <v>2012</v>
      </c>
      <c r="O4" s="12">
        <v>2007</v>
      </c>
      <c r="P4" s="12">
        <v>5</v>
      </c>
      <c r="Q4" s="12">
        <v>39.270867840000001</v>
      </c>
      <c r="R4" s="12">
        <v>2.6931372549999999</v>
      </c>
    </row>
    <row r="5" spans="1:18" ht="15.5" x14ac:dyDescent="0.35">
      <c r="A5" s="12" t="s">
        <v>8</v>
      </c>
      <c r="B5" s="12">
        <v>1.5</v>
      </c>
      <c r="C5" s="12">
        <v>15.204000000000001</v>
      </c>
      <c r="D5" s="12">
        <v>20.638000000000002</v>
      </c>
      <c r="E5" s="12">
        <v>15.286</v>
      </c>
      <c r="F5" s="12">
        <v>20.670999999999999</v>
      </c>
      <c r="G5" s="12">
        <f t="shared" si="0"/>
        <v>8.1999999999998963E-2</v>
      </c>
      <c r="H5" s="12">
        <v>4.9000000000000002E-2</v>
      </c>
      <c r="I5" s="12">
        <v>98076832.900000006</v>
      </c>
      <c r="J5" s="17">
        <v>98.076832899999999</v>
      </c>
      <c r="K5" s="12">
        <v>1584</v>
      </c>
      <c r="L5" s="12">
        <v>2001.5680179999999</v>
      </c>
      <c r="M5" s="12">
        <v>32.326530609999999</v>
      </c>
      <c r="N5" s="12">
        <v>2007</v>
      </c>
      <c r="O5" s="12">
        <v>2003</v>
      </c>
      <c r="P5" s="12">
        <v>4</v>
      </c>
      <c r="Q5" s="12">
        <v>250.1960023</v>
      </c>
      <c r="R5" s="12">
        <v>4.0408163269999999</v>
      </c>
    </row>
    <row r="6" spans="1:18" ht="15.5" x14ac:dyDescent="0.35">
      <c r="A6" s="12" t="s">
        <v>9</v>
      </c>
      <c r="B6" s="12">
        <v>2</v>
      </c>
      <c r="C6" s="12">
        <v>15.204000000000001</v>
      </c>
      <c r="D6" s="12">
        <v>20.638000000000002</v>
      </c>
      <c r="E6" s="12">
        <v>15.41</v>
      </c>
      <c r="F6" s="12">
        <v>20.687000000000001</v>
      </c>
      <c r="G6" s="12">
        <f t="shared" si="0"/>
        <v>0.20599999999999952</v>
      </c>
      <c r="H6" s="12">
        <v>0.157</v>
      </c>
      <c r="I6" s="12">
        <v>308979571</v>
      </c>
      <c r="J6" s="17">
        <v>308.97957100000002</v>
      </c>
      <c r="K6" s="12">
        <v>1150</v>
      </c>
      <c r="L6" s="12">
        <v>1968.022745</v>
      </c>
      <c r="M6" s="12">
        <v>7.3248407640000002</v>
      </c>
      <c r="N6" s="12">
        <v>2003</v>
      </c>
      <c r="O6" s="12">
        <v>1999</v>
      </c>
      <c r="P6" s="12">
        <v>4</v>
      </c>
      <c r="Q6" s="12">
        <v>246.0028432</v>
      </c>
      <c r="R6" s="12">
        <v>0.91560509599999995</v>
      </c>
    </row>
    <row r="7" spans="1:18" ht="15.5" x14ac:dyDescent="0.35">
      <c r="A7" s="12" t="s">
        <v>10</v>
      </c>
      <c r="B7" s="12">
        <v>2.5</v>
      </c>
      <c r="C7" s="12">
        <v>15.205</v>
      </c>
      <c r="D7" s="12">
        <v>20.638999999999999</v>
      </c>
      <c r="E7" s="12">
        <v>15.643000000000001</v>
      </c>
      <c r="F7" s="12">
        <v>20.481000000000002</v>
      </c>
      <c r="G7" s="12">
        <f t="shared" si="0"/>
        <v>0.43800000000000061</v>
      </c>
      <c r="H7" s="12">
        <v>0.59599999999999997</v>
      </c>
      <c r="I7" s="12">
        <v>442777971</v>
      </c>
      <c r="J7" s="17">
        <v>442.77797099999998</v>
      </c>
      <c r="K7" s="12">
        <v>1793</v>
      </c>
      <c r="L7" s="12">
        <v>742.91605870000001</v>
      </c>
      <c r="M7" s="12">
        <v>3.0083892620000001</v>
      </c>
      <c r="N7" s="12">
        <v>1999</v>
      </c>
      <c r="O7" s="12">
        <v>1989</v>
      </c>
      <c r="P7" s="12">
        <v>10</v>
      </c>
      <c r="Q7" s="12">
        <v>37.145802940000003</v>
      </c>
      <c r="R7" s="12">
        <v>0.150419463</v>
      </c>
    </row>
    <row r="8" spans="1:18" ht="15.5" x14ac:dyDescent="0.35">
      <c r="A8" s="12" t="s">
        <v>11</v>
      </c>
      <c r="B8" s="12">
        <v>3</v>
      </c>
      <c r="C8" s="12">
        <v>15.205</v>
      </c>
      <c r="D8" s="12">
        <v>20.638999999999999</v>
      </c>
      <c r="E8" s="12">
        <v>15.693</v>
      </c>
      <c r="F8" s="12">
        <v>20.87</v>
      </c>
      <c r="G8" s="12">
        <f t="shared" si="0"/>
        <v>0.48799999999999955</v>
      </c>
      <c r="H8" s="12">
        <v>0.25700000000000001</v>
      </c>
      <c r="I8" s="12">
        <v>249457083</v>
      </c>
      <c r="J8" s="17">
        <v>249.45708300000001</v>
      </c>
      <c r="K8" s="12">
        <v>242</v>
      </c>
      <c r="L8" s="12">
        <v>970.65012839999997</v>
      </c>
      <c r="M8" s="12">
        <v>0.94163424100000004</v>
      </c>
      <c r="N8" s="12">
        <v>1989</v>
      </c>
      <c r="O8" s="12">
        <v>1980</v>
      </c>
      <c r="P8" s="12">
        <v>9</v>
      </c>
      <c r="Q8" s="12">
        <v>53.925007129999997</v>
      </c>
      <c r="R8" s="12">
        <v>5.2313012999999998E-2</v>
      </c>
    </row>
    <row r="9" spans="1:18" ht="15.5" x14ac:dyDescent="0.35">
      <c r="A9" s="12" t="s">
        <v>12</v>
      </c>
      <c r="B9" s="12">
        <v>3.5</v>
      </c>
      <c r="C9" s="12">
        <v>15.205</v>
      </c>
      <c r="D9" s="12">
        <v>20.638999999999999</v>
      </c>
      <c r="E9" s="12">
        <v>15.823</v>
      </c>
      <c r="F9" s="12">
        <v>20.896000000000001</v>
      </c>
      <c r="G9" s="12">
        <f t="shared" si="0"/>
        <v>0.61800000000000033</v>
      </c>
      <c r="H9" s="12">
        <v>0.36099999999999999</v>
      </c>
      <c r="I9" s="12">
        <v>211638133</v>
      </c>
      <c r="J9" s="17">
        <v>211.63813300000001</v>
      </c>
      <c r="K9" s="12">
        <v>577</v>
      </c>
      <c r="L9" s="12">
        <v>586.25521609999998</v>
      </c>
      <c r="M9" s="12">
        <v>1.5983379499999999</v>
      </c>
      <c r="N9" s="12">
        <v>1980</v>
      </c>
      <c r="O9" s="12">
        <v>1970</v>
      </c>
      <c r="P9" s="12">
        <v>10</v>
      </c>
      <c r="Q9" s="12">
        <v>29.3127608</v>
      </c>
      <c r="R9" s="12">
        <v>7.9916898E-2</v>
      </c>
    </row>
    <row r="10" spans="1:18" ht="15.5" x14ac:dyDescent="0.35">
      <c r="A10" s="12" t="s">
        <v>13</v>
      </c>
      <c r="B10" s="12">
        <v>4</v>
      </c>
      <c r="C10" s="12">
        <v>15.205</v>
      </c>
      <c r="D10" s="12">
        <v>20.638999999999999</v>
      </c>
      <c r="E10" s="12">
        <v>15.632999999999999</v>
      </c>
      <c r="F10" s="12">
        <v>21.007999999999999</v>
      </c>
      <c r="G10" s="12">
        <f t="shared" si="0"/>
        <v>0.42799999999999905</v>
      </c>
      <c r="H10" s="12">
        <v>5.8999999999999997E-2</v>
      </c>
      <c r="I10" s="12">
        <v>180783510</v>
      </c>
      <c r="J10" s="17">
        <v>180.78351000000001</v>
      </c>
      <c r="K10" s="12">
        <v>819</v>
      </c>
      <c r="L10" s="12">
        <v>3064.1272880000001</v>
      </c>
      <c r="M10" s="12">
        <v>13.88135593</v>
      </c>
      <c r="N10" s="12">
        <v>1970</v>
      </c>
      <c r="O10" s="12">
        <v>1961</v>
      </c>
      <c r="P10" s="12">
        <v>9</v>
      </c>
      <c r="Q10" s="12">
        <v>170.22929379999999</v>
      </c>
      <c r="R10" s="12">
        <v>0.771186441</v>
      </c>
    </row>
    <row r="11" spans="1:18" ht="15.5" x14ac:dyDescent="0.35">
      <c r="A11" s="12" t="s">
        <v>14</v>
      </c>
      <c r="B11" s="12">
        <v>4.5</v>
      </c>
      <c r="C11" s="12">
        <v>15.205</v>
      </c>
      <c r="D11" s="12">
        <v>20.638999999999999</v>
      </c>
      <c r="E11" s="12">
        <v>15.776</v>
      </c>
      <c r="F11" s="12">
        <v>20.873000000000001</v>
      </c>
      <c r="G11" s="12">
        <f t="shared" si="0"/>
        <v>0.57099999999999973</v>
      </c>
      <c r="H11" s="12">
        <v>0.33700000000000002</v>
      </c>
      <c r="I11" s="12">
        <v>37978172</v>
      </c>
      <c r="J11" s="17">
        <v>37.978172000000001</v>
      </c>
      <c r="K11" s="12">
        <v>1061</v>
      </c>
      <c r="L11" s="12">
        <v>112.69487239999999</v>
      </c>
      <c r="M11" s="12">
        <v>3.1483679530000002</v>
      </c>
      <c r="N11" s="12">
        <v>1961</v>
      </c>
      <c r="O11" s="12">
        <v>1951</v>
      </c>
      <c r="P11" s="12">
        <v>10</v>
      </c>
      <c r="Q11" s="12">
        <v>5.6347436200000001</v>
      </c>
      <c r="R11" s="12">
        <v>0.15741839799999999</v>
      </c>
    </row>
    <row r="12" spans="1:18" ht="15.5" x14ac:dyDescent="0.35">
      <c r="A12" s="12" t="s">
        <v>15</v>
      </c>
      <c r="B12" s="12">
        <v>5</v>
      </c>
      <c r="C12" s="12">
        <v>15.205</v>
      </c>
      <c r="D12" s="12">
        <v>20.638999999999999</v>
      </c>
      <c r="E12" s="12">
        <v>15.522</v>
      </c>
      <c r="F12" s="12">
        <v>20.934999999999999</v>
      </c>
      <c r="G12" s="12">
        <f t="shared" si="0"/>
        <v>0.31700000000000017</v>
      </c>
      <c r="H12" s="12">
        <v>2.1000000000000001E-2</v>
      </c>
      <c r="I12" s="12">
        <v>24080466.300000001</v>
      </c>
      <c r="J12" s="17">
        <v>24.080466300000001</v>
      </c>
      <c r="K12" s="12">
        <v>2496</v>
      </c>
      <c r="L12" s="12">
        <v>1146.6888710000001</v>
      </c>
      <c r="M12" s="12">
        <v>118.8571429</v>
      </c>
      <c r="N12" s="12">
        <v>1951</v>
      </c>
      <c r="O12" s="12">
        <v>1942</v>
      </c>
      <c r="P12" s="12">
        <v>9</v>
      </c>
      <c r="Q12" s="12">
        <v>63.704937299999997</v>
      </c>
      <c r="R12" s="12">
        <v>6.6031746030000003</v>
      </c>
    </row>
    <row r="13" spans="1:18" ht="15.5" x14ac:dyDescent="0.35">
      <c r="A13" s="12" t="s">
        <v>16</v>
      </c>
      <c r="B13" s="12">
        <v>5.5</v>
      </c>
      <c r="C13" s="12">
        <v>15.205</v>
      </c>
      <c r="D13" s="12">
        <v>20.638999999999999</v>
      </c>
      <c r="E13" s="12">
        <v>15.564</v>
      </c>
      <c r="F13" s="12">
        <v>20.788</v>
      </c>
      <c r="G13" s="12">
        <f t="shared" si="0"/>
        <v>0.35899999999999999</v>
      </c>
      <c r="H13" s="12">
        <v>0.21</v>
      </c>
      <c r="I13" s="12">
        <v>98816864.700000003</v>
      </c>
      <c r="J13" s="17">
        <v>98.816864699999996</v>
      </c>
      <c r="K13" s="12">
        <v>547</v>
      </c>
      <c r="L13" s="12">
        <v>470.5564986</v>
      </c>
      <c r="M13" s="12">
        <v>2.6047619050000002</v>
      </c>
      <c r="N13" s="12">
        <v>1942</v>
      </c>
      <c r="O13" s="12">
        <v>1932</v>
      </c>
      <c r="P13" s="12">
        <v>10</v>
      </c>
      <c r="Q13" s="12">
        <v>23.527824930000001</v>
      </c>
      <c r="R13" s="12">
        <v>0.130238095</v>
      </c>
    </row>
    <row r="14" spans="1:18" ht="15.5" x14ac:dyDescent="0.35">
      <c r="A14" s="12" t="s">
        <v>17</v>
      </c>
      <c r="B14" s="12">
        <v>6</v>
      </c>
      <c r="C14" s="12">
        <v>15.205</v>
      </c>
      <c r="D14" s="12">
        <v>20.638999999999999</v>
      </c>
      <c r="E14" s="12">
        <v>15.552</v>
      </c>
      <c r="F14" s="12">
        <v>20.754000000000001</v>
      </c>
      <c r="G14" s="12">
        <f t="shared" si="0"/>
        <v>0.34699999999999953</v>
      </c>
      <c r="H14" s="12">
        <v>0.23200000000000001</v>
      </c>
      <c r="I14" s="12">
        <v>51064686.899999999</v>
      </c>
      <c r="J14" s="17">
        <v>51.064686899999998</v>
      </c>
      <c r="K14" s="12">
        <v>513</v>
      </c>
      <c r="L14" s="12">
        <v>220.10640910000001</v>
      </c>
      <c r="M14" s="12">
        <v>2.2112068969999998</v>
      </c>
      <c r="N14" s="12">
        <v>1932</v>
      </c>
      <c r="O14" s="12">
        <v>1923</v>
      </c>
      <c r="P14" s="12">
        <v>9</v>
      </c>
      <c r="Q14" s="12">
        <v>12.22813384</v>
      </c>
      <c r="R14" s="12">
        <v>0.122844828</v>
      </c>
    </row>
    <row r="15" spans="1:18" ht="15.5" x14ac:dyDescent="0.35">
      <c r="A15" s="12" t="s">
        <v>18</v>
      </c>
      <c r="B15" s="12">
        <v>6.5</v>
      </c>
      <c r="C15" s="12">
        <v>15.205</v>
      </c>
      <c r="D15" s="12">
        <v>20.638999999999999</v>
      </c>
      <c r="E15" s="12">
        <v>15.555999999999999</v>
      </c>
      <c r="F15" s="12">
        <v>20.86</v>
      </c>
      <c r="G15" s="12">
        <f t="shared" si="0"/>
        <v>0.35099999999999909</v>
      </c>
      <c r="H15" s="12">
        <v>0.13</v>
      </c>
      <c r="I15" s="12">
        <v>2266468.5</v>
      </c>
      <c r="J15" s="17">
        <v>2.2664685000000002</v>
      </c>
      <c r="K15" s="12">
        <v>487</v>
      </c>
      <c r="L15" s="12">
        <v>17.43437308</v>
      </c>
      <c r="M15" s="12">
        <v>3.7461538459999999</v>
      </c>
      <c r="N15" s="12">
        <v>1923</v>
      </c>
      <c r="O15" s="12">
        <v>1913</v>
      </c>
      <c r="P15" s="12">
        <v>10</v>
      </c>
      <c r="Q15" s="12">
        <v>0.87171865400000004</v>
      </c>
      <c r="R15" s="12">
        <v>0.187307692</v>
      </c>
    </row>
    <row r="16" spans="1:18" ht="15.5" x14ac:dyDescent="0.35">
      <c r="A16" s="12" t="s">
        <v>19</v>
      </c>
      <c r="B16" s="12">
        <v>7</v>
      </c>
      <c r="C16" s="12">
        <v>15.205</v>
      </c>
      <c r="D16" s="12">
        <v>20.638999999999999</v>
      </c>
      <c r="E16" s="12">
        <v>15.513999999999999</v>
      </c>
      <c r="F16" s="12">
        <v>20.849</v>
      </c>
      <c r="G16" s="12">
        <f t="shared" si="0"/>
        <v>0.30899999999999928</v>
      </c>
      <c r="H16" s="12">
        <v>9.9000000000000005E-2</v>
      </c>
      <c r="I16" s="12">
        <v>26143111.600000001</v>
      </c>
      <c r="J16" s="17">
        <v>26.143111600000001</v>
      </c>
      <c r="K16" s="12">
        <v>427</v>
      </c>
      <c r="L16" s="12">
        <v>264.07183429999998</v>
      </c>
      <c r="M16" s="12">
        <v>4.3131313130000004</v>
      </c>
      <c r="N16" s="12">
        <v>1913</v>
      </c>
      <c r="O16" s="12">
        <v>1904</v>
      </c>
      <c r="P16" s="12">
        <v>9</v>
      </c>
      <c r="Q16" s="12">
        <v>14.670657459999999</v>
      </c>
      <c r="R16" s="12">
        <v>0.23961840600000001</v>
      </c>
    </row>
    <row r="17" spans="1:18" ht="15.5" x14ac:dyDescent="0.35">
      <c r="A17" s="12" t="s">
        <v>20</v>
      </c>
      <c r="B17" s="12">
        <v>7.5</v>
      </c>
      <c r="C17" s="12">
        <v>15.205</v>
      </c>
      <c r="D17" s="12">
        <v>20.638999999999999</v>
      </c>
      <c r="E17" s="12">
        <v>15.693</v>
      </c>
      <c r="F17" s="12">
        <v>20.821000000000002</v>
      </c>
      <c r="G17" s="12">
        <f t="shared" si="0"/>
        <v>0.48799999999999955</v>
      </c>
      <c r="H17" s="12">
        <v>0.30599999999999999</v>
      </c>
      <c r="I17" s="12">
        <v>8574498.5800000001</v>
      </c>
      <c r="J17" s="17">
        <v>8.5744985800000002</v>
      </c>
      <c r="K17" s="12">
        <v>359</v>
      </c>
      <c r="L17" s="12">
        <v>28.021237190000001</v>
      </c>
      <c r="M17" s="12">
        <v>1.173202614</v>
      </c>
      <c r="N17" s="12">
        <v>1904</v>
      </c>
      <c r="O17" s="12">
        <v>1894</v>
      </c>
      <c r="P17" s="12">
        <v>10</v>
      </c>
      <c r="Q17" s="12">
        <v>1.4010618589999999</v>
      </c>
      <c r="R17" s="12">
        <v>5.8660130999999997E-2</v>
      </c>
    </row>
    <row r="18" spans="1:18" ht="15.5" x14ac:dyDescent="0.35">
      <c r="A18" s="12" t="s">
        <v>21</v>
      </c>
      <c r="B18" s="12">
        <v>8</v>
      </c>
      <c r="C18" s="12">
        <v>15.205</v>
      </c>
      <c r="D18" s="12">
        <v>20.641999999999999</v>
      </c>
      <c r="E18" s="12">
        <v>15.62</v>
      </c>
      <c r="F18" s="12">
        <v>20.873000000000001</v>
      </c>
      <c r="G18" s="12">
        <f t="shared" si="0"/>
        <v>0.41499999999999915</v>
      </c>
      <c r="H18" s="12">
        <v>0.184</v>
      </c>
      <c r="I18" s="12">
        <v>21978120.5</v>
      </c>
      <c r="J18" s="17">
        <v>21.978120499999999</v>
      </c>
      <c r="K18" s="12">
        <v>771</v>
      </c>
      <c r="L18" s="12">
        <v>119.4463071</v>
      </c>
      <c r="M18" s="12">
        <v>4.190217391</v>
      </c>
      <c r="N18" s="12">
        <v>1894</v>
      </c>
      <c r="O18" s="12">
        <v>1885</v>
      </c>
      <c r="P18" s="12">
        <v>9</v>
      </c>
      <c r="Q18" s="12">
        <v>6.6359059480000004</v>
      </c>
      <c r="R18" s="12">
        <v>0.23278985499999999</v>
      </c>
    </row>
    <row r="19" spans="1:18" ht="15.5" x14ac:dyDescent="0.35">
      <c r="A19" s="12" t="s">
        <v>22</v>
      </c>
      <c r="B19" s="12">
        <v>8.5</v>
      </c>
      <c r="C19" s="12">
        <v>15.205</v>
      </c>
      <c r="D19" s="12">
        <v>20.641999999999999</v>
      </c>
      <c r="E19" s="12">
        <v>15.669</v>
      </c>
      <c r="F19" s="12">
        <v>20.882999999999999</v>
      </c>
      <c r="G19" s="12">
        <f t="shared" si="0"/>
        <v>0.46400000000000041</v>
      </c>
      <c r="H19" s="12">
        <v>0.223</v>
      </c>
      <c r="I19" s="12">
        <v>151011147</v>
      </c>
      <c r="J19" s="17">
        <v>151.01114699999999</v>
      </c>
      <c r="K19" s="12">
        <v>1328</v>
      </c>
      <c r="L19" s="12">
        <v>677.18003139999996</v>
      </c>
      <c r="M19" s="12">
        <v>5.9551569510000002</v>
      </c>
      <c r="N19" s="12">
        <v>1885</v>
      </c>
      <c r="O19" s="12">
        <v>1875</v>
      </c>
      <c r="P19" s="12">
        <v>10</v>
      </c>
      <c r="Q19" s="12">
        <v>33.859001569999997</v>
      </c>
      <c r="R19" s="12">
        <v>0.29775784799999999</v>
      </c>
    </row>
    <row r="20" spans="1:18" ht="15.5" x14ac:dyDescent="0.35">
      <c r="A20" s="12" t="s">
        <v>23</v>
      </c>
      <c r="B20" s="12">
        <v>9</v>
      </c>
      <c r="C20" s="12">
        <v>15.205</v>
      </c>
      <c r="D20" s="12">
        <v>20.641999999999999</v>
      </c>
      <c r="E20" s="12">
        <v>15.558</v>
      </c>
      <c r="F20" s="12">
        <v>20.815000000000001</v>
      </c>
      <c r="G20" s="12">
        <f t="shared" si="0"/>
        <v>0.35299999999999976</v>
      </c>
      <c r="H20" s="12">
        <v>0.18</v>
      </c>
      <c r="I20" s="12">
        <v>155350379</v>
      </c>
      <c r="J20" s="17">
        <v>155.350379</v>
      </c>
      <c r="K20" s="12">
        <v>516</v>
      </c>
      <c r="L20" s="12">
        <v>863.05766110000002</v>
      </c>
      <c r="M20" s="12">
        <v>2.8666666670000001</v>
      </c>
      <c r="N20" s="12">
        <v>1875</v>
      </c>
      <c r="O20" s="12">
        <v>1866</v>
      </c>
      <c r="P20" s="12">
        <v>9</v>
      </c>
      <c r="Q20" s="12">
        <v>47.947647840000002</v>
      </c>
      <c r="R20" s="12">
        <v>0.15925925899999999</v>
      </c>
    </row>
    <row r="21" spans="1:18" ht="15.5" x14ac:dyDescent="0.35">
      <c r="A21" s="12" t="s">
        <v>24</v>
      </c>
      <c r="B21" s="12">
        <v>9.5</v>
      </c>
      <c r="C21" s="12">
        <v>15.205</v>
      </c>
      <c r="D21" s="12">
        <v>20.641999999999999</v>
      </c>
      <c r="E21" s="12">
        <v>15.606999999999999</v>
      </c>
      <c r="F21" s="12">
        <v>20.864999999999998</v>
      </c>
      <c r="G21" s="12">
        <f t="shared" si="0"/>
        <v>0.40199999999999925</v>
      </c>
      <c r="H21" s="12">
        <v>0.17899999999999999</v>
      </c>
      <c r="I21" s="12">
        <v>39545625.899999999</v>
      </c>
      <c r="J21" s="17">
        <v>39.545625899999997</v>
      </c>
      <c r="K21" s="12">
        <v>5944</v>
      </c>
      <c r="L21" s="12">
        <v>220.92528440000001</v>
      </c>
      <c r="M21" s="12">
        <v>33.206703910000002</v>
      </c>
      <c r="N21" s="12">
        <v>1866</v>
      </c>
      <c r="O21" s="12">
        <v>1856</v>
      </c>
      <c r="P21" s="12">
        <v>10</v>
      </c>
      <c r="Q21" s="12">
        <v>11.046264219999999</v>
      </c>
      <c r="R21" s="12">
        <v>1.6603351959999999</v>
      </c>
    </row>
    <row r="22" spans="1:18" ht="15.5" x14ac:dyDescent="0.35">
      <c r="A22" s="12" t="s">
        <v>25</v>
      </c>
      <c r="B22" s="12">
        <v>10</v>
      </c>
      <c r="C22" s="12">
        <v>15.205</v>
      </c>
      <c r="D22" s="12">
        <v>20.641999999999999</v>
      </c>
      <c r="E22" s="12">
        <v>15.551</v>
      </c>
      <c r="F22" s="12">
        <v>20.817</v>
      </c>
      <c r="G22" s="12">
        <f t="shared" si="0"/>
        <v>0.34600000000000009</v>
      </c>
      <c r="H22" s="12">
        <v>0.17100000000000001</v>
      </c>
      <c r="I22" s="12">
        <v>43248186.200000003</v>
      </c>
      <c r="J22" s="17">
        <v>43.248186199999999</v>
      </c>
      <c r="K22" s="12">
        <v>537</v>
      </c>
      <c r="L22" s="12">
        <v>252.91336960000001</v>
      </c>
      <c r="M22" s="12">
        <v>3.1403508769999999</v>
      </c>
      <c r="N22" s="12">
        <v>1856</v>
      </c>
      <c r="O22" s="12">
        <v>1847</v>
      </c>
      <c r="P22" s="12">
        <v>9</v>
      </c>
      <c r="Q22" s="12">
        <v>14.05074276</v>
      </c>
      <c r="R22" s="12">
        <v>0.17446393800000001</v>
      </c>
    </row>
    <row r="23" spans="1:18" ht="15.5" x14ac:dyDescent="0.35">
      <c r="A23" s="12" t="s">
        <v>26</v>
      </c>
      <c r="B23" s="12">
        <v>10.5</v>
      </c>
      <c r="C23" s="12">
        <v>15.204000000000001</v>
      </c>
      <c r="D23" s="12">
        <v>20.641999999999999</v>
      </c>
      <c r="E23" s="12">
        <v>15.653</v>
      </c>
      <c r="F23" s="12">
        <v>20.849</v>
      </c>
      <c r="G23" s="12">
        <f t="shared" si="0"/>
        <v>0.44899999999999984</v>
      </c>
      <c r="H23" s="12">
        <v>0.24199999999999999</v>
      </c>
      <c r="I23" s="12">
        <v>73069958.799999997</v>
      </c>
      <c r="J23" s="17">
        <v>73.069958799999995</v>
      </c>
      <c r="K23" s="12">
        <v>1977</v>
      </c>
      <c r="L23" s="12">
        <v>301.9419785</v>
      </c>
      <c r="M23" s="12">
        <v>8.1694214879999993</v>
      </c>
      <c r="N23" s="12">
        <v>1847</v>
      </c>
      <c r="O23" s="12">
        <v>1837</v>
      </c>
      <c r="P23" s="12">
        <v>10</v>
      </c>
      <c r="Q23" s="12">
        <v>15.09709893</v>
      </c>
      <c r="R23" s="12">
        <v>0.40847107399999999</v>
      </c>
    </row>
    <row r="24" spans="1:18" ht="15.5" x14ac:dyDescent="0.35">
      <c r="A24" s="12" t="s">
        <v>27</v>
      </c>
      <c r="B24" s="12">
        <v>11</v>
      </c>
      <c r="C24" s="12">
        <v>15.205</v>
      </c>
      <c r="D24" s="12">
        <v>20.641999999999999</v>
      </c>
      <c r="E24" s="12">
        <v>15.484999999999999</v>
      </c>
      <c r="F24" s="12">
        <v>20.734000000000002</v>
      </c>
      <c r="G24" s="12">
        <f t="shared" si="0"/>
        <v>0.27999999999999936</v>
      </c>
      <c r="H24" s="12">
        <v>0.188</v>
      </c>
      <c r="I24" s="12">
        <v>72373169.599999994</v>
      </c>
      <c r="J24" s="17">
        <v>72.373169599999997</v>
      </c>
      <c r="K24" s="12">
        <v>1179</v>
      </c>
      <c r="L24" s="12">
        <v>384.96366810000001</v>
      </c>
      <c r="M24" s="12">
        <v>6.2712765959999999</v>
      </c>
      <c r="N24" s="12">
        <v>1837</v>
      </c>
      <c r="O24" s="12">
        <v>1828</v>
      </c>
      <c r="P24" s="12">
        <v>9</v>
      </c>
      <c r="Q24" s="12">
        <v>21.38687045</v>
      </c>
      <c r="R24" s="12">
        <v>0.348404255</v>
      </c>
    </row>
    <row r="25" spans="1:18" ht="15.5" x14ac:dyDescent="0.35">
      <c r="A25" s="12" t="s">
        <v>28</v>
      </c>
      <c r="B25" s="12">
        <v>11.5</v>
      </c>
      <c r="C25" s="12">
        <v>15.205</v>
      </c>
      <c r="D25" s="12">
        <v>20.641999999999999</v>
      </c>
      <c r="E25" s="12">
        <v>15.539</v>
      </c>
      <c r="F25" s="12">
        <v>20.802</v>
      </c>
      <c r="G25" s="12">
        <f t="shared" si="0"/>
        <v>0.33399999999999963</v>
      </c>
      <c r="H25" s="12">
        <v>0.17399999999999999</v>
      </c>
      <c r="I25" s="12">
        <v>107344739</v>
      </c>
      <c r="J25" s="17">
        <v>107.344739</v>
      </c>
      <c r="K25" s="12">
        <v>332</v>
      </c>
      <c r="L25" s="12">
        <v>616.92378740000004</v>
      </c>
      <c r="M25" s="12">
        <v>1.908045977</v>
      </c>
      <c r="N25" s="12">
        <v>1828</v>
      </c>
      <c r="O25" s="12">
        <v>1818</v>
      </c>
      <c r="P25" s="12">
        <v>10</v>
      </c>
      <c r="Q25" s="12">
        <v>30.846189370000001</v>
      </c>
      <c r="R25" s="12">
        <v>9.5402298999999996E-2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CCB1-4C6B-438B-BAF6-464644D8283A}">
  <dimension ref="A1:S165"/>
  <sheetViews>
    <sheetView tabSelected="1" workbookViewId="0">
      <selection activeCell="H14" sqref="H14"/>
    </sheetView>
  </sheetViews>
  <sheetFormatPr defaultRowHeight="14.5" x14ac:dyDescent="0.35"/>
  <cols>
    <col min="1" max="1" width="17.08984375" style="19" customWidth="1"/>
    <col min="3" max="3" width="22.7265625" customWidth="1"/>
    <col min="4" max="4" width="17.1796875" customWidth="1"/>
    <col min="5" max="5" width="19.26953125" customWidth="1"/>
    <col min="6" max="6" width="17.36328125" customWidth="1"/>
    <col min="7" max="7" width="18.26953125" customWidth="1"/>
    <col min="8" max="8" width="13.26953125" customWidth="1"/>
    <col min="9" max="9" width="14.7265625" customWidth="1"/>
    <col min="10" max="10" width="19.26953125" customWidth="1"/>
    <col min="11" max="11" width="17.26953125" customWidth="1"/>
    <col min="12" max="12" width="18.90625" customWidth="1"/>
    <col min="13" max="13" width="18.54296875" customWidth="1"/>
    <col min="14" max="14" width="16.453125" customWidth="1"/>
    <col min="15" max="15" width="15.90625" customWidth="1"/>
    <col min="16" max="16" width="12.7265625" customWidth="1"/>
    <col min="17" max="17" width="13.90625" customWidth="1"/>
    <col min="18" max="18" width="22.1796875" customWidth="1"/>
  </cols>
  <sheetData>
    <row r="1" spans="1:19" s="2" customFormat="1" ht="80.5" customHeight="1" x14ac:dyDescent="0.35">
      <c r="A1" s="18" t="s">
        <v>68</v>
      </c>
      <c r="B1" s="8" t="s">
        <v>0</v>
      </c>
      <c r="C1" s="8" t="s">
        <v>1</v>
      </c>
      <c r="D1" s="8" t="s">
        <v>29</v>
      </c>
      <c r="E1" s="8" t="s">
        <v>30</v>
      </c>
      <c r="F1" s="8" t="s">
        <v>2</v>
      </c>
      <c r="G1" s="8" t="s">
        <v>3</v>
      </c>
      <c r="H1" s="8" t="s">
        <v>39</v>
      </c>
      <c r="I1" s="8" t="s">
        <v>4</v>
      </c>
      <c r="J1" s="8" t="s">
        <v>31</v>
      </c>
      <c r="K1" s="8" t="s">
        <v>32</v>
      </c>
      <c r="L1" s="8" t="s">
        <v>33</v>
      </c>
      <c r="M1" s="8" t="s">
        <v>35</v>
      </c>
      <c r="N1" s="8" t="s">
        <v>41</v>
      </c>
      <c r="O1" s="9" t="s">
        <v>36</v>
      </c>
      <c r="P1" s="9" t="s">
        <v>37</v>
      </c>
      <c r="Q1" s="8" t="s">
        <v>38</v>
      </c>
      <c r="R1" s="9" t="s">
        <v>43</v>
      </c>
      <c r="S1" s="10" t="s">
        <v>40</v>
      </c>
    </row>
    <row r="2" spans="1:19" ht="15.5" x14ac:dyDescent="0.35">
      <c r="A2" s="19" t="s">
        <v>69</v>
      </c>
      <c r="B2" s="11" t="s">
        <v>5</v>
      </c>
      <c r="C2" s="11">
        <v>0</v>
      </c>
      <c r="D2" s="11">
        <v>15.21</v>
      </c>
      <c r="E2" s="11">
        <v>20.628</v>
      </c>
      <c r="F2" s="11">
        <v>15.866</v>
      </c>
      <c r="G2" s="11">
        <v>21.021000000000001</v>
      </c>
      <c r="H2" s="11">
        <f>F2-D2</f>
        <v>0.65599999999999881</v>
      </c>
      <c r="I2" s="11">
        <v>0.26300000000000001</v>
      </c>
      <c r="J2" s="11">
        <v>29924444.440000001</v>
      </c>
      <c r="K2" s="11">
        <v>29.924444439999998</v>
      </c>
      <c r="L2" s="11">
        <v>338</v>
      </c>
      <c r="M2" s="11">
        <v>113.7811576</v>
      </c>
      <c r="N2" s="11">
        <v>1285.1711029999999</v>
      </c>
      <c r="O2" s="12">
        <v>2021</v>
      </c>
      <c r="P2" s="12">
        <v>2017</v>
      </c>
      <c r="Q2" s="12">
        <f>O2-P2</f>
        <v>4</v>
      </c>
      <c r="R2" s="13">
        <f t="shared" ref="R2:R27" si="0">(M2/Q2)*0.5</f>
        <v>14.2226447</v>
      </c>
      <c r="S2" s="14">
        <f t="shared" ref="S2:S27" si="1">(N2/Q2)*0.5</f>
        <v>160.64638787499999</v>
      </c>
    </row>
    <row r="3" spans="1:19" ht="15.5" x14ac:dyDescent="0.35">
      <c r="A3" s="19" t="s">
        <v>69</v>
      </c>
      <c r="B3" s="11" t="s">
        <v>6</v>
      </c>
      <c r="C3" s="11">
        <v>0.5</v>
      </c>
      <c r="D3" s="11">
        <v>15.21</v>
      </c>
      <c r="E3" s="11">
        <v>20.628</v>
      </c>
      <c r="F3" s="11">
        <v>15.888999999999999</v>
      </c>
      <c r="G3" s="11">
        <v>21.04</v>
      </c>
      <c r="H3" s="11">
        <f t="shared" ref="H3:H25" si="2">F3-D3</f>
        <v>0.67899999999999849</v>
      </c>
      <c r="I3" s="11">
        <v>0.26700000000000002</v>
      </c>
      <c r="J3" s="11">
        <v>51645819.020000003</v>
      </c>
      <c r="K3" s="11">
        <v>51.645819019999998</v>
      </c>
      <c r="L3" s="11">
        <v>1538</v>
      </c>
      <c r="M3" s="11">
        <v>193.43003379999999</v>
      </c>
      <c r="N3" s="11">
        <v>5760.2996249999997</v>
      </c>
      <c r="O3" s="12">
        <v>2017</v>
      </c>
      <c r="P3" s="12">
        <v>2013</v>
      </c>
      <c r="Q3" s="12">
        <f t="shared" ref="Q3:Q25" si="3">O3-P3</f>
        <v>4</v>
      </c>
      <c r="R3" s="13">
        <f t="shared" si="0"/>
        <v>24.178754224999999</v>
      </c>
      <c r="S3" s="14">
        <f t="shared" si="1"/>
        <v>720.03745312499996</v>
      </c>
    </row>
    <row r="4" spans="1:19" ht="15.5" x14ac:dyDescent="0.35">
      <c r="A4" s="19" t="s">
        <v>69</v>
      </c>
      <c r="B4" s="11" t="s">
        <v>7</v>
      </c>
      <c r="C4" s="11">
        <v>1</v>
      </c>
      <c r="D4" s="11">
        <v>15.21</v>
      </c>
      <c r="E4" s="11">
        <v>20.628</v>
      </c>
      <c r="F4" s="11">
        <v>15.693</v>
      </c>
      <c r="G4" s="11">
        <v>20.914999999999999</v>
      </c>
      <c r="H4" s="11">
        <f t="shared" si="2"/>
        <v>0.48299999999999876</v>
      </c>
      <c r="I4" s="11">
        <v>0.19600000000000001</v>
      </c>
      <c r="J4" s="11">
        <v>37124588.869999997</v>
      </c>
      <c r="K4" s="11">
        <v>37.124588869999997</v>
      </c>
      <c r="L4" s="11">
        <v>151</v>
      </c>
      <c r="M4" s="11">
        <v>189.41116769999999</v>
      </c>
      <c r="N4" s="11">
        <v>770.40816329999996</v>
      </c>
      <c r="O4" s="12">
        <v>2013</v>
      </c>
      <c r="P4" s="12">
        <v>2010</v>
      </c>
      <c r="Q4" s="12">
        <f t="shared" si="3"/>
        <v>3</v>
      </c>
      <c r="R4" s="13">
        <f t="shared" si="0"/>
        <v>31.56852795</v>
      </c>
      <c r="S4" s="14">
        <f t="shared" si="1"/>
        <v>128.40136054999999</v>
      </c>
    </row>
    <row r="5" spans="1:19" ht="15.5" x14ac:dyDescent="0.35">
      <c r="A5" s="19" t="s">
        <v>69</v>
      </c>
      <c r="B5" s="11" t="s">
        <v>8</v>
      </c>
      <c r="C5" s="11">
        <v>1.5</v>
      </c>
      <c r="D5" s="11">
        <v>15.21</v>
      </c>
      <c r="E5" s="11">
        <v>20.628</v>
      </c>
      <c r="F5" s="11">
        <v>15.622</v>
      </c>
      <c r="G5" s="11">
        <v>20.861000000000001</v>
      </c>
      <c r="H5" s="11">
        <f t="shared" si="2"/>
        <v>0.41199999999999903</v>
      </c>
      <c r="I5" s="11">
        <v>0.17899999999999999</v>
      </c>
      <c r="J5" s="11">
        <v>92981111.090000004</v>
      </c>
      <c r="K5" s="11">
        <v>92.981111089999999</v>
      </c>
      <c r="L5" s="11">
        <v>629</v>
      </c>
      <c r="M5" s="11">
        <v>519.44754799999998</v>
      </c>
      <c r="N5" s="11">
        <v>3513.96648</v>
      </c>
      <c r="O5" s="12">
        <v>2010</v>
      </c>
      <c r="P5" s="12">
        <v>2006</v>
      </c>
      <c r="Q5" s="12">
        <f t="shared" si="3"/>
        <v>4</v>
      </c>
      <c r="R5" s="13">
        <f t="shared" si="0"/>
        <v>64.930943499999998</v>
      </c>
      <c r="S5" s="14">
        <f t="shared" si="1"/>
        <v>439.24581000000001</v>
      </c>
    </row>
    <row r="6" spans="1:19" ht="15.5" x14ac:dyDescent="0.35">
      <c r="A6" s="19" t="s">
        <v>69</v>
      </c>
      <c r="B6" s="11" t="s">
        <v>9</v>
      </c>
      <c r="C6" s="11">
        <v>2</v>
      </c>
      <c r="D6" s="11">
        <v>15.21</v>
      </c>
      <c r="E6" s="11">
        <v>20.628</v>
      </c>
      <c r="F6" s="11">
        <v>15.37</v>
      </c>
      <c r="G6" s="11">
        <v>20.637</v>
      </c>
      <c r="H6" s="11">
        <f t="shared" si="2"/>
        <v>0.15999999999999837</v>
      </c>
      <c r="I6" s="11">
        <v>0.151</v>
      </c>
      <c r="J6" s="11">
        <v>300319431</v>
      </c>
      <c r="K6" s="11">
        <v>300.31943100000001</v>
      </c>
      <c r="L6" s="11">
        <v>1487</v>
      </c>
      <c r="M6" s="11">
        <v>1988.870404</v>
      </c>
      <c r="N6" s="11">
        <v>9847.6821189999991</v>
      </c>
      <c r="O6" s="12">
        <v>2006</v>
      </c>
      <c r="P6" s="12">
        <v>2002</v>
      </c>
      <c r="Q6" s="12">
        <f t="shared" si="3"/>
        <v>4</v>
      </c>
      <c r="R6" s="13">
        <f t="shared" si="0"/>
        <v>248.6088005</v>
      </c>
      <c r="S6" s="14">
        <f t="shared" si="1"/>
        <v>1230.9602648749999</v>
      </c>
    </row>
    <row r="7" spans="1:19" ht="15.5" x14ac:dyDescent="0.35">
      <c r="A7" s="19" t="s">
        <v>69</v>
      </c>
      <c r="B7" s="11" t="s">
        <v>10</v>
      </c>
      <c r="C7" s="11">
        <v>2.5</v>
      </c>
      <c r="D7" s="11">
        <v>15.21</v>
      </c>
      <c r="E7" s="11">
        <v>20.628</v>
      </c>
      <c r="F7" s="11">
        <v>15.489000000000001</v>
      </c>
      <c r="G7" s="11">
        <v>20.649000000000001</v>
      </c>
      <c r="H7" s="11">
        <f t="shared" si="2"/>
        <v>0.27899999999999991</v>
      </c>
      <c r="I7" s="11">
        <v>0.25800000000000001</v>
      </c>
      <c r="J7" s="11">
        <v>404155633.60000002</v>
      </c>
      <c r="K7" s="11">
        <v>404.15563359999999</v>
      </c>
      <c r="L7" s="11">
        <v>1847</v>
      </c>
      <c r="M7" s="11">
        <v>1566.494704</v>
      </c>
      <c r="N7" s="11">
        <v>7158.9147290000001</v>
      </c>
      <c r="O7" s="12">
        <v>2002</v>
      </c>
      <c r="P7" s="12">
        <v>1994</v>
      </c>
      <c r="Q7" s="12">
        <f t="shared" si="3"/>
        <v>8</v>
      </c>
      <c r="R7" s="13">
        <f t="shared" si="0"/>
        <v>97.905918999999997</v>
      </c>
      <c r="S7" s="14">
        <f t="shared" si="1"/>
        <v>447.4321705625</v>
      </c>
    </row>
    <row r="8" spans="1:19" ht="15.5" x14ac:dyDescent="0.35">
      <c r="A8" s="19" t="s">
        <v>69</v>
      </c>
      <c r="B8" s="11" t="s">
        <v>11</v>
      </c>
      <c r="C8" s="11">
        <v>3</v>
      </c>
      <c r="D8" s="11">
        <v>15.21</v>
      </c>
      <c r="E8" s="11">
        <v>20.628</v>
      </c>
      <c r="F8" s="11">
        <v>15.401</v>
      </c>
      <c r="G8" s="11">
        <v>20.677</v>
      </c>
      <c r="H8" s="11">
        <f t="shared" si="2"/>
        <v>0.19099999999999895</v>
      </c>
      <c r="I8" s="11">
        <v>0.14199999999999999</v>
      </c>
      <c r="J8" s="11">
        <v>230373528.40000001</v>
      </c>
      <c r="K8" s="11">
        <v>230.3735284</v>
      </c>
      <c r="L8" s="11">
        <v>971</v>
      </c>
      <c r="M8" s="11">
        <v>1622.3487909999999</v>
      </c>
      <c r="N8" s="11">
        <v>6838.0281690000002</v>
      </c>
      <c r="O8" s="12">
        <v>1994</v>
      </c>
      <c r="P8" s="12">
        <v>1986</v>
      </c>
      <c r="Q8" s="12">
        <f t="shared" si="3"/>
        <v>8</v>
      </c>
      <c r="R8" s="13">
        <f t="shared" si="0"/>
        <v>101.39679943749999</v>
      </c>
      <c r="S8" s="14">
        <f t="shared" si="1"/>
        <v>427.37676056250001</v>
      </c>
    </row>
    <row r="9" spans="1:19" ht="15.5" x14ac:dyDescent="0.35">
      <c r="A9" s="19" t="s">
        <v>69</v>
      </c>
      <c r="B9" s="11" t="s">
        <v>12</v>
      </c>
      <c r="C9" s="11">
        <v>3.5</v>
      </c>
      <c r="D9" s="11">
        <v>15.21</v>
      </c>
      <c r="E9" s="11">
        <v>20.628</v>
      </c>
      <c r="F9" s="11">
        <v>15.436</v>
      </c>
      <c r="G9" s="11">
        <v>20.683</v>
      </c>
      <c r="H9" s="11">
        <f t="shared" si="2"/>
        <v>0.22599999999999909</v>
      </c>
      <c r="I9" s="11">
        <v>0.17100000000000001</v>
      </c>
      <c r="J9" s="11">
        <v>211921444.19999999</v>
      </c>
      <c r="K9" s="11">
        <v>211.9214442</v>
      </c>
      <c r="L9" s="11">
        <v>596</v>
      </c>
      <c r="M9" s="11">
        <v>1239.306691</v>
      </c>
      <c r="N9" s="11">
        <v>3485.3801170000002</v>
      </c>
      <c r="O9" s="12">
        <v>1986</v>
      </c>
      <c r="P9" s="12">
        <v>1978</v>
      </c>
      <c r="Q9" s="12">
        <f t="shared" si="3"/>
        <v>8</v>
      </c>
      <c r="R9" s="13">
        <f t="shared" si="0"/>
        <v>77.4566681875</v>
      </c>
      <c r="S9" s="14">
        <f t="shared" si="1"/>
        <v>217.83625731250001</v>
      </c>
    </row>
    <row r="10" spans="1:19" ht="15.5" x14ac:dyDescent="0.35">
      <c r="A10" s="19" t="s">
        <v>69</v>
      </c>
      <c r="B10" s="11" t="s">
        <v>13</v>
      </c>
      <c r="C10" s="11">
        <v>4</v>
      </c>
      <c r="D10" s="11">
        <v>15.21</v>
      </c>
      <c r="E10" s="11">
        <v>20.628</v>
      </c>
      <c r="F10" s="11">
        <v>15.378</v>
      </c>
      <c r="G10" s="11">
        <v>20.613</v>
      </c>
      <c r="H10" s="11">
        <f t="shared" si="2"/>
        <v>0.16799999999999926</v>
      </c>
      <c r="I10" s="11">
        <v>0.183</v>
      </c>
      <c r="J10" s="11">
        <v>186104317.80000001</v>
      </c>
      <c r="K10" s="11">
        <v>186.10431779999999</v>
      </c>
      <c r="L10" s="11">
        <v>775</v>
      </c>
      <c r="M10" s="11">
        <v>1016.963485</v>
      </c>
      <c r="N10" s="11">
        <v>4234.9726780000001</v>
      </c>
      <c r="O10" s="12">
        <v>1978</v>
      </c>
      <c r="P10" s="12">
        <v>1970</v>
      </c>
      <c r="Q10" s="12">
        <f t="shared" si="3"/>
        <v>8</v>
      </c>
      <c r="R10" s="13">
        <f t="shared" si="0"/>
        <v>63.560217812499999</v>
      </c>
      <c r="S10" s="14">
        <f t="shared" si="1"/>
        <v>264.68579237500001</v>
      </c>
    </row>
    <row r="11" spans="1:19" ht="15.5" x14ac:dyDescent="0.35">
      <c r="A11" s="19" t="s">
        <v>69</v>
      </c>
      <c r="B11" s="11" t="s">
        <v>14</v>
      </c>
      <c r="C11" s="11">
        <v>4.5</v>
      </c>
      <c r="D11" s="11">
        <v>15.21</v>
      </c>
      <c r="E11" s="11">
        <v>20.628</v>
      </c>
      <c r="F11" s="11">
        <v>15.406000000000001</v>
      </c>
      <c r="G11" s="11">
        <v>20.702000000000002</v>
      </c>
      <c r="H11" s="11">
        <f t="shared" si="2"/>
        <v>0.19599999999999973</v>
      </c>
      <c r="I11" s="11">
        <v>0.122</v>
      </c>
      <c r="J11" s="11">
        <v>92330578.140000001</v>
      </c>
      <c r="K11" s="11">
        <v>92.33057814</v>
      </c>
      <c r="L11" s="11">
        <v>644</v>
      </c>
      <c r="M11" s="11">
        <v>756.80801750000001</v>
      </c>
      <c r="N11" s="11">
        <v>5278.6885249999996</v>
      </c>
      <c r="O11" s="12">
        <v>1970</v>
      </c>
      <c r="P11" s="12">
        <v>1961</v>
      </c>
      <c r="Q11" s="12">
        <f t="shared" si="3"/>
        <v>9</v>
      </c>
      <c r="R11" s="13">
        <f t="shared" si="0"/>
        <v>42.044889861111109</v>
      </c>
      <c r="S11" s="14">
        <f t="shared" si="1"/>
        <v>293.26047361111108</v>
      </c>
    </row>
    <row r="12" spans="1:19" ht="15.5" x14ac:dyDescent="0.35">
      <c r="A12" s="19" t="s">
        <v>69</v>
      </c>
      <c r="B12" s="11" t="s">
        <v>15</v>
      </c>
      <c r="C12" s="11">
        <v>5</v>
      </c>
      <c r="D12" s="11">
        <v>15.21</v>
      </c>
      <c r="E12" s="11">
        <v>20.628</v>
      </c>
      <c r="F12" s="11">
        <v>15.414999999999999</v>
      </c>
      <c r="G12" s="11">
        <v>20.716999999999999</v>
      </c>
      <c r="H12" s="11">
        <f t="shared" si="2"/>
        <v>0.20499999999999829</v>
      </c>
      <c r="I12" s="11">
        <v>0.11600000000000001</v>
      </c>
      <c r="J12" s="11">
        <v>84532953.420000002</v>
      </c>
      <c r="K12" s="11">
        <v>84.532953419999998</v>
      </c>
      <c r="L12" s="11">
        <v>431</v>
      </c>
      <c r="M12" s="11">
        <v>728.73235709999994</v>
      </c>
      <c r="N12" s="11">
        <v>3715.517241</v>
      </c>
      <c r="O12" s="12">
        <v>1961</v>
      </c>
      <c r="P12" s="12">
        <v>1953</v>
      </c>
      <c r="Q12" s="12">
        <f t="shared" si="3"/>
        <v>8</v>
      </c>
      <c r="R12" s="13">
        <f t="shared" si="0"/>
        <v>45.545772318749997</v>
      </c>
      <c r="S12" s="14">
        <f t="shared" si="1"/>
        <v>232.2198275625</v>
      </c>
    </row>
    <row r="13" spans="1:19" ht="15.5" x14ac:dyDescent="0.35">
      <c r="A13" s="19" t="s">
        <v>69</v>
      </c>
      <c r="B13" s="11" t="s">
        <v>16</v>
      </c>
      <c r="C13" s="11">
        <v>5.5</v>
      </c>
      <c r="D13" s="11">
        <v>15.21</v>
      </c>
      <c r="E13" s="11">
        <v>20.628</v>
      </c>
      <c r="F13" s="11">
        <v>15.37</v>
      </c>
      <c r="G13" s="11">
        <v>20.701000000000001</v>
      </c>
      <c r="H13" s="11">
        <f t="shared" si="2"/>
        <v>0.15999999999999837</v>
      </c>
      <c r="I13" s="11">
        <v>8.6999999999999994E-2</v>
      </c>
      <c r="J13" s="11">
        <v>17449137.43</v>
      </c>
      <c r="K13" s="11">
        <v>17.44913743</v>
      </c>
      <c r="L13" s="11">
        <v>223</v>
      </c>
      <c r="M13" s="11">
        <v>200.564798</v>
      </c>
      <c r="N13" s="11">
        <v>2563.2183909999999</v>
      </c>
      <c r="O13" s="12">
        <v>1953</v>
      </c>
      <c r="P13" s="12">
        <v>1945</v>
      </c>
      <c r="Q13" s="12">
        <f t="shared" si="3"/>
        <v>8</v>
      </c>
      <c r="R13" s="13">
        <f t="shared" si="0"/>
        <v>12.535299875</v>
      </c>
      <c r="S13" s="14">
        <f t="shared" si="1"/>
        <v>160.20114943749999</v>
      </c>
    </row>
    <row r="14" spans="1:19" ht="15.5" x14ac:dyDescent="0.35">
      <c r="A14" s="19" t="s">
        <v>69</v>
      </c>
      <c r="B14" s="11" t="s">
        <v>17</v>
      </c>
      <c r="C14" s="11">
        <v>6</v>
      </c>
      <c r="D14" s="11">
        <v>15.21</v>
      </c>
      <c r="E14" s="11">
        <v>20.628</v>
      </c>
      <c r="F14" s="11">
        <v>15.381</v>
      </c>
      <c r="G14" s="11">
        <v>20.698</v>
      </c>
      <c r="H14" s="11">
        <f t="shared" si="2"/>
        <v>0.17099999999999937</v>
      </c>
      <c r="I14" s="11">
        <v>0.10100000000000001</v>
      </c>
      <c r="J14" s="11">
        <v>47085696.289999999</v>
      </c>
      <c r="K14" s="11">
        <v>47.085696290000001</v>
      </c>
      <c r="L14" s="11">
        <v>285</v>
      </c>
      <c r="M14" s="11">
        <v>466.19501279999997</v>
      </c>
      <c r="N14" s="11">
        <v>2821.7821779999999</v>
      </c>
      <c r="O14" s="12">
        <v>1945</v>
      </c>
      <c r="P14" s="12">
        <v>1937</v>
      </c>
      <c r="Q14" s="12">
        <f t="shared" si="3"/>
        <v>8</v>
      </c>
      <c r="R14" s="13">
        <f t="shared" si="0"/>
        <v>29.137188299999998</v>
      </c>
      <c r="S14" s="14">
        <f t="shared" si="1"/>
        <v>176.361386125</v>
      </c>
    </row>
    <row r="15" spans="1:19" ht="15.5" x14ac:dyDescent="0.35">
      <c r="A15" s="19" t="s">
        <v>69</v>
      </c>
      <c r="B15" s="11" t="s">
        <v>18</v>
      </c>
      <c r="C15" s="11">
        <v>6.5</v>
      </c>
      <c r="D15" s="11">
        <v>15.21</v>
      </c>
      <c r="E15" s="11">
        <v>20.628</v>
      </c>
      <c r="F15" s="11">
        <v>15.478999999999999</v>
      </c>
      <c r="G15" s="11">
        <v>20.742999999999999</v>
      </c>
      <c r="H15" s="11">
        <f t="shared" si="2"/>
        <v>0.26899999999999835</v>
      </c>
      <c r="I15" s="11">
        <v>0.154</v>
      </c>
      <c r="J15" s="11">
        <v>54880381.57</v>
      </c>
      <c r="K15" s="11">
        <v>54.880381569999997</v>
      </c>
      <c r="L15" s="11">
        <v>533</v>
      </c>
      <c r="M15" s="11">
        <v>356.3661141</v>
      </c>
      <c r="N15" s="11">
        <v>3461.0389610000002</v>
      </c>
      <c r="O15" s="12">
        <v>1937</v>
      </c>
      <c r="P15" s="12">
        <v>1928</v>
      </c>
      <c r="Q15" s="12">
        <f t="shared" si="3"/>
        <v>9</v>
      </c>
      <c r="R15" s="13">
        <f t="shared" si="0"/>
        <v>19.798117449999999</v>
      </c>
      <c r="S15" s="14">
        <f t="shared" si="1"/>
        <v>192.27994227777779</v>
      </c>
    </row>
    <row r="16" spans="1:19" ht="15.5" x14ac:dyDescent="0.35">
      <c r="A16" s="19" t="s">
        <v>69</v>
      </c>
      <c r="B16" s="11" t="s">
        <v>19</v>
      </c>
      <c r="C16" s="11">
        <v>7</v>
      </c>
      <c r="D16" s="11">
        <v>15.21</v>
      </c>
      <c r="E16" s="11">
        <v>20.628</v>
      </c>
      <c r="F16" s="11">
        <v>15.484</v>
      </c>
      <c r="G16" s="11">
        <v>20.754999999999999</v>
      </c>
      <c r="H16" s="11">
        <f t="shared" si="2"/>
        <v>0.27399999999999913</v>
      </c>
      <c r="I16" s="11">
        <v>0.14699999999999999</v>
      </c>
      <c r="J16" s="11">
        <v>94010810.790000007</v>
      </c>
      <c r="K16" s="11">
        <v>94.010810789999994</v>
      </c>
      <c r="L16" s="11">
        <v>367</v>
      </c>
      <c r="M16" s="11">
        <v>639.52932510000005</v>
      </c>
      <c r="N16" s="11">
        <v>2496.5986389999998</v>
      </c>
      <c r="O16" s="12">
        <v>1928</v>
      </c>
      <c r="P16" s="12">
        <v>1920</v>
      </c>
      <c r="Q16" s="12">
        <f t="shared" si="3"/>
        <v>8</v>
      </c>
      <c r="R16" s="13">
        <f t="shared" si="0"/>
        <v>39.970582818750003</v>
      </c>
      <c r="S16" s="14">
        <f t="shared" si="1"/>
        <v>156.03741493749999</v>
      </c>
    </row>
    <row r="17" spans="1:19" ht="15.5" x14ac:dyDescent="0.35">
      <c r="A17" s="19" t="s">
        <v>69</v>
      </c>
      <c r="B17" s="11" t="s">
        <v>20</v>
      </c>
      <c r="C17" s="11">
        <v>7.5</v>
      </c>
      <c r="D17" s="11">
        <v>15.21</v>
      </c>
      <c r="E17" s="11">
        <v>20.628</v>
      </c>
      <c r="F17" s="11">
        <v>15.637</v>
      </c>
      <c r="G17" s="11">
        <v>20.847000000000001</v>
      </c>
      <c r="H17" s="11">
        <f t="shared" si="2"/>
        <v>0.4269999999999996</v>
      </c>
      <c r="I17" s="11">
        <v>0.20799999999999999</v>
      </c>
      <c r="J17" s="11">
        <v>102157572.40000001</v>
      </c>
      <c r="K17" s="11">
        <v>102.15757240000001</v>
      </c>
      <c r="L17" s="11">
        <v>741</v>
      </c>
      <c r="M17" s="11">
        <v>491.14217500000001</v>
      </c>
      <c r="N17" s="11">
        <v>3562.5</v>
      </c>
      <c r="O17" s="12">
        <v>1920</v>
      </c>
      <c r="P17" s="12">
        <v>1913</v>
      </c>
      <c r="Q17" s="12">
        <f t="shared" si="3"/>
        <v>7</v>
      </c>
      <c r="R17" s="13">
        <f t="shared" si="0"/>
        <v>35.081583928571426</v>
      </c>
      <c r="S17" s="14">
        <f t="shared" si="1"/>
        <v>254.46428571428572</v>
      </c>
    </row>
    <row r="18" spans="1:19" ht="15.5" x14ac:dyDescent="0.35">
      <c r="A18" s="19" t="s">
        <v>69</v>
      </c>
      <c r="B18" s="11" t="s">
        <v>21</v>
      </c>
      <c r="C18" s="11">
        <v>8</v>
      </c>
      <c r="D18" s="11">
        <v>15.21</v>
      </c>
      <c r="E18" s="11">
        <v>20.628</v>
      </c>
      <c r="F18" s="11">
        <v>15.481999999999999</v>
      </c>
      <c r="G18" s="11">
        <v>20.78</v>
      </c>
      <c r="H18" s="11">
        <f t="shared" si="2"/>
        <v>0.27199999999999847</v>
      </c>
      <c r="I18" s="11">
        <v>0.12</v>
      </c>
      <c r="J18" s="11">
        <v>90657439.459999993</v>
      </c>
      <c r="K18" s="11">
        <v>90.657439460000006</v>
      </c>
      <c r="L18" s="11">
        <v>443</v>
      </c>
      <c r="M18" s="11">
        <v>755.47866220000003</v>
      </c>
      <c r="N18" s="11">
        <v>3691.666667</v>
      </c>
      <c r="O18" s="12">
        <v>1913</v>
      </c>
      <c r="P18" s="12">
        <v>1906</v>
      </c>
      <c r="Q18" s="12">
        <f t="shared" si="3"/>
        <v>7</v>
      </c>
      <c r="R18" s="13">
        <f t="shared" si="0"/>
        <v>53.96276158571429</v>
      </c>
      <c r="S18" s="14">
        <f t="shared" si="1"/>
        <v>263.6904762142857</v>
      </c>
    </row>
    <row r="19" spans="1:19" ht="15.5" x14ac:dyDescent="0.35">
      <c r="A19" s="19" t="s">
        <v>69</v>
      </c>
      <c r="B19" s="11" t="s">
        <v>22</v>
      </c>
      <c r="C19" s="11">
        <v>8.5</v>
      </c>
      <c r="D19" s="11">
        <v>15.21</v>
      </c>
      <c r="E19" s="11">
        <v>20.628</v>
      </c>
      <c r="F19" s="11">
        <v>15.587999999999999</v>
      </c>
      <c r="G19" s="11">
        <v>20.838000000000001</v>
      </c>
      <c r="H19" s="11">
        <f t="shared" si="2"/>
        <v>0.37799999999999834</v>
      </c>
      <c r="I19" s="11">
        <v>0.16800000000000001</v>
      </c>
      <c r="J19" s="11">
        <v>33860531.619999997</v>
      </c>
      <c r="K19" s="11">
        <v>33.860531620000003</v>
      </c>
      <c r="L19" s="11">
        <v>193</v>
      </c>
      <c r="M19" s="11">
        <v>201.55078349999999</v>
      </c>
      <c r="N19" s="11">
        <v>1148.809524</v>
      </c>
      <c r="O19" s="12">
        <v>1906</v>
      </c>
      <c r="P19" s="12">
        <v>1900</v>
      </c>
      <c r="Q19" s="12">
        <f t="shared" si="3"/>
        <v>6</v>
      </c>
      <c r="R19" s="13">
        <f t="shared" si="0"/>
        <v>16.795898625</v>
      </c>
      <c r="S19" s="14">
        <f t="shared" si="1"/>
        <v>95.734127000000001</v>
      </c>
    </row>
    <row r="20" spans="1:19" ht="15.5" x14ac:dyDescent="0.35">
      <c r="A20" s="19" t="s">
        <v>69</v>
      </c>
      <c r="B20" s="11" t="s">
        <v>23</v>
      </c>
      <c r="C20" s="11">
        <v>9</v>
      </c>
      <c r="D20" s="11">
        <v>15.21</v>
      </c>
      <c r="E20" s="11">
        <v>20.628</v>
      </c>
      <c r="F20" s="11">
        <v>15.59</v>
      </c>
      <c r="G20" s="11">
        <v>20.832000000000001</v>
      </c>
      <c r="H20" s="11">
        <f t="shared" si="2"/>
        <v>0.37999999999999901</v>
      </c>
      <c r="I20" s="11">
        <v>0.17599999999999999</v>
      </c>
      <c r="J20" s="11">
        <v>62295427.479999997</v>
      </c>
      <c r="K20" s="11">
        <v>62.295427480000001</v>
      </c>
      <c r="L20" s="11">
        <v>424</v>
      </c>
      <c r="M20" s="11">
        <v>353.95129250000002</v>
      </c>
      <c r="N20" s="11">
        <v>2409.090909</v>
      </c>
      <c r="O20" s="12">
        <v>1900</v>
      </c>
      <c r="P20" s="12">
        <v>1893</v>
      </c>
      <c r="Q20" s="12">
        <f t="shared" si="3"/>
        <v>7</v>
      </c>
      <c r="R20" s="13">
        <f t="shared" si="0"/>
        <v>25.28223517857143</v>
      </c>
      <c r="S20" s="14">
        <f t="shared" si="1"/>
        <v>172.07792207142856</v>
      </c>
    </row>
    <row r="21" spans="1:19" ht="15.5" x14ac:dyDescent="0.35">
      <c r="A21" s="19" t="s">
        <v>69</v>
      </c>
      <c r="B21" s="11" t="s">
        <v>24</v>
      </c>
      <c r="C21" s="11">
        <v>9.5</v>
      </c>
      <c r="D21" s="11">
        <v>15.21</v>
      </c>
      <c r="E21" s="11">
        <v>20.628</v>
      </c>
      <c r="F21" s="11">
        <v>15.494</v>
      </c>
      <c r="G21" s="11">
        <v>20.776</v>
      </c>
      <c r="H21" s="11">
        <f t="shared" si="2"/>
        <v>0.28399999999999892</v>
      </c>
      <c r="I21" s="11">
        <v>0.13600000000000001</v>
      </c>
      <c r="J21" s="11">
        <v>47514965.329999998</v>
      </c>
      <c r="K21" s="11">
        <v>47.514965330000003</v>
      </c>
      <c r="L21" s="11">
        <v>542</v>
      </c>
      <c r="M21" s="11">
        <v>349.37474509999998</v>
      </c>
      <c r="N21" s="11">
        <v>3985.2941179999998</v>
      </c>
      <c r="O21" s="12">
        <v>1893</v>
      </c>
      <c r="P21" s="12">
        <v>1886</v>
      </c>
      <c r="Q21" s="12">
        <f t="shared" si="3"/>
        <v>7</v>
      </c>
      <c r="R21" s="13">
        <f t="shared" si="0"/>
        <v>24.955338935714284</v>
      </c>
      <c r="S21" s="14">
        <f t="shared" si="1"/>
        <v>284.66386557142857</v>
      </c>
    </row>
    <row r="22" spans="1:19" ht="15.5" x14ac:dyDescent="0.35">
      <c r="A22" s="19" t="s">
        <v>69</v>
      </c>
      <c r="B22" s="11" t="s">
        <v>25</v>
      </c>
      <c r="C22" s="11">
        <v>10</v>
      </c>
      <c r="D22" s="11">
        <v>15.21</v>
      </c>
      <c r="E22" s="11">
        <v>20.628</v>
      </c>
      <c r="F22" s="11">
        <v>15.585000000000001</v>
      </c>
      <c r="G22" s="11">
        <v>20.824999999999999</v>
      </c>
      <c r="H22" s="11">
        <f t="shared" si="2"/>
        <v>0.375</v>
      </c>
      <c r="I22" s="11">
        <v>0.17799999999999999</v>
      </c>
      <c r="J22" s="11">
        <v>69642575.959999993</v>
      </c>
      <c r="K22" s="11">
        <v>69.642575960000002</v>
      </c>
      <c r="L22" s="11">
        <v>510</v>
      </c>
      <c r="M22" s="11">
        <v>391.25042669999999</v>
      </c>
      <c r="N22" s="11">
        <v>2865.1685389999998</v>
      </c>
      <c r="O22" s="12">
        <v>1886</v>
      </c>
      <c r="P22" s="12">
        <v>1878</v>
      </c>
      <c r="Q22" s="12">
        <f t="shared" si="3"/>
        <v>8</v>
      </c>
      <c r="R22" s="13">
        <f t="shared" si="0"/>
        <v>24.453151668749999</v>
      </c>
      <c r="S22" s="14">
        <f t="shared" si="1"/>
        <v>179.07303368749999</v>
      </c>
    </row>
    <row r="23" spans="1:19" ht="15.5" x14ac:dyDescent="0.35">
      <c r="A23" s="19" t="s">
        <v>69</v>
      </c>
      <c r="B23" s="11" t="s">
        <v>26</v>
      </c>
      <c r="C23" s="11">
        <v>10.5</v>
      </c>
      <c r="D23" s="11">
        <v>15.21</v>
      </c>
      <c r="E23" s="11">
        <v>20.628</v>
      </c>
      <c r="F23" s="11">
        <v>15.585000000000001</v>
      </c>
      <c r="G23" s="11">
        <v>20.84</v>
      </c>
      <c r="H23" s="11">
        <f t="shared" si="2"/>
        <v>0.375</v>
      </c>
      <c r="I23" s="11">
        <v>0.16300000000000001</v>
      </c>
      <c r="J23" s="11">
        <v>62724480.149999999</v>
      </c>
      <c r="K23" s="11">
        <v>62.724480149999998</v>
      </c>
      <c r="L23" s="11">
        <v>358</v>
      </c>
      <c r="M23" s="11">
        <v>384.81276170000001</v>
      </c>
      <c r="N23" s="11">
        <v>2196.3190180000001</v>
      </c>
      <c r="O23" s="12">
        <v>1878</v>
      </c>
      <c r="P23" s="12">
        <v>1870</v>
      </c>
      <c r="Q23" s="12">
        <f t="shared" si="3"/>
        <v>8</v>
      </c>
      <c r="R23" s="13">
        <f t="shared" si="0"/>
        <v>24.050797606250001</v>
      </c>
      <c r="S23" s="14">
        <f t="shared" si="1"/>
        <v>137.26993862500001</v>
      </c>
    </row>
    <row r="24" spans="1:19" ht="15.5" x14ac:dyDescent="0.35">
      <c r="A24" s="19" t="s">
        <v>69</v>
      </c>
      <c r="B24" s="11" t="s">
        <v>27</v>
      </c>
      <c r="C24" s="11">
        <v>11</v>
      </c>
      <c r="D24" s="11">
        <v>15.21</v>
      </c>
      <c r="E24" s="11">
        <v>20.628</v>
      </c>
      <c r="F24" s="11">
        <v>15.582000000000001</v>
      </c>
      <c r="G24" s="11">
        <v>20.846</v>
      </c>
      <c r="H24" s="11">
        <f t="shared" si="2"/>
        <v>0.37199999999999989</v>
      </c>
      <c r="I24" s="11">
        <v>0.154</v>
      </c>
      <c r="J24" s="11">
        <v>20744066.359999999</v>
      </c>
      <c r="K24" s="11">
        <v>20.744066360000001</v>
      </c>
      <c r="L24" s="11">
        <v>216</v>
      </c>
      <c r="M24" s="11">
        <v>134.70172959999999</v>
      </c>
      <c r="N24" s="11">
        <v>1402.597403</v>
      </c>
      <c r="O24" s="12">
        <v>1870</v>
      </c>
      <c r="P24" s="12">
        <v>1862</v>
      </c>
      <c r="Q24" s="12">
        <f t="shared" si="3"/>
        <v>8</v>
      </c>
      <c r="R24" s="13">
        <f t="shared" si="0"/>
        <v>8.4188580999999996</v>
      </c>
      <c r="S24" s="14">
        <f t="shared" si="1"/>
        <v>87.662337687499999</v>
      </c>
    </row>
    <row r="25" spans="1:19" ht="15.5" x14ac:dyDescent="0.35">
      <c r="A25" s="19" t="s">
        <v>69</v>
      </c>
      <c r="B25" s="11" t="s">
        <v>28</v>
      </c>
      <c r="C25" s="11">
        <v>11.5</v>
      </c>
      <c r="D25" s="11">
        <v>15.21</v>
      </c>
      <c r="E25" s="11">
        <v>20.628</v>
      </c>
      <c r="F25" s="11">
        <v>15.680999999999999</v>
      </c>
      <c r="G25" s="11">
        <v>20.896000000000001</v>
      </c>
      <c r="H25" s="11">
        <f t="shared" si="2"/>
        <v>0.47099999999999831</v>
      </c>
      <c r="I25" s="11">
        <v>0.20300000000000001</v>
      </c>
      <c r="J25" s="11">
        <v>25068691.27</v>
      </c>
      <c r="K25" s="11">
        <v>25.068691269999999</v>
      </c>
      <c r="L25" s="11">
        <v>298</v>
      </c>
      <c r="M25" s="11">
        <v>123.49109</v>
      </c>
      <c r="N25" s="11">
        <v>1467.980296</v>
      </c>
      <c r="O25" s="12">
        <v>1862</v>
      </c>
      <c r="P25" s="12">
        <v>1854</v>
      </c>
      <c r="Q25" s="12">
        <f t="shared" si="3"/>
        <v>8</v>
      </c>
      <c r="R25" s="13">
        <f t="shared" si="0"/>
        <v>7.718193125</v>
      </c>
      <c r="S25" s="14">
        <f t="shared" si="1"/>
        <v>91.748768499999997</v>
      </c>
    </row>
    <row r="26" spans="1:19" ht="15.5" x14ac:dyDescent="0.35">
      <c r="A26" s="19" t="s">
        <v>70</v>
      </c>
      <c r="B26" s="11" t="s">
        <v>5</v>
      </c>
      <c r="C26" s="11">
        <v>0</v>
      </c>
      <c r="D26" s="11">
        <v>15.21</v>
      </c>
      <c r="E26" s="11">
        <v>20.638000000000002</v>
      </c>
      <c r="F26" s="11">
        <v>15.298</v>
      </c>
      <c r="G26" s="11">
        <v>20.611000000000001</v>
      </c>
      <c r="H26" s="12">
        <f>F26-D26</f>
        <v>8.799999999999919E-2</v>
      </c>
      <c r="I26" s="11">
        <v>0.115</v>
      </c>
      <c r="J26" s="11">
        <v>31778846.199999999</v>
      </c>
      <c r="K26" s="11">
        <v>31.7788462</v>
      </c>
      <c r="L26" s="11">
        <v>345</v>
      </c>
      <c r="M26" s="11">
        <v>276.33779299999998</v>
      </c>
      <c r="N26" s="11">
        <v>3000</v>
      </c>
      <c r="O26" s="12">
        <v>2021</v>
      </c>
      <c r="P26" s="12">
        <v>2020</v>
      </c>
      <c r="Q26" s="12">
        <f>O26-P26</f>
        <v>1</v>
      </c>
      <c r="R26" s="12">
        <f t="shared" si="0"/>
        <v>138.16889649999999</v>
      </c>
      <c r="S26" s="12">
        <f t="shared" si="1"/>
        <v>1500</v>
      </c>
    </row>
    <row r="27" spans="1:19" ht="15.5" x14ac:dyDescent="0.35">
      <c r="A27" s="19" t="s">
        <v>70</v>
      </c>
      <c r="B27" s="11" t="s">
        <v>6</v>
      </c>
      <c r="C27" s="11">
        <v>0.5</v>
      </c>
      <c r="D27" s="11">
        <v>15.21</v>
      </c>
      <c r="E27" s="11">
        <v>20.638000000000002</v>
      </c>
      <c r="F27" s="11">
        <v>15.384</v>
      </c>
      <c r="G27" s="11">
        <v>20.559000000000001</v>
      </c>
      <c r="H27" s="12">
        <f t="shared" ref="H27:H49" si="4">F27-D27</f>
        <v>0.17399999999999949</v>
      </c>
      <c r="I27" s="11">
        <v>0.253</v>
      </c>
      <c r="J27" s="11">
        <v>57819431</v>
      </c>
      <c r="K27" s="11">
        <v>57.819431000000002</v>
      </c>
      <c r="L27" s="11">
        <v>1525</v>
      </c>
      <c r="M27" s="11">
        <v>228.53530040000001</v>
      </c>
      <c r="N27" s="11">
        <v>6027.6679839999997</v>
      </c>
      <c r="O27" s="12">
        <v>2020</v>
      </c>
      <c r="P27" s="12">
        <v>2019</v>
      </c>
      <c r="Q27" s="12">
        <f t="shared" ref="Q27:Q49" si="5">O27-P27</f>
        <v>1</v>
      </c>
      <c r="R27" s="12">
        <f t="shared" si="0"/>
        <v>114.26765020000001</v>
      </c>
      <c r="S27" s="12">
        <f t="shared" si="1"/>
        <v>3013.8339919999999</v>
      </c>
    </row>
    <row r="28" spans="1:19" ht="15.5" x14ac:dyDescent="0.35">
      <c r="A28" s="19" t="s">
        <v>70</v>
      </c>
      <c r="B28" s="11" t="s">
        <v>7</v>
      </c>
      <c r="C28" s="11">
        <v>1</v>
      </c>
      <c r="D28" s="11">
        <v>15.21</v>
      </c>
      <c r="E28" s="11">
        <v>20.638000000000002</v>
      </c>
      <c r="F28" s="11">
        <v>15.337999999999999</v>
      </c>
      <c r="G28" s="11">
        <v>20.588000000000001</v>
      </c>
      <c r="H28" s="12">
        <f t="shared" si="4"/>
        <v>0.12799999999999834</v>
      </c>
      <c r="I28" s="11">
        <v>0.17799999999999999</v>
      </c>
      <c r="J28" s="11">
        <v>40056285.200000003</v>
      </c>
      <c r="K28" s="11">
        <v>40.056285199999998</v>
      </c>
      <c r="L28" s="11">
        <v>147</v>
      </c>
      <c r="M28" s="11">
        <v>225.0353101</v>
      </c>
      <c r="N28" s="11">
        <v>825.84269659999995</v>
      </c>
      <c r="O28" s="12">
        <v>2019</v>
      </c>
      <c r="P28" s="12">
        <v>2019</v>
      </c>
      <c r="Q28" s="12">
        <f t="shared" si="5"/>
        <v>0</v>
      </c>
      <c r="R28" s="12">
        <v>0</v>
      </c>
      <c r="S28" s="12">
        <v>0</v>
      </c>
    </row>
    <row r="29" spans="1:19" ht="15.5" x14ac:dyDescent="0.35">
      <c r="A29" s="19" t="s">
        <v>70</v>
      </c>
      <c r="B29" s="11" t="s">
        <v>8</v>
      </c>
      <c r="C29" s="11">
        <v>1.5</v>
      </c>
      <c r="D29" s="11">
        <v>15.21</v>
      </c>
      <c r="E29" s="11">
        <v>20.638000000000002</v>
      </c>
      <c r="F29" s="11">
        <v>15.401</v>
      </c>
      <c r="G29" s="11">
        <v>20.463000000000001</v>
      </c>
      <c r="H29" s="12">
        <f t="shared" si="4"/>
        <v>0.19099999999999895</v>
      </c>
      <c r="I29" s="11">
        <v>0.36599999999999999</v>
      </c>
      <c r="J29" s="11">
        <v>98076832.900000006</v>
      </c>
      <c r="K29" s="11">
        <v>98.076832899999999</v>
      </c>
      <c r="L29" s="11">
        <v>618</v>
      </c>
      <c r="M29" s="11">
        <v>267.96948880000002</v>
      </c>
      <c r="N29" s="11">
        <v>1688.52459</v>
      </c>
      <c r="O29" s="12">
        <v>2019</v>
      </c>
      <c r="P29" s="12">
        <v>2018</v>
      </c>
      <c r="Q29" s="12">
        <f t="shared" si="5"/>
        <v>1</v>
      </c>
      <c r="R29" s="12">
        <f>(M29/Q29)*0.5</f>
        <v>133.98474440000001</v>
      </c>
      <c r="S29" s="12">
        <f>(N29/Q29)*0.5</f>
        <v>844.26229499999999</v>
      </c>
    </row>
    <row r="30" spans="1:19" ht="15.5" x14ac:dyDescent="0.35">
      <c r="A30" s="19" t="s">
        <v>70</v>
      </c>
      <c r="B30" s="11" t="s">
        <v>9</v>
      </c>
      <c r="C30" s="11">
        <v>2</v>
      </c>
      <c r="D30" s="11">
        <v>15.209</v>
      </c>
      <c r="E30" s="11">
        <v>20.637</v>
      </c>
      <c r="F30" s="11">
        <v>15.305</v>
      </c>
      <c r="G30" s="11">
        <v>20.579000000000001</v>
      </c>
      <c r="H30" s="12">
        <f t="shared" si="4"/>
        <v>9.6000000000000085E-2</v>
      </c>
      <c r="I30" s="11">
        <v>0.154</v>
      </c>
      <c r="J30" s="11">
        <v>308979571</v>
      </c>
      <c r="K30" s="11">
        <v>308.97957100000002</v>
      </c>
      <c r="L30" s="11">
        <v>1475</v>
      </c>
      <c r="M30" s="11">
        <v>2006.3608509999999</v>
      </c>
      <c r="N30" s="11">
        <v>9577.9220779999996</v>
      </c>
      <c r="O30" s="12">
        <v>2018</v>
      </c>
      <c r="P30" s="12">
        <v>2018</v>
      </c>
      <c r="Q30" s="12">
        <f t="shared" si="5"/>
        <v>0</v>
      </c>
      <c r="R30" s="12">
        <v>0</v>
      </c>
      <c r="S30" s="12">
        <v>0</v>
      </c>
    </row>
    <row r="31" spans="1:19" ht="15.5" x14ac:dyDescent="0.35">
      <c r="A31" s="19" t="s">
        <v>70</v>
      </c>
      <c r="B31" s="11" t="s">
        <v>10</v>
      </c>
      <c r="C31" s="11">
        <v>2.5</v>
      </c>
      <c r="D31" s="11">
        <v>15.21</v>
      </c>
      <c r="E31" s="11">
        <v>20.638000000000002</v>
      </c>
      <c r="F31" s="11">
        <v>15.37</v>
      </c>
      <c r="G31" s="11">
        <v>20.481000000000002</v>
      </c>
      <c r="H31" s="12">
        <f t="shared" si="4"/>
        <v>0.15999999999999837</v>
      </c>
      <c r="I31" s="11">
        <v>0.317</v>
      </c>
      <c r="J31" s="11">
        <v>442777971</v>
      </c>
      <c r="K31" s="11">
        <v>442.77797099999998</v>
      </c>
      <c r="L31" s="11">
        <v>1865</v>
      </c>
      <c r="M31" s="11">
        <v>1396.775934</v>
      </c>
      <c r="N31" s="11">
        <v>5883.2807570000004</v>
      </c>
      <c r="O31" s="12">
        <v>2018</v>
      </c>
      <c r="P31" s="12">
        <v>2008</v>
      </c>
      <c r="Q31" s="12">
        <f t="shared" si="5"/>
        <v>10</v>
      </c>
      <c r="R31" s="12">
        <f t="shared" ref="R31:R49" si="6">(M31/Q31)*0.5</f>
        <v>69.838796700000003</v>
      </c>
      <c r="S31" s="12">
        <f t="shared" ref="S31:S49" si="7">(N31/Q31)*0.5</f>
        <v>294.16403785</v>
      </c>
    </row>
    <row r="32" spans="1:19" ht="15.5" x14ac:dyDescent="0.35">
      <c r="A32" s="19" t="s">
        <v>70</v>
      </c>
      <c r="B32" s="11" t="s">
        <v>11</v>
      </c>
      <c r="C32" s="11">
        <v>3</v>
      </c>
      <c r="D32" s="11">
        <v>15.209</v>
      </c>
      <c r="E32" s="11">
        <v>20.637</v>
      </c>
      <c r="F32" s="11">
        <v>15.420999999999999</v>
      </c>
      <c r="G32" s="11">
        <v>20.366</v>
      </c>
      <c r="H32" s="12">
        <f t="shared" si="4"/>
        <v>0.21199999999999974</v>
      </c>
      <c r="I32" s="11">
        <v>0.48299999999999998</v>
      </c>
      <c r="J32" s="11">
        <v>249457083</v>
      </c>
      <c r="K32" s="11">
        <v>249.45708300000001</v>
      </c>
      <c r="L32" s="11">
        <v>970</v>
      </c>
      <c r="M32" s="11">
        <v>516.47429190000003</v>
      </c>
      <c r="N32" s="11">
        <v>2008.281573</v>
      </c>
      <c r="O32" s="12">
        <v>2008</v>
      </c>
      <c r="P32" s="12">
        <v>1998</v>
      </c>
      <c r="Q32" s="12">
        <f t="shared" si="5"/>
        <v>10</v>
      </c>
      <c r="R32" s="12">
        <f t="shared" si="6"/>
        <v>25.823714595000002</v>
      </c>
      <c r="S32" s="12">
        <f t="shared" si="7"/>
        <v>100.41407864999999</v>
      </c>
    </row>
    <row r="33" spans="1:19" ht="15.5" x14ac:dyDescent="0.35">
      <c r="A33" s="19" t="s">
        <v>70</v>
      </c>
      <c r="B33" s="11" t="s">
        <v>12</v>
      </c>
      <c r="C33" s="11">
        <v>3.5</v>
      </c>
      <c r="D33" s="11">
        <v>15.21</v>
      </c>
      <c r="E33" s="11">
        <v>20.638000000000002</v>
      </c>
      <c r="F33" s="11">
        <v>15.318</v>
      </c>
      <c r="G33" s="11">
        <v>20.484000000000002</v>
      </c>
      <c r="H33" s="12">
        <f t="shared" si="4"/>
        <v>0.10799999999999876</v>
      </c>
      <c r="I33" s="11">
        <v>0.26200000000000001</v>
      </c>
      <c r="J33" s="11">
        <v>211638133</v>
      </c>
      <c r="K33" s="11">
        <v>211.63813300000001</v>
      </c>
      <c r="L33" s="11">
        <v>619</v>
      </c>
      <c r="M33" s="11">
        <v>807.77913360000002</v>
      </c>
      <c r="N33" s="11">
        <v>2362.5954200000001</v>
      </c>
      <c r="O33" s="12">
        <v>1998</v>
      </c>
      <c r="P33" s="12">
        <v>1989</v>
      </c>
      <c r="Q33" s="12">
        <f t="shared" si="5"/>
        <v>9</v>
      </c>
      <c r="R33" s="12">
        <f t="shared" si="6"/>
        <v>44.876618533333335</v>
      </c>
      <c r="S33" s="12">
        <f t="shared" si="7"/>
        <v>131.25530111111112</v>
      </c>
    </row>
    <row r="34" spans="1:19" ht="15.5" x14ac:dyDescent="0.35">
      <c r="A34" s="19" t="s">
        <v>70</v>
      </c>
      <c r="B34" s="11" t="s">
        <v>13</v>
      </c>
      <c r="C34" s="11">
        <v>4</v>
      </c>
      <c r="D34" s="11">
        <v>15.21</v>
      </c>
      <c r="E34" s="11">
        <v>20.638000000000002</v>
      </c>
      <c r="F34" s="11">
        <v>15.324999999999999</v>
      </c>
      <c r="G34" s="11">
        <v>20.603999999999999</v>
      </c>
      <c r="H34" s="12">
        <f t="shared" si="4"/>
        <v>0.11499999999999844</v>
      </c>
      <c r="I34" s="11">
        <v>0.14899999999999999</v>
      </c>
      <c r="J34" s="11">
        <v>180783510</v>
      </c>
      <c r="K34" s="11">
        <v>180.78351000000001</v>
      </c>
      <c r="L34" s="11">
        <v>758</v>
      </c>
      <c r="M34" s="11">
        <v>1213.312148</v>
      </c>
      <c r="N34" s="11">
        <v>5087.2483220000004</v>
      </c>
      <c r="O34" s="12">
        <v>1989</v>
      </c>
      <c r="P34" s="12">
        <v>1979</v>
      </c>
      <c r="Q34" s="12">
        <f t="shared" si="5"/>
        <v>10</v>
      </c>
      <c r="R34" s="12">
        <f t="shared" si="6"/>
        <v>60.665607399999999</v>
      </c>
      <c r="S34" s="12">
        <f t="shared" si="7"/>
        <v>254.36241610000002</v>
      </c>
    </row>
    <row r="35" spans="1:19" ht="15.5" x14ac:dyDescent="0.35">
      <c r="A35" s="19" t="s">
        <v>70</v>
      </c>
      <c r="B35" s="11" t="s">
        <v>14</v>
      </c>
      <c r="C35" s="11">
        <v>4.5</v>
      </c>
      <c r="D35" s="11">
        <v>15.21</v>
      </c>
      <c r="E35" s="11">
        <v>20.641999999999999</v>
      </c>
      <c r="F35" s="11">
        <v>15.368</v>
      </c>
      <c r="G35" s="11">
        <v>20.475000000000001</v>
      </c>
      <c r="H35" s="12">
        <f t="shared" si="4"/>
        <v>0.15799999999999947</v>
      </c>
      <c r="I35" s="11">
        <v>0.32500000000000001</v>
      </c>
      <c r="J35" s="11">
        <v>37978172</v>
      </c>
      <c r="K35" s="11">
        <v>37.978172000000001</v>
      </c>
      <c r="L35" s="11">
        <v>507</v>
      </c>
      <c r="M35" s="11">
        <v>116.8559138</v>
      </c>
      <c r="N35" s="11">
        <v>1560</v>
      </c>
      <c r="O35" s="12">
        <v>1979</v>
      </c>
      <c r="P35" s="12">
        <v>1970</v>
      </c>
      <c r="Q35" s="12">
        <f t="shared" si="5"/>
        <v>9</v>
      </c>
      <c r="R35" s="12">
        <f t="shared" si="6"/>
        <v>6.491995211111111</v>
      </c>
      <c r="S35" s="12">
        <f t="shared" si="7"/>
        <v>86.666666666666671</v>
      </c>
    </row>
    <row r="36" spans="1:19" ht="15.5" x14ac:dyDescent="0.35">
      <c r="A36" s="19" t="s">
        <v>70</v>
      </c>
      <c r="B36" s="11" t="s">
        <v>15</v>
      </c>
      <c r="C36" s="11">
        <v>5</v>
      </c>
      <c r="D36" s="11">
        <v>15.21</v>
      </c>
      <c r="E36" s="11">
        <v>20.638000000000002</v>
      </c>
      <c r="F36" s="11">
        <v>15.413</v>
      </c>
      <c r="G36" s="11">
        <v>20.553999999999998</v>
      </c>
      <c r="H36" s="12">
        <f t="shared" si="4"/>
        <v>0.2029999999999994</v>
      </c>
      <c r="I36" s="11">
        <v>0.28699999999999998</v>
      </c>
      <c r="J36" s="11">
        <v>24080466.300000001</v>
      </c>
      <c r="K36" s="11">
        <v>24.080466300000001</v>
      </c>
      <c r="L36" s="11">
        <v>275</v>
      </c>
      <c r="M36" s="11">
        <v>83.90406376</v>
      </c>
      <c r="N36" s="11">
        <v>958.18815329999995</v>
      </c>
      <c r="O36" s="12">
        <v>1970</v>
      </c>
      <c r="P36" s="12">
        <v>1960</v>
      </c>
      <c r="Q36" s="12">
        <f t="shared" si="5"/>
        <v>10</v>
      </c>
      <c r="R36" s="12">
        <f t="shared" si="6"/>
        <v>4.1952031879999998</v>
      </c>
      <c r="S36" s="12">
        <f t="shared" si="7"/>
        <v>47.909407664999996</v>
      </c>
    </row>
    <row r="37" spans="1:19" ht="15.5" x14ac:dyDescent="0.35">
      <c r="A37" s="19" t="s">
        <v>70</v>
      </c>
      <c r="B37" s="11" t="s">
        <v>16</v>
      </c>
      <c r="C37" s="11">
        <v>5.5</v>
      </c>
      <c r="D37" s="11">
        <v>15.21</v>
      </c>
      <c r="E37" s="11">
        <v>20.638000000000002</v>
      </c>
      <c r="F37" s="11">
        <v>15.475</v>
      </c>
      <c r="G37" s="11">
        <v>20.72</v>
      </c>
      <c r="H37" s="12">
        <f t="shared" si="4"/>
        <v>0.26499999999999879</v>
      </c>
      <c r="I37" s="11">
        <v>0.183</v>
      </c>
      <c r="J37" s="11">
        <v>98816864.700000003</v>
      </c>
      <c r="K37" s="11">
        <v>98.816864699999996</v>
      </c>
      <c r="L37" s="11">
        <v>822</v>
      </c>
      <c r="M37" s="11">
        <v>539.98286719999999</v>
      </c>
      <c r="N37" s="11">
        <v>4491.8032789999997</v>
      </c>
      <c r="O37" s="12">
        <v>1960</v>
      </c>
      <c r="P37" s="12">
        <v>1952</v>
      </c>
      <c r="Q37" s="12">
        <f t="shared" si="5"/>
        <v>8</v>
      </c>
      <c r="R37" s="12">
        <f t="shared" si="6"/>
        <v>33.748929199999999</v>
      </c>
      <c r="S37" s="12">
        <f t="shared" si="7"/>
        <v>280.73770493749998</v>
      </c>
    </row>
    <row r="38" spans="1:19" ht="15.5" x14ac:dyDescent="0.35">
      <c r="A38" s="19" t="s">
        <v>70</v>
      </c>
      <c r="B38" s="11" t="s">
        <v>17</v>
      </c>
      <c r="C38" s="11">
        <v>6</v>
      </c>
      <c r="D38" s="11">
        <v>15.209</v>
      </c>
      <c r="E38" s="11">
        <v>20.640999999999998</v>
      </c>
      <c r="F38" s="11">
        <v>15.43</v>
      </c>
      <c r="G38" s="11">
        <v>20.61</v>
      </c>
      <c r="H38" s="12">
        <f t="shared" si="4"/>
        <v>0.22100000000000009</v>
      </c>
      <c r="I38" s="11">
        <v>0.252</v>
      </c>
      <c r="J38" s="11">
        <v>51064686.899999999</v>
      </c>
      <c r="K38" s="11">
        <v>51.064686899999998</v>
      </c>
      <c r="L38" s="11">
        <v>294</v>
      </c>
      <c r="M38" s="11">
        <v>202.63764639999999</v>
      </c>
      <c r="N38" s="11">
        <v>1166.666667</v>
      </c>
      <c r="O38" s="12">
        <v>1952</v>
      </c>
      <c r="P38" s="12">
        <v>1946</v>
      </c>
      <c r="Q38" s="12">
        <f t="shared" si="5"/>
        <v>6</v>
      </c>
      <c r="R38" s="12">
        <f t="shared" si="6"/>
        <v>16.886470533333334</v>
      </c>
      <c r="S38" s="12">
        <f t="shared" si="7"/>
        <v>97.222222250000002</v>
      </c>
    </row>
    <row r="39" spans="1:19" ht="15.5" x14ac:dyDescent="0.35">
      <c r="A39" s="19" t="s">
        <v>70</v>
      </c>
      <c r="B39" s="11" t="s">
        <v>18</v>
      </c>
      <c r="C39" s="11">
        <v>6.5</v>
      </c>
      <c r="D39" s="11">
        <v>15.21</v>
      </c>
      <c r="E39" s="11">
        <v>20.641999999999999</v>
      </c>
      <c r="F39" s="11">
        <v>15.367000000000001</v>
      </c>
      <c r="G39" s="11">
        <v>20.582000000000001</v>
      </c>
      <c r="H39" s="12">
        <f t="shared" si="4"/>
        <v>0.15700000000000003</v>
      </c>
      <c r="I39" s="11">
        <v>0.217</v>
      </c>
      <c r="J39" s="11">
        <v>2266468.5</v>
      </c>
      <c r="K39" s="11">
        <v>2.2664685000000002</v>
      </c>
      <c r="L39" s="11">
        <v>321</v>
      </c>
      <c r="M39" s="11">
        <v>10.444555299999999</v>
      </c>
      <c r="N39" s="11">
        <v>1479.2626729999999</v>
      </c>
      <c r="O39" s="12">
        <v>1946</v>
      </c>
      <c r="P39" s="12">
        <v>1940</v>
      </c>
      <c r="Q39" s="12">
        <f t="shared" si="5"/>
        <v>6</v>
      </c>
      <c r="R39" s="12">
        <f t="shared" si="6"/>
        <v>0.87037960833333328</v>
      </c>
      <c r="S39" s="12">
        <f t="shared" si="7"/>
        <v>123.27188941666667</v>
      </c>
    </row>
    <row r="40" spans="1:19" ht="15.5" x14ac:dyDescent="0.35">
      <c r="A40" s="19" t="s">
        <v>70</v>
      </c>
      <c r="B40" s="11" t="s">
        <v>19</v>
      </c>
      <c r="C40" s="11">
        <v>7</v>
      </c>
      <c r="D40" s="11">
        <v>15.21</v>
      </c>
      <c r="E40" s="11">
        <v>20.638000000000002</v>
      </c>
      <c r="F40" s="11">
        <v>15.545999999999999</v>
      </c>
      <c r="G40" s="11">
        <v>20.817</v>
      </c>
      <c r="H40" s="12">
        <f t="shared" si="4"/>
        <v>0.33599999999999852</v>
      </c>
      <c r="I40" s="11">
        <v>0.157</v>
      </c>
      <c r="J40" s="11">
        <v>26143111.600000001</v>
      </c>
      <c r="K40" s="11">
        <v>26.143111600000001</v>
      </c>
      <c r="L40" s="11">
        <v>413</v>
      </c>
      <c r="M40" s="11">
        <v>166.51663439999999</v>
      </c>
      <c r="N40" s="11">
        <v>2630.5732480000001</v>
      </c>
      <c r="O40" s="12">
        <v>1940</v>
      </c>
      <c r="P40" s="12">
        <v>1934</v>
      </c>
      <c r="Q40" s="12">
        <f t="shared" si="5"/>
        <v>6</v>
      </c>
      <c r="R40" s="12">
        <f t="shared" si="6"/>
        <v>13.876386199999999</v>
      </c>
      <c r="S40" s="12">
        <f t="shared" si="7"/>
        <v>219.21443733333334</v>
      </c>
    </row>
    <row r="41" spans="1:19" ht="15.5" x14ac:dyDescent="0.35">
      <c r="A41" s="19" t="s">
        <v>70</v>
      </c>
      <c r="B41" s="11" t="s">
        <v>20</v>
      </c>
      <c r="C41" s="11">
        <v>7.5</v>
      </c>
      <c r="D41" s="11">
        <v>15.21</v>
      </c>
      <c r="E41" s="11">
        <v>20.638000000000002</v>
      </c>
      <c r="F41" s="11">
        <v>15.689</v>
      </c>
      <c r="G41" s="11">
        <v>20.856999999999999</v>
      </c>
      <c r="H41" s="12">
        <f t="shared" si="4"/>
        <v>0.4789999999999992</v>
      </c>
      <c r="I41" s="11">
        <v>0.26</v>
      </c>
      <c r="J41" s="11">
        <v>8574498.5800000001</v>
      </c>
      <c r="K41" s="11">
        <v>8.5744985800000002</v>
      </c>
      <c r="L41" s="11">
        <v>115</v>
      </c>
      <c r="M41" s="11">
        <v>32.978840689999998</v>
      </c>
      <c r="N41" s="11">
        <v>442.30769229999999</v>
      </c>
      <c r="O41" s="12">
        <v>1934</v>
      </c>
      <c r="P41" s="12">
        <v>1928</v>
      </c>
      <c r="Q41" s="12">
        <f t="shared" si="5"/>
        <v>6</v>
      </c>
      <c r="R41" s="12">
        <f t="shared" si="6"/>
        <v>2.7482367241666665</v>
      </c>
      <c r="S41" s="12">
        <f t="shared" si="7"/>
        <v>36.858974358333334</v>
      </c>
    </row>
    <row r="42" spans="1:19" ht="15.5" x14ac:dyDescent="0.35">
      <c r="A42" s="19" t="s">
        <v>70</v>
      </c>
      <c r="B42" s="11" t="s">
        <v>21</v>
      </c>
      <c r="C42" s="11">
        <v>8</v>
      </c>
      <c r="D42" s="11">
        <v>15.21</v>
      </c>
      <c r="E42" s="11">
        <v>20.638000000000002</v>
      </c>
      <c r="F42" s="11">
        <v>15.643000000000001</v>
      </c>
      <c r="G42" s="11">
        <v>20.757999999999999</v>
      </c>
      <c r="H42" s="12">
        <f t="shared" si="4"/>
        <v>0.43299999999999983</v>
      </c>
      <c r="I42" s="11">
        <v>0.313</v>
      </c>
      <c r="J42" s="11">
        <v>21978120.5</v>
      </c>
      <c r="K42" s="11">
        <v>21.978120499999999</v>
      </c>
      <c r="L42" s="11">
        <v>293</v>
      </c>
      <c r="M42" s="11">
        <v>70.217637379999999</v>
      </c>
      <c r="N42" s="11">
        <v>936.10223640000004</v>
      </c>
      <c r="O42" s="12">
        <v>1928</v>
      </c>
      <c r="P42" s="12">
        <v>1921</v>
      </c>
      <c r="Q42" s="12">
        <f t="shared" si="5"/>
        <v>7</v>
      </c>
      <c r="R42" s="12">
        <f t="shared" si="6"/>
        <v>5.0155455271428568</v>
      </c>
      <c r="S42" s="12">
        <f t="shared" si="7"/>
        <v>66.864445457142864</v>
      </c>
    </row>
    <row r="43" spans="1:19" ht="15.5" x14ac:dyDescent="0.35">
      <c r="A43" s="19" t="s">
        <v>70</v>
      </c>
      <c r="B43" s="11" t="s">
        <v>22</v>
      </c>
      <c r="C43" s="11">
        <v>8.5</v>
      </c>
      <c r="D43" s="11">
        <v>15.21</v>
      </c>
      <c r="E43" s="11">
        <v>20.638000000000002</v>
      </c>
      <c r="F43" s="11">
        <v>15.843999999999999</v>
      </c>
      <c r="G43" s="11">
        <v>20.992999999999999</v>
      </c>
      <c r="H43" s="12">
        <f t="shared" si="4"/>
        <v>0.63399999999999856</v>
      </c>
      <c r="I43" s="11">
        <v>0.27900000000000003</v>
      </c>
      <c r="J43" s="11">
        <v>151011147</v>
      </c>
      <c r="K43" s="11">
        <v>151.01114699999999</v>
      </c>
      <c r="L43" s="11">
        <v>229</v>
      </c>
      <c r="M43" s="11">
        <v>541.2585914</v>
      </c>
      <c r="N43" s="11">
        <v>820.78853049999998</v>
      </c>
      <c r="O43" s="12">
        <v>1921</v>
      </c>
      <c r="P43" s="12">
        <v>1915</v>
      </c>
      <c r="Q43" s="12">
        <f t="shared" si="5"/>
        <v>6</v>
      </c>
      <c r="R43" s="12">
        <f t="shared" si="6"/>
        <v>45.104882616666664</v>
      </c>
      <c r="S43" s="12">
        <f t="shared" si="7"/>
        <v>68.399044208333336</v>
      </c>
    </row>
    <row r="44" spans="1:19" ht="15.5" x14ac:dyDescent="0.35">
      <c r="A44" s="19" t="s">
        <v>70</v>
      </c>
      <c r="B44" s="11" t="s">
        <v>23</v>
      </c>
      <c r="C44" s="11">
        <v>9</v>
      </c>
      <c r="D44" s="11">
        <v>15.21</v>
      </c>
      <c r="E44" s="11">
        <v>20.638000000000002</v>
      </c>
      <c r="F44" s="11">
        <v>15.333</v>
      </c>
      <c r="G44" s="11">
        <v>20.539000000000001</v>
      </c>
      <c r="H44" s="12">
        <f t="shared" si="4"/>
        <v>0.12299999999999933</v>
      </c>
      <c r="I44" s="11">
        <v>0.222</v>
      </c>
      <c r="J44" s="11">
        <v>155350379</v>
      </c>
      <c r="K44" s="11">
        <v>155.350379</v>
      </c>
      <c r="L44" s="11">
        <v>1279</v>
      </c>
      <c r="M44" s="11">
        <v>699.77648199999999</v>
      </c>
      <c r="N44" s="11">
        <v>5761.2612609999996</v>
      </c>
      <c r="O44" s="12">
        <v>1915</v>
      </c>
      <c r="P44" s="12">
        <v>1909</v>
      </c>
      <c r="Q44" s="12">
        <f t="shared" si="5"/>
        <v>6</v>
      </c>
      <c r="R44" s="12">
        <f t="shared" si="6"/>
        <v>58.314706833333332</v>
      </c>
      <c r="S44" s="12">
        <f t="shared" si="7"/>
        <v>480.10510508333329</v>
      </c>
    </row>
    <row r="45" spans="1:19" ht="15.5" x14ac:dyDescent="0.35">
      <c r="A45" s="19" t="s">
        <v>70</v>
      </c>
      <c r="B45" s="11" t="s">
        <v>24</v>
      </c>
      <c r="C45" s="11">
        <v>9.5</v>
      </c>
      <c r="D45" s="11">
        <v>15.21</v>
      </c>
      <c r="E45" s="11">
        <v>20.638000000000002</v>
      </c>
      <c r="F45" s="11">
        <v>15.788</v>
      </c>
      <c r="G45" s="11">
        <v>20.963999999999999</v>
      </c>
      <c r="H45" s="12">
        <f t="shared" si="4"/>
        <v>0.5779999999999994</v>
      </c>
      <c r="I45" s="11">
        <v>0.252</v>
      </c>
      <c r="J45" s="11">
        <v>39545625.899999999</v>
      </c>
      <c r="K45" s="11">
        <v>39.545625899999997</v>
      </c>
      <c r="L45" s="11">
        <v>687</v>
      </c>
      <c r="M45" s="11">
        <v>156.92708690000001</v>
      </c>
      <c r="N45" s="11">
        <v>2726.1904760000002</v>
      </c>
      <c r="O45" s="12">
        <v>1909</v>
      </c>
      <c r="P45" s="12">
        <v>1903</v>
      </c>
      <c r="Q45" s="12">
        <f t="shared" si="5"/>
        <v>6</v>
      </c>
      <c r="R45" s="12">
        <f t="shared" si="6"/>
        <v>13.077257241666667</v>
      </c>
      <c r="S45" s="12">
        <f t="shared" si="7"/>
        <v>227.18253966666668</v>
      </c>
    </row>
    <row r="46" spans="1:19" ht="15.5" x14ac:dyDescent="0.35">
      <c r="A46" s="19" t="s">
        <v>70</v>
      </c>
      <c r="B46" s="11" t="s">
        <v>25</v>
      </c>
      <c r="C46" s="11">
        <v>10</v>
      </c>
      <c r="D46" s="11">
        <v>15.21</v>
      </c>
      <c r="E46" s="11">
        <v>20.638000000000002</v>
      </c>
      <c r="F46" s="11">
        <v>15.555999999999999</v>
      </c>
      <c r="G46" s="11">
        <v>20.815000000000001</v>
      </c>
      <c r="H46" s="12">
        <f t="shared" si="4"/>
        <v>0.34599999999999831</v>
      </c>
      <c r="I46" s="11">
        <v>0.16900000000000001</v>
      </c>
      <c r="J46" s="11">
        <v>43248186.200000003</v>
      </c>
      <c r="K46" s="11">
        <v>43.248186199999999</v>
      </c>
      <c r="L46" s="11">
        <v>675</v>
      </c>
      <c r="M46" s="11">
        <v>255.9064272</v>
      </c>
      <c r="N46" s="11">
        <v>3994.08284</v>
      </c>
      <c r="O46" s="12">
        <v>1903</v>
      </c>
      <c r="P46" s="12">
        <v>1897</v>
      </c>
      <c r="Q46" s="12">
        <f t="shared" si="5"/>
        <v>6</v>
      </c>
      <c r="R46" s="12">
        <f t="shared" si="6"/>
        <v>21.325535599999998</v>
      </c>
      <c r="S46" s="12">
        <f t="shared" si="7"/>
        <v>332.84023666666667</v>
      </c>
    </row>
    <row r="47" spans="1:19" ht="15.5" x14ac:dyDescent="0.35">
      <c r="A47" s="19" t="s">
        <v>70</v>
      </c>
      <c r="B47" s="11" t="s">
        <v>26</v>
      </c>
      <c r="C47" s="11">
        <v>10.5</v>
      </c>
      <c r="D47" s="11">
        <v>15.21</v>
      </c>
      <c r="E47" s="11">
        <v>20.638000000000002</v>
      </c>
      <c r="F47" s="11">
        <v>15.759</v>
      </c>
      <c r="G47" s="11">
        <v>20.765000000000001</v>
      </c>
      <c r="H47" s="12">
        <f t="shared" si="4"/>
        <v>0.54899999999999949</v>
      </c>
      <c r="I47" s="11">
        <v>0.42199999999999999</v>
      </c>
      <c r="J47" s="11">
        <v>73069958.799999997</v>
      </c>
      <c r="K47" s="11">
        <v>73.069958799999995</v>
      </c>
      <c r="L47" s="11">
        <v>452</v>
      </c>
      <c r="M47" s="11">
        <v>173.15156110000001</v>
      </c>
      <c r="N47" s="11">
        <v>1071.0900469999999</v>
      </c>
      <c r="O47" s="12">
        <v>1897</v>
      </c>
      <c r="P47" s="12">
        <v>1881</v>
      </c>
      <c r="Q47" s="12">
        <f t="shared" si="5"/>
        <v>16</v>
      </c>
      <c r="R47" s="12">
        <f t="shared" si="6"/>
        <v>5.4109862843750003</v>
      </c>
      <c r="S47" s="12">
        <f t="shared" si="7"/>
        <v>33.471563968749997</v>
      </c>
    </row>
    <row r="48" spans="1:19" ht="15.5" x14ac:dyDescent="0.35">
      <c r="A48" s="19" t="s">
        <v>70</v>
      </c>
      <c r="B48" s="11" t="s">
        <v>27</v>
      </c>
      <c r="C48" s="11">
        <v>11</v>
      </c>
      <c r="D48" s="11">
        <v>15.21</v>
      </c>
      <c r="E48" s="11">
        <v>20.638000000000002</v>
      </c>
      <c r="F48" s="11">
        <v>15.721</v>
      </c>
      <c r="G48" s="11">
        <v>20.899000000000001</v>
      </c>
      <c r="H48" s="12">
        <f t="shared" si="4"/>
        <v>0.51099999999999923</v>
      </c>
      <c r="I48" s="11">
        <v>0.25</v>
      </c>
      <c r="J48" s="11">
        <v>72373169.599999994</v>
      </c>
      <c r="K48" s="11">
        <v>72.373169599999997</v>
      </c>
      <c r="L48" s="11">
        <v>1336</v>
      </c>
      <c r="M48" s="11">
        <v>289.49267839999999</v>
      </c>
      <c r="N48" s="11">
        <v>5344</v>
      </c>
      <c r="O48" s="12">
        <v>1881</v>
      </c>
      <c r="P48" s="12">
        <v>1864</v>
      </c>
      <c r="Q48" s="12">
        <f t="shared" si="5"/>
        <v>17</v>
      </c>
      <c r="R48" s="12">
        <f t="shared" si="6"/>
        <v>8.5144905411764711</v>
      </c>
      <c r="S48" s="12">
        <f t="shared" si="7"/>
        <v>157.1764705882353</v>
      </c>
    </row>
    <row r="49" spans="1:19" ht="15.5" x14ac:dyDescent="0.35">
      <c r="A49" s="19" t="s">
        <v>70</v>
      </c>
      <c r="B49" s="11" t="s">
        <v>28</v>
      </c>
      <c r="C49" s="11">
        <v>11.5</v>
      </c>
      <c r="D49" s="11">
        <v>15.21</v>
      </c>
      <c r="E49" s="11">
        <v>20.638000000000002</v>
      </c>
      <c r="F49" s="11">
        <v>15.9</v>
      </c>
      <c r="G49" s="11">
        <v>21.010999999999999</v>
      </c>
      <c r="H49" s="12">
        <f t="shared" si="4"/>
        <v>0.6899999999999995</v>
      </c>
      <c r="I49" s="11">
        <v>0.317</v>
      </c>
      <c r="J49" s="11">
        <v>107344739</v>
      </c>
      <c r="K49" s="11">
        <v>107.344739</v>
      </c>
      <c r="L49" s="11">
        <v>482</v>
      </c>
      <c r="M49" s="11">
        <v>338.62693689999998</v>
      </c>
      <c r="N49" s="11">
        <v>1520.5047320000001</v>
      </c>
      <c r="O49" s="12">
        <v>1864</v>
      </c>
      <c r="P49" s="12">
        <v>1848</v>
      </c>
      <c r="Q49" s="12">
        <f t="shared" si="5"/>
        <v>16</v>
      </c>
      <c r="R49" s="12">
        <f t="shared" si="6"/>
        <v>10.582091778124999</v>
      </c>
      <c r="S49" s="12">
        <f t="shared" si="7"/>
        <v>47.515772875000003</v>
      </c>
    </row>
    <row r="50" spans="1:19" ht="15.5" x14ac:dyDescent="0.35">
      <c r="A50" s="19" t="s">
        <v>71</v>
      </c>
      <c r="B50" s="16" t="s">
        <v>5</v>
      </c>
      <c r="C50" s="16">
        <v>0</v>
      </c>
      <c r="D50" s="16">
        <v>15.185</v>
      </c>
      <c r="E50" s="16">
        <v>20.611999999999998</v>
      </c>
      <c r="F50" s="16">
        <v>15.567</v>
      </c>
      <c r="G50" s="16">
        <v>20.526</v>
      </c>
      <c r="H50" s="16">
        <v>0.38200000000000001</v>
      </c>
      <c r="I50" s="16">
        <v>0.46800000000000003</v>
      </c>
      <c r="J50" s="17">
        <v>246509035</v>
      </c>
      <c r="K50" s="16">
        <v>246.50903500000001</v>
      </c>
      <c r="L50" s="16">
        <v>511</v>
      </c>
      <c r="M50" s="16">
        <v>526.7287073</v>
      </c>
      <c r="N50" s="16">
        <v>1091.8803419999999</v>
      </c>
      <c r="O50" s="16">
        <v>2021</v>
      </c>
      <c r="P50" s="16">
        <v>2018</v>
      </c>
      <c r="Q50" s="12">
        <v>3</v>
      </c>
      <c r="R50" s="16">
        <v>87.788117880000001</v>
      </c>
      <c r="S50" s="16">
        <v>181.98005699999999</v>
      </c>
    </row>
    <row r="51" spans="1:19" ht="15.5" x14ac:dyDescent="0.35">
      <c r="A51" s="19" t="s">
        <v>71</v>
      </c>
      <c r="B51" s="16" t="s">
        <v>6</v>
      </c>
      <c r="C51" s="16">
        <v>0.5</v>
      </c>
      <c r="D51" s="16">
        <v>15.18</v>
      </c>
      <c r="E51" s="16">
        <v>20.606999999999999</v>
      </c>
      <c r="F51" s="16">
        <v>15.432</v>
      </c>
      <c r="G51" s="16">
        <v>20.564</v>
      </c>
      <c r="H51" s="16">
        <v>0.252</v>
      </c>
      <c r="I51" s="16">
        <v>0.29499999999999998</v>
      </c>
      <c r="J51" s="17">
        <v>433568769</v>
      </c>
      <c r="K51" s="16">
        <v>433.56876899999997</v>
      </c>
      <c r="L51" s="16">
        <v>448</v>
      </c>
      <c r="M51" s="16">
        <v>1469.724641</v>
      </c>
      <c r="N51" s="16">
        <v>1518.6440680000001</v>
      </c>
      <c r="O51" s="16">
        <v>2018</v>
      </c>
      <c r="P51" s="16">
        <v>2015</v>
      </c>
      <c r="Q51" s="12">
        <v>3</v>
      </c>
      <c r="R51" s="16">
        <v>244.95410680000001</v>
      </c>
      <c r="S51" s="16">
        <v>253.1073446</v>
      </c>
    </row>
    <row r="52" spans="1:19" ht="15.5" x14ac:dyDescent="0.35">
      <c r="A52" s="19" t="s">
        <v>71</v>
      </c>
      <c r="B52" s="16" t="s">
        <v>7</v>
      </c>
      <c r="C52" s="16">
        <v>1</v>
      </c>
      <c r="D52" s="16">
        <v>15.186999999999999</v>
      </c>
      <c r="E52" s="16">
        <v>20.614000000000001</v>
      </c>
      <c r="F52" s="16">
        <v>15.36</v>
      </c>
      <c r="G52" s="16">
        <v>20.657</v>
      </c>
      <c r="H52" s="16">
        <v>0.17299999999999999</v>
      </c>
      <c r="I52" s="16">
        <v>0.13</v>
      </c>
      <c r="J52" s="17">
        <v>358715820</v>
      </c>
      <c r="K52" s="16">
        <v>358.71582000000001</v>
      </c>
      <c r="L52" s="16">
        <v>994</v>
      </c>
      <c r="M52" s="16">
        <v>2759.3524619999998</v>
      </c>
      <c r="N52" s="16">
        <v>7646.1538460000002</v>
      </c>
      <c r="O52" s="16">
        <v>2015</v>
      </c>
      <c r="P52" s="16">
        <v>2013</v>
      </c>
      <c r="Q52" s="12">
        <v>2</v>
      </c>
      <c r="R52" s="16">
        <v>689.83811539999999</v>
      </c>
      <c r="S52" s="16">
        <v>1911.538462</v>
      </c>
    </row>
    <row r="53" spans="1:19" ht="15.5" x14ac:dyDescent="0.35">
      <c r="A53" s="19" t="s">
        <v>71</v>
      </c>
      <c r="B53" s="16" t="s">
        <v>8</v>
      </c>
      <c r="C53" s="16">
        <v>1.5</v>
      </c>
      <c r="D53" s="16">
        <v>15.186999999999999</v>
      </c>
      <c r="E53" s="16">
        <v>20.614000000000001</v>
      </c>
      <c r="F53" s="16">
        <v>15.531000000000001</v>
      </c>
      <c r="G53" s="16">
        <v>20.268999999999998</v>
      </c>
      <c r="H53" s="16">
        <v>0.34399999999999997</v>
      </c>
      <c r="I53" s="16">
        <v>0.68899999999999995</v>
      </c>
      <c r="J53" s="17">
        <v>296344671</v>
      </c>
      <c r="K53" s="16">
        <v>296.34467100000001</v>
      </c>
      <c r="L53" s="16">
        <v>891</v>
      </c>
      <c r="M53" s="16">
        <v>430.1083759</v>
      </c>
      <c r="N53" s="16">
        <v>1293.1785199999999</v>
      </c>
      <c r="O53" s="16">
        <v>2013</v>
      </c>
      <c r="P53" s="16">
        <v>2010</v>
      </c>
      <c r="Q53" s="12">
        <v>3</v>
      </c>
      <c r="R53" s="16">
        <v>71.684729320000002</v>
      </c>
      <c r="S53" s="16">
        <v>215.52975330000001</v>
      </c>
    </row>
    <row r="54" spans="1:19" ht="15.5" x14ac:dyDescent="0.35">
      <c r="A54" s="19" t="s">
        <v>71</v>
      </c>
      <c r="B54" s="16" t="s">
        <v>9</v>
      </c>
      <c r="C54" s="16">
        <v>2</v>
      </c>
      <c r="D54" s="16">
        <v>15.186999999999999</v>
      </c>
      <c r="E54" s="16">
        <v>20.614000000000001</v>
      </c>
      <c r="F54" s="16">
        <v>15.515000000000001</v>
      </c>
      <c r="G54" s="16">
        <v>20.021999999999998</v>
      </c>
      <c r="H54" s="16">
        <v>0.32800000000000001</v>
      </c>
      <c r="I54" s="16">
        <v>0.92</v>
      </c>
      <c r="J54" s="17">
        <v>218945578</v>
      </c>
      <c r="K54" s="16">
        <v>218.94557800000001</v>
      </c>
      <c r="L54" s="16">
        <v>564</v>
      </c>
      <c r="M54" s="16">
        <v>237.98432389999999</v>
      </c>
      <c r="N54" s="16">
        <v>613.04347829999995</v>
      </c>
      <c r="O54" s="16">
        <v>2010</v>
      </c>
      <c r="P54" s="16">
        <v>2008</v>
      </c>
      <c r="Q54" s="12">
        <v>2</v>
      </c>
      <c r="R54" s="16">
        <v>59.496080980000002</v>
      </c>
      <c r="S54" s="16">
        <v>153.26086960000001</v>
      </c>
    </row>
    <row r="55" spans="1:19" ht="15.5" x14ac:dyDescent="0.35">
      <c r="A55" s="19" t="s">
        <v>71</v>
      </c>
      <c r="B55" s="16" t="s">
        <v>10</v>
      </c>
      <c r="C55" s="16">
        <v>2.5</v>
      </c>
      <c r="D55" s="16">
        <v>15.186</v>
      </c>
      <c r="E55" s="16">
        <v>20.613</v>
      </c>
      <c r="F55" s="16">
        <v>15.489000000000001</v>
      </c>
      <c r="G55" s="16">
        <v>20.367000000000001</v>
      </c>
      <c r="H55" s="16">
        <v>0.30299999999999999</v>
      </c>
      <c r="I55" s="16">
        <v>0.54900000000000004</v>
      </c>
      <c r="J55" s="17">
        <v>67745151.400000006</v>
      </c>
      <c r="K55" s="16">
        <v>67.745151399999997</v>
      </c>
      <c r="L55" s="16">
        <v>181</v>
      </c>
      <c r="M55" s="16">
        <v>123.39736139999999</v>
      </c>
      <c r="N55" s="16">
        <v>329.6903461</v>
      </c>
      <c r="O55" s="16">
        <v>2008</v>
      </c>
      <c r="P55" s="16">
        <v>2003</v>
      </c>
      <c r="Q55" s="12">
        <v>5</v>
      </c>
      <c r="R55" s="16">
        <v>12.339736139999999</v>
      </c>
      <c r="S55" s="16">
        <v>32.969034610000001</v>
      </c>
    </row>
    <row r="56" spans="1:19" ht="15.5" x14ac:dyDescent="0.35">
      <c r="A56" s="19" t="s">
        <v>71</v>
      </c>
      <c r="B56" s="16" t="s">
        <v>11</v>
      </c>
      <c r="C56" s="16">
        <v>3</v>
      </c>
      <c r="D56" s="16">
        <v>15.186</v>
      </c>
      <c r="E56" s="16">
        <v>20.613</v>
      </c>
      <c r="F56" s="16">
        <v>15.528</v>
      </c>
      <c r="G56" s="16">
        <v>20.518000000000001</v>
      </c>
      <c r="H56" s="16">
        <v>0.34200000000000003</v>
      </c>
      <c r="I56" s="16">
        <v>0.437</v>
      </c>
      <c r="J56" s="17">
        <v>68225820.299999997</v>
      </c>
      <c r="K56" s="16">
        <v>68.225820299999995</v>
      </c>
      <c r="L56" s="16">
        <v>290</v>
      </c>
      <c r="M56" s="16">
        <v>156.12315860000001</v>
      </c>
      <c r="N56" s="16">
        <v>663.61556059999998</v>
      </c>
      <c r="O56" s="16">
        <v>2003</v>
      </c>
      <c r="P56" s="16">
        <v>1998</v>
      </c>
      <c r="Q56" s="12">
        <v>5</v>
      </c>
      <c r="R56" s="16">
        <v>15.612315860000001</v>
      </c>
      <c r="S56" s="16">
        <v>66.361556059999998</v>
      </c>
    </row>
    <row r="57" spans="1:19" ht="15.5" x14ac:dyDescent="0.35">
      <c r="A57" s="19" t="s">
        <v>71</v>
      </c>
      <c r="B57" s="16" t="s">
        <v>12</v>
      </c>
      <c r="C57" s="16">
        <v>3.5</v>
      </c>
      <c r="D57" s="16">
        <v>15.185</v>
      </c>
      <c r="E57" s="16">
        <v>20.611999999999998</v>
      </c>
      <c r="F57" s="16">
        <v>15.577999999999999</v>
      </c>
      <c r="G57" s="16">
        <v>20.192</v>
      </c>
      <c r="H57" s="16">
        <v>0.39300000000000002</v>
      </c>
      <c r="I57" s="16">
        <v>0.81299999999999994</v>
      </c>
      <c r="J57" s="17">
        <v>108042442</v>
      </c>
      <c r="K57" s="16">
        <v>108.04244199999999</v>
      </c>
      <c r="L57" s="16">
        <v>153</v>
      </c>
      <c r="M57" s="16">
        <v>132.89353259999999</v>
      </c>
      <c r="N57" s="16">
        <v>188.1918819</v>
      </c>
      <c r="O57" s="16">
        <v>1998</v>
      </c>
      <c r="P57" s="16">
        <v>1993</v>
      </c>
      <c r="Q57" s="12">
        <v>5</v>
      </c>
      <c r="R57" s="16">
        <v>13.28935326</v>
      </c>
      <c r="S57" s="16">
        <v>18.819188189999998</v>
      </c>
    </row>
    <row r="58" spans="1:19" ht="15.5" x14ac:dyDescent="0.35">
      <c r="A58" s="19" t="s">
        <v>71</v>
      </c>
      <c r="B58" s="16" t="s">
        <v>13</v>
      </c>
      <c r="C58" s="16">
        <v>4</v>
      </c>
      <c r="D58" s="16">
        <v>15.188000000000001</v>
      </c>
      <c r="E58" s="16">
        <v>20.614999999999998</v>
      </c>
      <c r="F58" s="16">
        <v>15.569000000000001</v>
      </c>
      <c r="G58" s="16">
        <v>20.446999999999999</v>
      </c>
      <c r="H58" s="16">
        <v>0.38100000000000001</v>
      </c>
      <c r="I58" s="16">
        <v>0.54900000000000004</v>
      </c>
      <c r="J58" s="17">
        <v>54028162.5</v>
      </c>
      <c r="K58" s="16">
        <v>54.028162500000001</v>
      </c>
      <c r="L58" s="16">
        <v>116</v>
      </c>
      <c r="M58" s="16">
        <v>98.411953550000007</v>
      </c>
      <c r="N58" s="16">
        <v>211.2932605</v>
      </c>
      <c r="O58" s="16">
        <v>1993</v>
      </c>
      <c r="P58" s="16">
        <v>1988</v>
      </c>
      <c r="Q58" s="12">
        <v>5</v>
      </c>
      <c r="R58" s="16">
        <v>9.841195355</v>
      </c>
      <c r="S58" s="16">
        <v>21.12932605</v>
      </c>
    </row>
    <row r="59" spans="1:19" ht="15.5" x14ac:dyDescent="0.35">
      <c r="A59" s="19" t="s">
        <v>71</v>
      </c>
      <c r="B59" s="16" t="s">
        <v>14</v>
      </c>
      <c r="C59" s="16">
        <v>4.5</v>
      </c>
      <c r="D59" s="16">
        <v>15.185</v>
      </c>
      <c r="E59" s="16">
        <v>20.611999999999998</v>
      </c>
      <c r="F59" s="16">
        <v>15.519</v>
      </c>
      <c r="G59" s="16">
        <v>19.856999999999999</v>
      </c>
      <c r="H59" s="16">
        <v>0.33400000000000002</v>
      </c>
      <c r="I59" s="16">
        <v>1.089</v>
      </c>
      <c r="J59" s="17">
        <v>166899269</v>
      </c>
      <c r="K59" s="16">
        <v>166.899269</v>
      </c>
      <c r="L59" s="16">
        <v>544</v>
      </c>
      <c r="M59" s="16">
        <v>153.25920020000001</v>
      </c>
      <c r="N59" s="16">
        <v>499.54086319999999</v>
      </c>
      <c r="O59" s="16">
        <v>1988</v>
      </c>
      <c r="P59" s="16">
        <v>1983</v>
      </c>
      <c r="Q59" s="12">
        <v>5</v>
      </c>
      <c r="R59" s="16">
        <v>15.32592002</v>
      </c>
      <c r="S59" s="16">
        <v>49.954086320000002</v>
      </c>
    </row>
    <row r="60" spans="1:19" ht="15.5" x14ac:dyDescent="0.35">
      <c r="A60" s="19" t="s">
        <v>71</v>
      </c>
      <c r="B60" s="16" t="s">
        <v>15</v>
      </c>
      <c r="C60" s="16">
        <v>5</v>
      </c>
      <c r="D60" s="16">
        <v>15.185</v>
      </c>
      <c r="E60" s="16">
        <v>20.611999999999998</v>
      </c>
      <c r="F60" s="16">
        <v>15.493</v>
      </c>
      <c r="G60" s="16">
        <v>20.295000000000002</v>
      </c>
      <c r="H60" s="16">
        <v>0.308</v>
      </c>
      <c r="I60" s="16">
        <v>0.625</v>
      </c>
      <c r="J60" s="17">
        <v>140046934</v>
      </c>
      <c r="K60" s="16">
        <v>140.04693399999999</v>
      </c>
      <c r="L60" s="16">
        <v>469</v>
      </c>
      <c r="M60" s="16">
        <v>224.07509440000001</v>
      </c>
      <c r="N60" s="16">
        <v>750.4</v>
      </c>
      <c r="O60" s="16">
        <v>1983</v>
      </c>
      <c r="P60" s="16">
        <v>1979</v>
      </c>
      <c r="Q60" s="12">
        <v>4</v>
      </c>
      <c r="R60" s="16">
        <v>28.009386800000001</v>
      </c>
      <c r="S60" s="16">
        <v>93.8</v>
      </c>
    </row>
    <row r="61" spans="1:19" ht="15.5" x14ac:dyDescent="0.35">
      <c r="A61" s="19" t="s">
        <v>71</v>
      </c>
      <c r="B61" s="16" t="s">
        <v>16</v>
      </c>
      <c r="C61" s="16">
        <v>5.5</v>
      </c>
      <c r="D61" s="16">
        <v>15.185</v>
      </c>
      <c r="E61" s="16">
        <v>20.611999999999998</v>
      </c>
      <c r="F61" s="16">
        <v>15.371</v>
      </c>
      <c r="G61" s="16">
        <v>20.638000000000002</v>
      </c>
      <c r="H61" s="16">
        <v>0.186</v>
      </c>
      <c r="I61" s="16">
        <v>0.16</v>
      </c>
      <c r="J61" s="17">
        <v>94199652.799999997</v>
      </c>
      <c r="K61" s="16">
        <v>94.199652799999996</v>
      </c>
      <c r="L61" s="16">
        <v>466</v>
      </c>
      <c r="M61" s="16">
        <v>588.74783000000002</v>
      </c>
      <c r="N61" s="16">
        <v>2912.5</v>
      </c>
      <c r="O61" s="16">
        <v>1979</v>
      </c>
      <c r="P61" s="16">
        <v>1974</v>
      </c>
      <c r="Q61" s="12">
        <v>5</v>
      </c>
      <c r="R61" s="16">
        <v>58.874783000000001</v>
      </c>
      <c r="S61" s="16">
        <v>291.25</v>
      </c>
    </row>
    <row r="62" spans="1:19" ht="15.5" x14ac:dyDescent="0.35">
      <c r="A62" s="19" t="s">
        <v>71</v>
      </c>
      <c r="B62" s="16" t="s">
        <v>17</v>
      </c>
      <c r="C62" s="16">
        <v>6</v>
      </c>
      <c r="D62" s="16">
        <v>15.186999999999999</v>
      </c>
      <c r="E62" s="16">
        <v>20.614000000000001</v>
      </c>
      <c r="F62" s="16">
        <v>15.332000000000001</v>
      </c>
      <c r="G62" s="16">
        <v>20.486999999999998</v>
      </c>
      <c r="H62" s="16">
        <v>0.14499999999999999</v>
      </c>
      <c r="I62" s="16">
        <v>0.27200000000000002</v>
      </c>
      <c r="J62" s="17">
        <v>9704017.9700000007</v>
      </c>
      <c r="K62" s="16">
        <v>9.7040179700000007</v>
      </c>
      <c r="L62" s="16">
        <v>449</v>
      </c>
      <c r="M62" s="16">
        <v>35.676536650000003</v>
      </c>
      <c r="N62" s="16">
        <v>1650.7352940000001</v>
      </c>
      <c r="O62" s="16">
        <v>1974</v>
      </c>
      <c r="P62" s="16">
        <v>1969</v>
      </c>
      <c r="Q62" s="12">
        <v>5</v>
      </c>
      <c r="R62" s="16">
        <v>3.5676536649999999</v>
      </c>
      <c r="S62" s="16">
        <v>165.07352940000001</v>
      </c>
    </row>
    <row r="63" spans="1:19" ht="15.5" x14ac:dyDescent="0.35">
      <c r="A63" s="19" t="s">
        <v>71</v>
      </c>
      <c r="B63" s="16" t="s">
        <v>18</v>
      </c>
      <c r="C63" s="16">
        <v>6.5</v>
      </c>
      <c r="D63" s="16">
        <v>15.183999999999999</v>
      </c>
      <c r="E63" s="16">
        <v>20.611000000000001</v>
      </c>
      <c r="F63" s="16">
        <v>15.414</v>
      </c>
      <c r="G63" s="16">
        <v>20.318999999999999</v>
      </c>
      <c r="H63" s="16">
        <v>0.23</v>
      </c>
      <c r="I63" s="16">
        <v>0.52200000000000002</v>
      </c>
      <c r="J63" s="17">
        <v>115351004</v>
      </c>
      <c r="K63" s="16">
        <v>115.351004</v>
      </c>
      <c r="L63" s="16">
        <v>289</v>
      </c>
      <c r="M63" s="16">
        <v>220.97893490000001</v>
      </c>
      <c r="N63" s="16">
        <v>553.63984670000002</v>
      </c>
      <c r="O63" s="16">
        <v>1969</v>
      </c>
      <c r="P63" s="16">
        <v>1964</v>
      </c>
      <c r="Q63" s="12">
        <v>5</v>
      </c>
      <c r="R63" s="16">
        <v>22.097893490000001</v>
      </c>
      <c r="S63" s="16">
        <v>55.363984670000001</v>
      </c>
    </row>
    <row r="64" spans="1:19" ht="15.5" x14ac:dyDescent="0.35">
      <c r="A64" s="19" t="s">
        <v>71</v>
      </c>
      <c r="B64" s="16" t="s">
        <v>19</v>
      </c>
      <c r="C64" s="16">
        <v>7</v>
      </c>
      <c r="D64" s="16">
        <v>15.183999999999999</v>
      </c>
      <c r="E64" s="16">
        <v>20.611000000000001</v>
      </c>
      <c r="F64" s="16">
        <v>15.334</v>
      </c>
      <c r="G64" s="16">
        <v>20.212</v>
      </c>
      <c r="H64" s="16">
        <v>0.15</v>
      </c>
      <c r="I64" s="16">
        <v>0.54900000000000004</v>
      </c>
      <c r="J64" s="17">
        <v>35183832.5</v>
      </c>
      <c r="K64" s="16">
        <v>35.183832500000001</v>
      </c>
      <c r="L64" s="16">
        <v>134</v>
      </c>
      <c r="M64" s="16">
        <v>64.087126589999997</v>
      </c>
      <c r="N64" s="16">
        <v>244.0801457</v>
      </c>
      <c r="O64" s="16">
        <v>1964</v>
      </c>
      <c r="P64" s="16">
        <v>1959</v>
      </c>
      <c r="Q64" s="12">
        <v>5</v>
      </c>
      <c r="R64" s="16">
        <v>6.4087126589999999</v>
      </c>
      <c r="S64" s="16">
        <v>24.408014569999999</v>
      </c>
    </row>
    <row r="65" spans="1:19" ht="15.5" x14ac:dyDescent="0.35">
      <c r="A65" s="19" t="s">
        <v>71</v>
      </c>
      <c r="B65" s="16" t="s">
        <v>20</v>
      </c>
      <c r="C65" s="16">
        <v>7.5</v>
      </c>
      <c r="D65" s="16">
        <v>15.185</v>
      </c>
      <c r="E65" s="16">
        <v>20.611999999999998</v>
      </c>
      <c r="F65" s="16">
        <v>15.343999999999999</v>
      </c>
      <c r="G65" s="16">
        <v>20.277999999999999</v>
      </c>
      <c r="H65" s="16">
        <v>0.159</v>
      </c>
      <c r="I65" s="16">
        <v>0.49299999999999999</v>
      </c>
      <c r="J65" s="17">
        <v>119827936</v>
      </c>
      <c r="K65" s="16">
        <v>119.82793599999999</v>
      </c>
      <c r="L65" s="16">
        <v>429</v>
      </c>
      <c r="M65" s="16">
        <v>243.05869369999999</v>
      </c>
      <c r="N65" s="16">
        <v>870.18255580000005</v>
      </c>
      <c r="O65" s="16">
        <v>1959</v>
      </c>
      <c r="P65" s="16">
        <v>1955</v>
      </c>
      <c r="Q65" s="12">
        <v>4</v>
      </c>
      <c r="R65" s="16">
        <v>30.382336710000001</v>
      </c>
      <c r="S65" s="16">
        <v>108.7728195</v>
      </c>
    </row>
    <row r="66" spans="1:19" ht="15.5" x14ac:dyDescent="0.35">
      <c r="A66" s="19" t="s">
        <v>71</v>
      </c>
      <c r="B66" s="16" t="s">
        <v>21</v>
      </c>
      <c r="C66" s="16">
        <v>8</v>
      </c>
      <c r="D66" s="16">
        <v>15.186</v>
      </c>
      <c r="E66" s="16">
        <v>20.613</v>
      </c>
      <c r="F66" s="16">
        <v>15.318</v>
      </c>
      <c r="G66" s="16">
        <v>20.202000000000002</v>
      </c>
      <c r="H66" s="16">
        <v>0.13200000000000001</v>
      </c>
      <c r="I66" s="16">
        <v>0.54300000000000004</v>
      </c>
      <c r="J66" s="17">
        <v>52788461.5</v>
      </c>
      <c r="K66" s="16">
        <v>52.788461499999997</v>
      </c>
      <c r="L66" s="16">
        <v>198</v>
      </c>
      <c r="M66" s="16">
        <v>97.216319519999999</v>
      </c>
      <c r="N66" s="16">
        <v>364.64088400000003</v>
      </c>
      <c r="O66" s="16">
        <v>1955</v>
      </c>
      <c r="P66" s="16">
        <v>1950</v>
      </c>
      <c r="Q66" s="12">
        <v>5</v>
      </c>
      <c r="R66" s="16">
        <v>9.7216319519999992</v>
      </c>
      <c r="S66" s="16">
        <v>36.464088400000001</v>
      </c>
    </row>
    <row r="67" spans="1:19" ht="15.5" x14ac:dyDescent="0.35">
      <c r="A67" s="19" t="s">
        <v>72</v>
      </c>
      <c r="B67" s="16" t="s">
        <v>5</v>
      </c>
      <c r="C67" s="16">
        <v>0</v>
      </c>
      <c r="D67" s="16">
        <v>15.183999999999999</v>
      </c>
      <c r="E67" s="16">
        <v>20.608000000000001</v>
      </c>
      <c r="F67" s="16">
        <v>15.894</v>
      </c>
      <c r="G67" s="16">
        <v>20.850999999999999</v>
      </c>
      <c r="H67" s="16">
        <v>0.71</v>
      </c>
      <c r="I67" s="16">
        <v>0.46700000000000003</v>
      </c>
      <c r="J67" s="12">
        <v>2611050452</v>
      </c>
      <c r="K67" s="16">
        <v>2611.050452</v>
      </c>
      <c r="L67" s="16">
        <v>12994</v>
      </c>
      <c r="M67" s="16">
        <v>5591.114458</v>
      </c>
      <c r="N67" s="16">
        <v>27824.41113</v>
      </c>
      <c r="O67" s="12">
        <v>2021</v>
      </c>
      <c r="P67" s="12">
        <v>2004</v>
      </c>
      <c r="Q67" s="16">
        <v>17</v>
      </c>
      <c r="R67" s="16">
        <v>164.44454289999999</v>
      </c>
      <c r="S67" s="16">
        <v>818.36503340000002</v>
      </c>
    </row>
    <row r="68" spans="1:19" ht="15.5" x14ac:dyDescent="0.35">
      <c r="A68" s="19" t="s">
        <v>72</v>
      </c>
      <c r="B68" s="16" t="s">
        <v>6</v>
      </c>
      <c r="C68" s="16">
        <v>0.5</v>
      </c>
      <c r="D68" s="16">
        <v>15.183999999999999</v>
      </c>
      <c r="E68" s="16">
        <v>20.608000000000001</v>
      </c>
      <c r="F68" s="16">
        <v>15.542</v>
      </c>
      <c r="G68" s="16">
        <v>20.786999999999999</v>
      </c>
      <c r="H68" s="16">
        <v>0.35799999999999998</v>
      </c>
      <c r="I68" s="16">
        <v>0.17899999999999999</v>
      </c>
      <c r="J68" s="12">
        <v>1308525193</v>
      </c>
      <c r="K68" s="16">
        <v>1308.5251929999999</v>
      </c>
      <c r="L68" s="16">
        <v>8558</v>
      </c>
      <c r="M68" s="16">
        <v>7310.19661</v>
      </c>
      <c r="N68" s="16">
        <v>47810.055869999997</v>
      </c>
      <c r="O68" s="12">
        <v>2004</v>
      </c>
      <c r="P68" s="12">
        <v>1987</v>
      </c>
      <c r="Q68" s="16">
        <v>17</v>
      </c>
      <c r="R68" s="16">
        <v>215.0057826</v>
      </c>
      <c r="S68" s="16">
        <v>1406.1781140000001</v>
      </c>
    </row>
    <row r="69" spans="1:19" ht="15.5" x14ac:dyDescent="0.35">
      <c r="A69" s="19" t="s">
        <v>72</v>
      </c>
      <c r="B69" s="16" t="s">
        <v>7</v>
      </c>
      <c r="C69" s="16">
        <v>1</v>
      </c>
      <c r="D69" s="16">
        <v>15.183999999999999</v>
      </c>
      <c r="E69" s="16">
        <v>20.608000000000001</v>
      </c>
      <c r="F69" s="16">
        <v>15.683999999999999</v>
      </c>
      <c r="G69" s="16">
        <v>20.789000000000001</v>
      </c>
      <c r="H69" s="16">
        <v>0.5</v>
      </c>
      <c r="I69" s="16">
        <v>0.31900000000000001</v>
      </c>
      <c r="J69" s="12">
        <v>4024714919</v>
      </c>
      <c r="K69" s="16">
        <v>4024.714919</v>
      </c>
      <c r="L69" s="16">
        <v>22694</v>
      </c>
      <c r="M69" s="16">
        <v>12616.661190000001</v>
      </c>
      <c r="N69" s="16">
        <v>71141.065830000007</v>
      </c>
      <c r="O69" s="12">
        <v>1987</v>
      </c>
      <c r="P69" s="12">
        <v>1971</v>
      </c>
      <c r="Q69" s="16">
        <v>16</v>
      </c>
      <c r="R69" s="16">
        <v>394.27066209999998</v>
      </c>
      <c r="S69" s="16">
        <v>2223.1583070000001</v>
      </c>
    </row>
    <row r="70" spans="1:19" ht="15.5" x14ac:dyDescent="0.35">
      <c r="A70" s="19" t="s">
        <v>72</v>
      </c>
      <c r="B70" s="16" t="s">
        <v>8</v>
      </c>
      <c r="C70" s="16">
        <v>1.5</v>
      </c>
      <c r="D70" s="16">
        <v>15.183999999999999</v>
      </c>
      <c r="E70" s="16">
        <v>20.608000000000001</v>
      </c>
      <c r="F70" s="16">
        <v>15.676</v>
      </c>
      <c r="G70" s="16">
        <v>20.512</v>
      </c>
      <c r="H70" s="16">
        <v>0.49199999999999999</v>
      </c>
      <c r="I70" s="16">
        <v>0.58799999999999997</v>
      </c>
      <c r="J70" s="12">
        <v>67728044.629999995</v>
      </c>
      <c r="K70" s="16">
        <v>67.728044629999999</v>
      </c>
      <c r="L70" s="16">
        <v>271</v>
      </c>
      <c r="M70" s="16">
        <v>115.1837494</v>
      </c>
      <c r="N70" s="16">
        <v>460.88435370000002</v>
      </c>
      <c r="O70" s="12">
        <v>1971</v>
      </c>
      <c r="P70" s="12">
        <v>1954</v>
      </c>
      <c r="Q70" s="16">
        <v>17</v>
      </c>
      <c r="R70" s="16">
        <v>3.3877573339999998</v>
      </c>
      <c r="S70" s="16">
        <v>13.55542217</v>
      </c>
    </row>
    <row r="71" spans="1:19" ht="15.5" x14ac:dyDescent="0.35">
      <c r="A71" s="19" t="s">
        <v>72</v>
      </c>
      <c r="B71" s="16" t="s">
        <v>9</v>
      </c>
      <c r="C71" s="16">
        <v>2</v>
      </c>
      <c r="D71" s="16">
        <v>15.183999999999999</v>
      </c>
      <c r="E71" s="16">
        <v>20.608000000000001</v>
      </c>
      <c r="F71" s="16">
        <v>15.680999999999999</v>
      </c>
      <c r="G71" s="16">
        <v>20.718</v>
      </c>
      <c r="H71" s="16">
        <v>0.497</v>
      </c>
      <c r="I71" s="16">
        <v>0.38700000000000001</v>
      </c>
      <c r="J71" s="12">
        <v>250782603.90000001</v>
      </c>
      <c r="K71" s="16">
        <v>250.7826039</v>
      </c>
      <c r="L71" s="16">
        <v>1883</v>
      </c>
      <c r="M71" s="16">
        <v>648.01706449999995</v>
      </c>
      <c r="N71" s="16">
        <v>4865.6330749999997</v>
      </c>
      <c r="O71" s="12">
        <v>1954</v>
      </c>
      <c r="P71" s="12">
        <v>1938</v>
      </c>
      <c r="Q71" s="16">
        <v>16</v>
      </c>
      <c r="R71" s="16">
        <v>20.250533260000001</v>
      </c>
      <c r="S71" s="16">
        <v>152.05103360000001</v>
      </c>
    </row>
    <row r="72" spans="1:19" ht="15.5" x14ac:dyDescent="0.35">
      <c r="A72" s="19" t="s">
        <v>72</v>
      </c>
      <c r="B72" s="16" t="s">
        <v>10</v>
      </c>
      <c r="C72" s="16">
        <v>2.5</v>
      </c>
      <c r="D72" s="16">
        <v>15.183999999999999</v>
      </c>
      <c r="E72" s="16">
        <v>20.608000000000001</v>
      </c>
      <c r="F72" s="16">
        <v>15.569000000000001</v>
      </c>
      <c r="G72" s="16">
        <v>20.846</v>
      </c>
      <c r="H72" s="16">
        <v>0.38500000000000001</v>
      </c>
      <c r="I72" s="16">
        <v>0.14699999999999999</v>
      </c>
      <c r="J72" s="12">
        <v>79563878.060000002</v>
      </c>
      <c r="K72" s="16">
        <v>79.563878059999993</v>
      </c>
      <c r="L72" s="16">
        <v>446</v>
      </c>
      <c r="M72" s="16">
        <v>541.25087110000004</v>
      </c>
      <c r="N72" s="16">
        <v>3034.0136050000001</v>
      </c>
      <c r="O72" s="12">
        <v>1938</v>
      </c>
      <c r="P72" s="12">
        <v>1930</v>
      </c>
      <c r="Q72" s="16">
        <v>8</v>
      </c>
      <c r="R72" s="16">
        <v>33.82817945</v>
      </c>
      <c r="S72" s="16">
        <v>189.6258503</v>
      </c>
    </row>
    <row r="73" spans="1:19" ht="15.5" x14ac:dyDescent="0.35">
      <c r="A73" s="19" t="s">
        <v>72</v>
      </c>
      <c r="B73" s="16" t="s">
        <v>11</v>
      </c>
      <c r="C73" s="16">
        <v>3</v>
      </c>
      <c r="D73" s="16">
        <v>15.183999999999999</v>
      </c>
      <c r="E73" s="16">
        <v>20.608000000000001</v>
      </c>
      <c r="F73" s="16">
        <v>15.686</v>
      </c>
      <c r="G73" s="16">
        <v>20.853000000000002</v>
      </c>
      <c r="H73" s="16">
        <v>0.502</v>
      </c>
      <c r="I73" s="16">
        <v>0.25700000000000001</v>
      </c>
      <c r="J73" s="12">
        <v>75826573.189999998</v>
      </c>
      <c r="K73" s="16">
        <v>75.826573190000005</v>
      </c>
      <c r="L73" s="16">
        <v>879</v>
      </c>
      <c r="M73" s="16">
        <v>295.04503190000003</v>
      </c>
      <c r="N73" s="16">
        <v>3420.233463</v>
      </c>
      <c r="O73" s="12">
        <v>1930</v>
      </c>
      <c r="P73" s="12">
        <v>1921</v>
      </c>
      <c r="Q73" s="16">
        <v>9</v>
      </c>
      <c r="R73" s="16">
        <v>16.391390659999999</v>
      </c>
      <c r="S73" s="16">
        <v>190.01297020000001</v>
      </c>
    </row>
    <row r="74" spans="1:19" ht="15.5" x14ac:dyDescent="0.35">
      <c r="A74" s="19" t="s">
        <v>72</v>
      </c>
      <c r="B74" s="16" t="s">
        <v>12</v>
      </c>
      <c r="C74" s="16">
        <v>3.5</v>
      </c>
      <c r="D74" s="16">
        <v>15.183999999999999</v>
      </c>
      <c r="E74" s="16">
        <v>20.608000000000001</v>
      </c>
      <c r="F74" s="16">
        <v>15.971</v>
      </c>
      <c r="G74" s="16">
        <v>20.966000000000001</v>
      </c>
      <c r="H74" s="16">
        <v>0.78700000000000003</v>
      </c>
      <c r="I74" s="16">
        <v>0.42899999999999999</v>
      </c>
      <c r="J74" s="12">
        <v>134938837.90000001</v>
      </c>
      <c r="K74" s="16">
        <v>134.93883790000001</v>
      </c>
      <c r="L74" s="16">
        <v>312</v>
      </c>
      <c r="M74" s="16">
        <v>314.54274579999998</v>
      </c>
      <c r="N74" s="16">
        <v>727.27272730000004</v>
      </c>
      <c r="O74" s="12">
        <v>1921</v>
      </c>
      <c r="P74" s="12">
        <v>1913</v>
      </c>
      <c r="Q74" s="16">
        <v>8</v>
      </c>
      <c r="R74" s="16">
        <v>19.65892161</v>
      </c>
      <c r="S74" s="16">
        <v>45.454545449999998</v>
      </c>
    </row>
    <row r="75" spans="1:19" ht="15.5" x14ac:dyDescent="0.35">
      <c r="A75" s="19" t="s">
        <v>72</v>
      </c>
      <c r="B75" s="16" t="s">
        <v>13</v>
      </c>
      <c r="C75" s="16">
        <v>4</v>
      </c>
      <c r="D75" s="16">
        <v>15.183999999999999</v>
      </c>
      <c r="E75" s="16">
        <v>20.608000000000001</v>
      </c>
      <c r="F75" s="16">
        <v>15.78</v>
      </c>
      <c r="G75" s="16">
        <v>20.850999999999999</v>
      </c>
      <c r="H75" s="16">
        <v>0.59599999999999997</v>
      </c>
      <c r="I75" s="16">
        <v>0.35299999999999998</v>
      </c>
      <c r="J75" s="12">
        <v>470386904.89999998</v>
      </c>
      <c r="K75" s="16">
        <v>470.38690489999999</v>
      </c>
      <c r="L75" s="16">
        <v>807</v>
      </c>
      <c r="M75" s="16">
        <v>1332.5408070000001</v>
      </c>
      <c r="N75" s="16">
        <v>2286.1189800000002</v>
      </c>
      <c r="O75" s="12">
        <v>1913</v>
      </c>
      <c r="P75" s="12">
        <v>1905</v>
      </c>
      <c r="Q75" s="16">
        <v>8</v>
      </c>
      <c r="R75" s="16">
        <v>83.283800429999999</v>
      </c>
      <c r="S75" s="16">
        <v>142.88243629999999</v>
      </c>
    </row>
    <row r="76" spans="1:19" ht="15.5" x14ac:dyDescent="0.35">
      <c r="A76" s="19" t="s">
        <v>72</v>
      </c>
      <c r="B76" s="16" t="s">
        <v>14</v>
      </c>
      <c r="C76" s="16">
        <v>4.5</v>
      </c>
      <c r="D76" s="16">
        <v>15.183999999999999</v>
      </c>
      <c r="E76" s="16">
        <v>20.608000000000001</v>
      </c>
      <c r="F76" s="16">
        <v>15.89</v>
      </c>
      <c r="G76" s="16">
        <v>20.963000000000001</v>
      </c>
      <c r="H76" s="16">
        <v>0.70599999999999996</v>
      </c>
      <c r="I76" s="16">
        <v>0.35099999999999998</v>
      </c>
      <c r="J76" s="12">
        <v>223427587.5</v>
      </c>
      <c r="K76" s="16">
        <v>223.42758749999999</v>
      </c>
      <c r="L76" s="16">
        <v>1851</v>
      </c>
      <c r="M76" s="16">
        <v>636.54583330000003</v>
      </c>
      <c r="N76" s="16">
        <v>5273.5042739999999</v>
      </c>
      <c r="O76" s="12">
        <v>1905</v>
      </c>
      <c r="P76" s="12">
        <v>1896</v>
      </c>
      <c r="Q76" s="16">
        <v>9</v>
      </c>
      <c r="R76" s="16">
        <v>35.363657410000002</v>
      </c>
      <c r="S76" s="16">
        <v>292.97245959999998</v>
      </c>
    </row>
    <row r="77" spans="1:19" ht="15.5" x14ac:dyDescent="0.35">
      <c r="A77" s="19" t="s">
        <v>72</v>
      </c>
      <c r="B77" s="16" t="s">
        <v>15</v>
      </c>
      <c r="C77" s="16">
        <v>5</v>
      </c>
      <c r="D77" s="16">
        <v>15.183999999999999</v>
      </c>
      <c r="E77" s="16">
        <v>20.608000000000001</v>
      </c>
      <c r="F77" s="16">
        <v>16.254000000000001</v>
      </c>
      <c r="G77" s="16">
        <v>21.077999999999999</v>
      </c>
      <c r="H77" s="16">
        <v>1.07</v>
      </c>
      <c r="I77" s="16">
        <v>0.6</v>
      </c>
      <c r="J77" s="12">
        <v>556554705.39999998</v>
      </c>
      <c r="K77" s="16">
        <v>556.55470539999999</v>
      </c>
      <c r="L77" s="16">
        <v>2308</v>
      </c>
      <c r="M77" s="16">
        <v>927.59117570000001</v>
      </c>
      <c r="N77" s="16">
        <v>3846.666667</v>
      </c>
      <c r="O77" s="12">
        <v>1896</v>
      </c>
      <c r="P77" s="12">
        <v>1888</v>
      </c>
      <c r="Q77" s="16">
        <v>8</v>
      </c>
      <c r="R77" s="16">
        <v>57.97444848</v>
      </c>
      <c r="S77" s="16">
        <v>240.41666670000001</v>
      </c>
    </row>
    <row r="78" spans="1:19" ht="15.5" x14ac:dyDescent="0.35">
      <c r="A78" s="19" t="s">
        <v>73</v>
      </c>
      <c r="B78" s="11" t="s">
        <v>5</v>
      </c>
      <c r="C78" s="11">
        <v>0</v>
      </c>
      <c r="D78" s="11">
        <v>15.202</v>
      </c>
      <c r="E78" s="11">
        <v>20.620999999999999</v>
      </c>
      <c r="F78" s="11">
        <v>15.26</v>
      </c>
      <c r="G78" s="11">
        <v>20.475999999999999</v>
      </c>
      <c r="H78" s="11">
        <v>5.8000000000000003E-2</v>
      </c>
      <c r="I78" s="11">
        <v>0.20300000000000001</v>
      </c>
      <c r="J78" s="11">
        <v>257275859</v>
      </c>
      <c r="K78" s="11">
        <v>257.27585900000003</v>
      </c>
      <c r="L78" s="11">
        <v>542</v>
      </c>
      <c r="M78" s="11">
        <v>1267.3687640000001</v>
      </c>
      <c r="N78" s="11">
        <v>2669.9507389999999</v>
      </c>
      <c r="O78" s="15">
        <v>2022</v>
      </c>
      <c r="P78" s="15">
        <v>2019</v>
      </c>
      <c r="Q78" s="11">
        <v>3</v>
      </c>
      <c r="R78" s="11">
        <v>211.22812730000001</v>
      </c>
      <c r="S78" s="11">
        <v>444.99178979999999</v>
      </c>
    </row>
    <row r="79" spans="1:19" ht="15.5" x14ac:dyDescent="0.35">
      <c r="A79" s="19" t="s">
        <v>73</v>
      </c>
      <c r="B79" s="11" t="s">
        <v>6</v>
      </c>
      <c r="C79" s="11">
        <v>0.5</v>
      </c>
      <c r="D79" s="11">
        <v>15.202</v>
      </c>
      <c r="E79" s="11">
        <v>20.620999999999999</v>
      </c>
      <c r="F79" s="11">
        <v>15.314</v>
      </c>
      <c r="G79" s="11">
        <v>20.61</v>
      </c>
      <c r="H79" s="11">
        <v>0.112</v>
      </c>
      <c r="I79" s="11">
        <v>0.123</v>
      </c>
      <c r="J79" s="11">
        <v>222044707</v>
      </c>
      <c r="K79" s="11">
        <v>222.04470699999999</v>
      </c>
      <c r="L79" s="11">
        <v>554</v>
      </c>
      <c r="M79" s="11">
        <v>1805.24152</v>
      </c>
      <c r="N79" s="11">
        <v>4504.0650409999998</v>
      </c>
      <c r="O79" s="15">
        <v>2019</v>
      </c>
      <c r="P79" s="15">
        <v>2017</v>
      </c>
      <c r="Q79" s="11">
        <v>2</v>
      </c>
      <c r="R79" s="11">
        <v>451.31038009999997</v>
      </c>
      <c r="S79" s="11">
        <v>1126.0162600000001</v>
      </c>
    </row>
    <row r="80" spans="1:19" ht="15.5" x14ac:dyDescent="0.35">
      <c r="A80" s="19" t="s">
        <v>73</v>
      </c>
      <c r="B80" s="11" t="s">
        <v>7</v>
      </c>
      <c r="C80" s="11">
        <v>1</v>
      </c>
      <c r="D80" s="11">
        <v>15.202999999999999</v>
      </c>
      <c r="E80" s="11">
        <v>20.622</v>
      </c>
      <c r="F80" s="11">
        <v>15.276</v>
      </c>
      <c r="G80" s="11">
        <v>20.593</v>
      </c>
      <c r="H80" s="11">
        <v>7.2999999999999995E-2</v>
      </c>
      <c r="I80" s="11">
        <v>0.10199999999999999</v>
      </c>
      <c r="J80" s="11">
        <v>140446321</v>
      </c>
      <c r="K80" s="11">
        <v>140.44632100000001</v>
      </c>
      <c r="L80" s="11">
        <v>735</v>
      </c>
      <c r="M80" s="11">
        <v>1376.924716</v>
      </c>
      <c r="N80" s="11">
        <v>7205.882353</v>
      </c>
      <c r="O80" s="15">
        <v>2017</v>
      </c>
      <c r="P80" s="15">
        <v>2015</v>
      </c>
      <c r="Q80" s="11">
        <v>2</v>
      </c>
      <c r="R80" s="11">
        <v>344.23117889999997</v>
      </c>
      <c r="S80" s="11">
        <v>1801.4705879999999</v>
      </c>
    </row>
    <row r="81" spans="1:19" ht="15.5" x14ac:dyDescent="0.35">
      <c r="A81" s="19" t="s">
        <v>73</v>
      </c>
      <c r="B81" s="11" t="s">
        <v>8</v>
      </c>
      <c r="C81" s="11">
        <v>1.5</v>
      </c>
      <c r="D81" s="11">
        <v>15.202999999999999</v>
      </c>
      <c r="E81" s="11">
        <v>20.622</v>
      </c>
      <c r="F81" s="11">
        <v>15.273</v>
      </c>
      <c r="G81" s="11">
        <v>20.472999999999999</v>
      </c>
      <c r="H81" s="11">
        <v>7.0000000000000007E-2</v>
      </c>
      <c r="I81" s="11">
        <v>0.219</v>
      </c>
      <c r="J81" s="11">
        <v>28917100.699999999</v>
      </c>
      <c r="K81" s="11">
        <v>28.917100699999999</v>
      </c>
      <c r="L81" s="11">
        <v>173</v>
      </c>
      <c r="M81" s="11">
        <v>132.0415557</v>
      </c>
      <c r="N81" s="11">
        <v>789.95433790000004</v>
      </c>
      <c r="O81" s="15">
        <v>2015</v>
      </c>
      <c r="P81" s="15">
        <v>2013</v>
      </c>
      <c r="Q81" s="11">
        <v>2</v>
      </c>
      <c r="R81" s="11">
        <v>33.010388929999998</v>
      </c>
      <c r="S81" s="11">
        <v>197.4885845</v>
      </c>
    </row>
    <row r="82" spans="1:19" ht="15.5" x14ac:dyDescent="0.35">
      <c r="A82" s="19" t="s">
        <v>73</v>
      </c>
      <c r="B82" s="11" t="s">
        <v>9</v>
      </c>
      <c r="C82" s="11">
        <v>2</v>
      </c>
      <c r="D82" s="11">
        <v>15.202999999999999</v>
      </c>
      <c r="E82" s="11">
        <v>20.622</v>
      </c>
      <c r="F82" s="11">
        <v>15.24</v>
      </c>
      <c r="G82" s="11">
        <v>20.585000000000001</v>
      </c>
      <c r="H82" s="11">
        <v>3.6999999999999998E-2</v>
      </c>
      <c r="I82" s="11">
        <v>7.3999999999999996E-2</v>
      </c>
      <c r="J82" s="11">
        <v>194145692.80000001</v>
      </c>
      <c r="K82" s="11">
        <v>194.14569280000001</v>
      </c>
      <c r="L82" s="11">
        <v>123</v>
      </c>
      <c r="M82" s="11">
        <v>2623.5904430000001</v>
      </c>
      <c r="N82" s="11">
        <v>1662.1621620000001</v>
      </c>
      <c r="O82" s="15">
        <v>2013</v>
      </c>
      <c r="P82" s="15">
        <v>2011</v>
      </c>
      <c r="Q82" s="11">
        <v>2</v>
      </c>
      <c r="R82" s="11">
        <v>655.89761080000005</v>
      </c>
      <c r="S82" s="11">
        <v>415.54054050000002</v>
      </c>
    </row>
    <row r="83" spans="1:19" ht="15.5" x14ac:dyDescent="0.35">
      <c r="A83" s="19" t="s">
        <v>73</v>
      </c>
      <c r="B83" s="11" t="s">
        <v>10</v>
      </c>
      <c r="C83" s="11">
        <v>2.5</v>
      </c>
      <c r="D83" s="11">
        <v>15.202</v>
      </c>
      <c r="E83" s="11">
        <v>20.620999999999999</v>
      </c>
      <c r="F83" s="11">
        <v>15.273999999999999</v>
      </c>
      <c r="G83" s="11">
        <v>20.504000000000001</v>
      </c>
      <c r="H83" s="11">
        <v>7.1999999999999995E-2</v>
      </c>
      <c r="I83" s="11">
        <v>0.189</v>
      </c>
      <c r="J83" s="11">
        <v>9038461.5399999991</v>
      </c>
      <c r="K83" s="11">
        <v>9.0384615400000001</v>
      </c>
      <c r="L83" s="11">
        <v>79</v>
      </c>
      <c r="M83" s="11">
        <v>47.822547829999998</v>
      </c>
      <c r="N83" s="11">
        <v>417.989418</v>
      </c>
      <c r="O83" s="15">
        <v>2011</v>
      </c>
      <c r="P83" s="15">
        <v>2006</v>
      </c>
      <c r="Q83" s="11">
        <v>5</v>
      </c>
      <c r="R83" s="11">
        <v>4.782254783</v>
      </c>
      <c r="S83" s="11">
        <v>41.798941800000001</v>
      </c>
    </row>
    <row r="84" spans="1:19" ht="15.5" x14ac:dyDescent="0.35">
      <c r="A84" s="19" t="s">
        <v>73</v>
      </c>
      <c r="B84" s="11" t="s">
        <v>11</v>
      </c>
      <c r="C84" s="11">
        <v>3</v>
      </c>
      <c r="D84" s="11">
        <v>15.202</v>
      </c>
      <c r="E84" s="11">
        <v>20.622</v>
      </c>
      <c r="F84" s="11">
        <v>15.295999999999999</v>
      </c>
      <c r="G84" s="11">
        <v>20.463999999999999</v>
      </c>
      <c r="H84" s="11">
        <v>9.4E-2</v>
      </c>
      <c r="I84" s="11">
        <v>0.252</v>
      </c>
      <c r="J84" s="11">
        <v>8672037.4299999997</v>
      </c>
      <c r="K84" s="11">
        <v>8.6720374299999996</v>
      </c>
      <c r="L84" s="11">
        <v>85</v>
      </c>
      <c r="M84" s="11">
        <v>34.412846940000001</v>
      </c>
      <c r="N84" s="11">
        <v>337.30158729999999</v>
      </c>
      <c r="O84" s="15">
        <v>2006</v>
      </c>
      <c r="P84" s="15">
        <v>2000</v>
      </c>
      <c r="Q84" s="11">
        <v>6</v>
      </c>
      <c r="R84" s="11">
        <v>2.8677372449999998</v>
      </c>
      <c r="S84" s="11">
        <v>28.10846561</v>
      </c>
    </row>
    <row r="85" spans="1:19" ht="15.5" x14ac:dyDescent="0.35">
      <c r="A85" s="19" t="s">
        <v>73</v>
      </c>
      <c r="B85" s="11" t="s">
        <v>12</v>
      </c>
      <c r="C85" s="11">
        <v>3.5</v>
      </c>
      <c r="D85" s="11">
        <v>15.202999999999999</v>
      </c>
      <c r="E85" s="11">
        <v>20.622</v>
      </c>
      <c r="F85" s="11">
        <v>15.323</v>
      </c>
      <c r="G85" s="11">
        <v>20.434000000000001</v>
      </c>
      <c r="H85" s="11">
        <v>0.12</v>
      </c>
      <c r="I85" s="11">
        <v>0.308</v>
      </c>
      <c r="J85" s="11">
        <v>5914882.7699999996</v>
      </c>
      <c r="K85" s="11">
        <v>5.9148827700000002</v>
      </c>
      <c r="L85" s="11">
        <v>38</v>
      </c>
      <c r="M85" s="11">
        <v>19.204164840000001</v>
      </c>
      <c r="N85" s="11">
        <v>123.3766234</v>
      </c>
      <c r="O85" s="15">
        <v>2000</v>
      </c>
      <c r="P85" s="15">
        <v>1995</v>
      </c>
      <c r="Q85" s="11">
        <v>5</v>
      </c>
      <c r="R85" s="11">
        <v>1.920416484</v>
      </c>
      <c r="S85" s="11">
        <v>12.33766234</v>
      </c>
    </row>
    <row r="86" spans="1:19" ht="15.5" x14ac:dyDescent="0.35">
      <c r="A86" s="19" t="s">
        <v>73</v>
      </c>
      <c r="B86" s="11" t="s">
        <v>13</v>
      </c>
      <c r="C86" s="11">
        <v>4</v>
      </c>
      <c r="D86" s="11">
        <v>15.202999999999999</v>
      </c>
      <c r="E86" s="11">
        <v>20.622</v>
      </c>
      <c r="F86" s="11">
        <v>15.297000000000001</v>
      </c>
      <c r="G86" s="11">
        <v>20.486000000000001</v>
      </c>
      <c r="H86" s="11">
        <v>9.4E-2</v>
      </c>
      <c r="I86" s="11">
        <v>0.23</v>
      </c>
      <c r="J86" s="11">
        <v>13404689.1</v>
      </c>
      <c r="K86" s="11">
        <v>13.404689100000001</v>
      </c>
      <c r="L86" s="11">
        <v>121</v>
      </c>
      <c r="M86" s="11">
        <v>58.28125696</v>
      </c>
      <c r="N86" s="11">
        <v>526.08695650000004</v>
      </c>
      <c r="O86" s="15">
        <v>1995</v>
      </c>
      <c r="P86" s="15">
        <v>1990</v>
      </c>
      <c r="Q86" s="11">
        <v>5</v>
      </c>
      <c r="R86" s="11">
        <v>5.8281256959999999</v>
      </c>
      <c r="S86" s="11">
        <v>52.608695650000001</v>
      </c>
    </row>
    <row r="87" spans="1:19" ht="15.5" x14ac:dyDescent="0.35">
      <c r="A87" s="19" t="s">
        <v>73</v>
      </c>
      <c r="B87" s="11" t="s">
        <v>14</v>
      </c>
      <c r="C87" s="11">
        <v>4.5</v>
      </c>
      <c r="D87" s="11">
        <v>15.202999999999999</v>
      </c>
      <c r="E87" s="11">
        <v>20.622</v>
      </c>
      <c r="F87" s="11">
        <v>15.272</v>
      </c>
      <c r="G87" s="11">
        <v>20.565000000000001</v>
      </c>
      <c r="H87" s="11">
        <v>6.9000000000000006E-2</v>
      </c>
      <c r="I87" s="11">
        <v>0.126</v>
      </c>
      <c r="J87" s="11">
        <v>10290000</v>
      </c>
      <c r="K87" s="11">
        <v>10.29</v>
      </c>
      <c r="L87" s="11">
        <v>91</v>
      </c>
      <c r="M87" s="11">
        <v>81.666666669999998</v>
      </c>
      <c r="N87" s="11">
        <v>722.22222220000003</v>
      </c>
      <c r="O87" s="15">
        <v>1990</v>
      </c>
      <c r="P87" s="15">
        <v>1985</v>
      </c>
      <c r="Q87" s="11">
        <v>5</v>
      </c>
      <c r="R87" s="11">
        <v>8.1666666669999994</v>
      </c>
      <c r="S87" s="11">
        <v>72.222222220000006</v>
      </c>
    </row>
    <row r="88" spans="1:19" ht="15.5" x14ac:dyDescent="0.35">
      <c r="A88" s="19" t="s">
        <v>73</v>
      </c>
      <c r="B88" s="11" t="s">
        <v>15</v>
      </c>
      <c r="C88" s="11">
        <v>5</v>
      </c>
      <c r="D88" s="11">
        <v>15.202999999999999</v>
      </c>
      <c r="E88" s="11">
        <v>20.622</v>
      </c>
      <c r="F88" s="11">
        <v>15.278</v>
      </c>
      <c r="G88" s="11">
        <v>20.515000000000001</v>
      </c>
      <c r="H88" s="11">
        <v>7.4999999999999997E-2</v>
      </c>
      <c r="I88" s="11">
        <v>0.182</v>
      </c>
      <c r="J88" s="11">
        <v>36739059.799999997</v>
      </c>
      <c r="K88" s="11">
        <v>36.7390598</v>
      </c>
      <c r="L88" s="11">
        <v>178</v>
      </c>
      <c r="M88" s="11">
        <v>201.86296590000001</v>
      </c>
      <c r="N88" s="11">
        <v>978.02197799999999</v>
      </c>
      <c r="O88" s="15">
        <v>1985</v>
      </c>
      <c r="P88" s="15">
        <v>1979</v>
      </c>
      <c r="Q88" s="11">
        <v>6</v>
      </c>
      <c r="R88" s="11">
        <v>16.82191383</v>
      </c>
      <c r="S88" s="11">
        <v>81.501831499999994</v>
      </c>
    </row>
    <row r="89" spans="1:19" ht="15.5" x14ac:dyDescent="0.35">
      <c r="A89" s="19" t="s">
        <v>73</v>
      </c>
      <c r="B89" s="11" t="s">
        <v>16</v>
      </c>
      <c r="C89" s="11">
        <v>5.5</v>
      </c>
      <c r="D89" s="11">
        <v>15.202999999999999</v>
      </c>
      <c r="E89" s="11">
        <v>20.622</v>
      </c>
      <c r="F89" s="11">
        <v>15.260999999999999</v>
      </c>
      <c r="G89" s="11">
        <v>20.564</v>
      </c>
      <c r="H89" s="11">
        <v>5.8000000000000003E-2</v>
      </c>
      <c r="I89" s="11">
        <v>0.11600000000000001</v>
      </c>
      <c r="J89" s="11">
        <v>12260383.4</v>
      </c>
      <c r="K89" s="11">
        <v>12.2603834</v>
      </c>
      <c r="L89" s="11">
        <v>91</v>
      </c>
      <c r="M89" s="11">
        <v>105.6929603</v>
      </c>
      <c r="N89" s="11">
        <v>784.48275860000001</v>
      </c>
      <c r="O89" s="15">
        <v>1979</v>
      </c>
      <c r="P89" s="15">
        <v>1974</v>
      </c>
      <c r="Q89" s="11">
        <v>5</v>
      </c>
      <c r="R89" s="11">
        <v>10.56929603</v>
      </c>
      <c r="S89" s="11">
        <v>78.448275859999995</v>
      </c>
    </row>
    <row r="90" spans="1:19" ht="15.5" x14ac:dyDescent="0.35">
      <c r="A90" s="19" t="s">
        <v>73</v>
      </c>
      <c r="B90" s="11" t="s">
        <v>17</v>
      </c>
      <c r="C90" s="11">
        <v>6</v>
      </c>
      <c r="D90" s="11">
        <v>15.202999999999999</v>
      </c>
      <c r="E90" s="11">
        <v>20.622</v>
      </c>
      <c r="F90" s="11">
        <v>15.297000000000001</v>
      </c>
      <c r="G90" s="11">
        <v>20.535</v>
      </c>
      <c r="H90" s="11">
        <v>9.4E-2</v>
      </c>
      <c r="I90" s="11">
        <v>0.18099999999999999</v>
      </c>
      <c r="J90" s="11">
        <v>27619775.699999999</v>
      </c>
      <c r="K90" s="11">
        <v>27.619775700000002</v>
      </c>
      <c r="L90" s="11">
        <v>166</v>
      </c>
      <c r="M90" s="11">
        <v>152.59544589999999</v>
      </c>
      <c r="N90" s="11">
        <v>917.12707179999995</v>
      </c>
      <c r="O90" s="15">
        <v>1974</v>
      </c>
      <c r="P90" s="15">
        <v>1969</v>
      </c>
      <c r="Q90" s="11">
        <v>5</v>
      </c>
      <c r="R90" s="11">
        <v>15.259544590000001</v>
      </c>
      <c r="S90" s="11">
        <v>91.712707179999995</v>
      </c>
    </row>
    <row r="91" spans="1:19" ht="15.5" x14ac:dyDescent="0.35">
      <c r="A91" s="19" t="s">
        <v>73</v>
      </c>
      <c r="B91" s="11" t="s">
        <v>18</v>
      </c>
      <c r="C91" s="11">
        <v>6.5</v>
      </c>
      <c r="D91" s="11">
        <v>15.202999999999999</v>
      </c>
      <c r="E91" s="11">
        <v>20.622</v>
      </c>
      <c r="F91" s="11">
        <v>15.295999999999999</v>
      </c>
      <c r="G91" s="11">
        <v>20.475999999999999</v>
      </c>
      <c r="H91" s="11">
        <v>9.2999999999999999E-2</v>
      </c>
      <c r="I91" s="11">
        <v>0.23899999999999999</v>
      </c>
      <c r="J91" s="11">
        <v>12082052.300000001</v>
      </c>
      <c r="K91" s="11">
        <v>12.082052300000001</v>
      </c>
      <c r="L91" s="11">
        <v>143</v>
      </c>
      <c r="M91" s="11">
        <v>50.552520080000001</v>
      </c>
      <c r="N91" s="11">
        <v>598.32635979999998</v>
      </c>
      <c r="O91" s="15">
        <v>1969</v>
      </c>
      <c r="P91" s="15">
        <v>1964</v>
      </c>
      <c r="Q91" s="11">
        <v>5</v>
      </c>
      <c r="R91" s="11">
        <v>5.0552520080000001</v>
      </c>
      <c r="S91" s="11">
        <v>59.832635979999999</v>
      </c>
    </row>
    <row r="92" spans="1:19" ht="15.5" x14ac:dyDescent="0.35">
      <c r="A92" s="19" t="s">
        <v>73</v>
      </c>
      <c r="B92" s="11" t="s">
        <v>19</v>
      </c>
      <c r="C92" s="11">
        <v>7</v>
      </c>
      <c r="D92" s="11">
        <v>15.202999999999999</v>
      </c>
      <c r="E92" s="11">
        <v>20.622</v>
      </c>
      <c r="F92" s="11">
        <v>15.303000000000001</v>
      </c>
      <c r="G92" s="11">
        <v>20.478999999999999</v>
      </c>
      <c r="H92" s="11">
        <v>0.1</v>
      </c>
      <c r="I92" s="11">
        <v>0.24299999999999999</v>
      </c>
      <c r="J92" s="11">
        <v>10697781.9</v>
      </c>
      <c r="K92" s="11">
        <v>10.697781900000001</v>
      </c>
      <c r="L92" s="11">
        <v>100</v>
      </c>
      <c r="M92" s="11">
        <v>44.023793830000002</v>
      </c>
      <c r="N92" s="11">
        <v>411.52263369999997</v>
      </c>
      <c r="O92" s="15">
        <v>1964</v>
      </c>
      <c r="P92" s="15">
        <v>1958</v>
      </c>
      <c r="Q92" s="11">
        <v>6</v>
      </c>
      <c r="R92" s="11">
        <v>3.6686494860000001</v>
      </c>
      <c r="S92" s="11">
        <v>34.293552810000001</v>
      </c>
    </row>
    <row r="93" spans="1:19" ht="15.5" x14ac:dyDescent="0.35">
      <c r="A93" s="19" t="s">
        <v>73</v>
      </c>
      <c r="B93" s="11" t="s">
        <v>20</v>
      </c>
      <c r="C93" s="11">
        <v>7.5</v>
      </c>
      <c r="D93" s="11">
        <v>15.202999999999999</v>
      </c>
      <c r="E93" s="11">
        <v>20.622</v>
      </c>
      <c r="F93" s="11">
        <v>15.321</v>
      </c>
      <c r="G93" s="11">
        <v>20.613</v>
      </c>
      <c r="H93" s="11">
        <v>0.11799999999999999</v>
      </c>
      <c r="I93" s="11">
        <v>0.127</v>
      </c>
      <c r="J93" s="11">
        <v>12100000</v>
      </c>
      <c r="K93" s="11">
        <v>12.1</v>
      </c>
      <c r="L93" s="11">
        <v>65</v>
      </c>
      <c r="M93" s="11">
        <v>95.275590550000004</v>
      </c>
      <c r="N93" s="11">
        <v>511.8110236</v>
      </c>
      <c r="O93" s="15">
        <v>1958</v>
      </c>
      <c r="P93" s="15">
        <v>1953</v>
      </c>
      <c r="Q93" s="11">
        <v>5</v>
      </c>
      <c r="R93" s="11">
        <v>9.5275590549999993</v>
      </c>
      <c r="S93" s="11">
        <v>51.181102359999997</v>
      </c>
    </row>
    <row r="94" spans="1:19" ht="15.5" x14ac:dyDescent="0.35">
      <c r="A94" s="19" t="s">
        <v>73</v>
      </c>
      <c r="B94" s="11" t="s">
        <v>21</v>
      </c>
      <c r="C94" s="11">
        <v>8</v>
      </c>
      <c r="D94" s="11">
        <v>15.202999999999999</v>
      </c>
      <c r="E94" s="11">
        <v>20.622</v>
      </c>
      <c r="F94" s="11">
        <v>15.340999999999999</v>
      </c>
      <c r="G94" s="11">
        <v>20.641999999999999</v>
      </c>
      <c r="H94" s="11">
        <v>0.13800000000000001</v>
      </c>
      <c r="I94" s="11">
        <v>0.11799999999999999</v>
      </c>
      <c r="J94" s="11">
        <v>25341204.5</v>
      </c>
      <c r="K94" s="11">
        <v>25.3412045</v>
      </c>
      <c r="L94" s="11">
        <v>94</v>
      </c>
      <c r="M94" s="11">
        <v>214.7559703</v>
      </c>
      <c r="N94" s="11">
        <v>796.61016949999998</v>
      </c>
      <c r="O94" s="15">
        <v>1953</v>
      </c>
      <c r="P94" s="15">
        <v>1948</v>
      </c>
      <c r="Q94" s="11">
        <v>5</v>
      </c>
      <c r="R94" s="11">
        <v>21.475597029999999</v>
      </c>
      <c r="S94" s="11">
        <v>79.661016950000004</v>
      </c>
    </row>
    <row r="95" spans="1:19" ht="15.5" x14ac:dyDescent="0.35">
      <c r="A95" s="19" t="s">
        <v>73</v>
      </c>
      <c r="B95" s="11" t="s">
        <v>22</v>
      </c>
      <c r="C95" s="11">
        <v>8.5</v>
      </c>
      <c r="D95" s="11">
        <v>15.202999999999999</v>
      </c>
      <c r="E95" s="11">
        <v>20.622</v>
      </c>
      <c r="F95" s="11">
        <v>15.334</v>
      </c>
      <c r="G95" s="11">
        <v>20.405000000000001</v>
      </c>
      <c r="H95" s="11">
        <v>0.13100000000000001</v>
      </c>
      <c r="I95" s="11">
        <v>0.34799999999999998</v>
      </c>
      <c r="J95" s="11">
        <v>34220645.600000001</v>
      </c>
      <c r="K95" s="11">
        <v>34.220645599999997</v>
      </c>
      <c r="L95" s="11">
        <v>111</v>
      </c>
      <c r="M95" s="11">
        <v>98.335188509999995</v>
      </c>
      <c r="N95" s="11">
        <v>318.96551720000002</v>
      </c>
      <c r="O95" s="15">
        <v>1948</v>
      </c>
      <c r="P95" s="15">
        <v>1942</v>
      </c>
      <c r="Q95" s="11">
        <v>6</v>
      </c>
      <c r="R95" s="11">
        <v>8.1945990420000001</v>
      </c>
      <c r="S95" s="11">
        <v>26.580459770000001</v>
      </c>
    </row>
    <row r="96" spans="1:19" ht="15.5" x14ac:dyDescent="0.35">
      <c r="A96" s="19" t="s">
        <v>73</v>
      </c>
      <c r="B96" s="11" t="s">
        <v>23</v>
      </c>
      <c r="C96" s="11">
        <v>9</v>
      </c>
      <c r="D96" s="11">
        <v>15.202999999999999</v>
      </c>
      <c r="E96" s="11">
        <v>20.622</v>
      </c>
      <c r="F96" s="11">
        <v>15.422000000000001</v>
      </c>
      <c r="G96" s="11">
        <v>20.641999999999999</v>
      </c>
      <c r="H96" s="11">
        <v>0.219</v>
      </c>
      <c r="I96" s="11">
        <v>0.19900000000000001</v>
      </c>
      <c r="J96" s="11">
        <v>32021772.100000001</v>
      </c>
      <c r="K96" s="11">
        <v>32.0217721</v>
      </c>
      <c r="L96" s="11">
        <v>155</v>
      </c>
      <c r="M96" s="11">
        <v>160.91342760000001</v>
      </c>
      <c r="N96" s="11">
        <v>778.89447240000004</v>
      </c>
      <c r="O96" s="15">
        <v>1942</v>
      </c>
      <c r="P96" s="15">
        <v>1937</v>
      </c>
      <c r="Q96" s="11">
        <v>5</v>
      </c>
      <c r="R96" s="11">
        <v>16.09134276</v>
      </c>
      <c r="S96" s="11">
        <v>77.889447239999996</v>
      </c>
    </row>
    <row r="97" spans="1:19" ht="15.5" x14ac:dyDescent="0.35">
      <c r="A97" s="19" t="s">
        <v>73</v>
      </c>
      <c r="B97" s="11" t="s">
        <v>24</v>
      </c>
      <c r="C97" s="11">
        <v>9.5</v>
      </c>
      <c r="D97" s="11">
        <v>15.202999999999999</v>
      </c>
      <c r="E97" s="11">
        <v>20.622</v>
      </c>
      <c r="F97" s="11">
        <v>15.356999999999999</v>
      </c>
      <c r="G97" s="11">
        <v>20.562999999999999</v>
      </c>
      <c r="H97" s="11">
        <v>0.154</v>
      </c>
      <c r="I97" s="11">
        <v>0.21299999999999999</v>
      </c>
      <c r="J97" s="11">
        <v>17622224.899999999</v>
      </c>
      <c r="K97" s="11">
        <v>17.622224899999999</v>
      </c>
      <c r="L97" s="11">
        <v>103</v>
      </c>
      <c r="M97" s="11">
        <v>82.733450230000003</v>
      </c>
      <c r="N97" s="11">
        <v>483.56807509999999</v>
      </c>
      <c r="O97" s="15">
        <v>1937</v>
      </c>
      <c r="P97" s="15">
        <v>1932</v>
      </c>
      <c r="Q97" s="11">
        <v>5</v>
      </c>
      <c r="R97" s="11">
        <v>8.2733450229999992</v>
      </c>
      <c r="S97" s="11">
        <v>48.356807510000003</v>
      </c>
    </row>
    <row r="98" spans="1:19" ht="15.5" x14ac:dyDescent="0.35">
      <c r="A98" s="19" t="s">
        <v>73</v>
      </c>
      <c r="B98" s="11" t="s">
        <v>25</v>
      </c>
      <c r="C98" s="11">
        <v>10</v>
      </c>
      <c r="D98" s="11">
        <v>15.204000000000001</v>
      </c>
      <c r="E98" s="11">
        <v>20.620999999999999</v>
      </c>
      <c r="F98" s="11">
        <v>15.331</v>
      </c>
      <c r="G98" s="11">
        <v>20.378</v>
      </c>
      <c r="H98" s="11">
        <v>0.127</v>
      </c>
      <c r="I98" s="11">
        <v>0.37</v>
      </c>
      <c r="J98" s="11">
        <v>14129609.5</v>
      </c>
      <c r="K98" s="11">
        <v>14.129609500000001</v>
      </c>
      <c r="L98" s="11">
        <v>141</v>
      </c>
      <c r="M98" s="11">
        <v>38.188133780000001</v>
      </c>
      <c r="N98" s="11">
        <v>381.08108110000001</v>
      </c>
      <c r="O98" s="15">
        <v>1932</v>
      </c>
      <c r="P98" s="15">
        <v>1927</v>
      </c>
      <c r="Q98" s="11">
        <v>5</v>
      </c>
      <c r="R98" s="11">
        <v>3.8188133780000002</v>
      </c>
      <c r="S98" s="11">
        <v>38.108108110000003</v>
      </c>
    </row>
    <row r="99" spans="1:19" ht="15.5" x14ac:dyDescent="0.35">
      <c r="A99" s="19" t="s">
        <v>73</v>
      </c>
      <c r="B99" s="11" t="s">
        <v>26</v>
      </c>
      <c r="C99" s="11">
        <v>10.5</v>
      </c>
      <c r="D99" s="11">
        <v>15.202999999999999</v>
      </c>
      <c r="E99" s="11">
        <v>20.620999999999999</v>
      </c>
      <c r="F99" s="11">
        <v>15.423999999999999</v>
      </c>
      <c r="G99" s="11">
        <v>20.713999999999999</v>
      </c>
      <c r="H99" s="11">
        <v>0.221</v>
      </c>
      <c r="I99" s="11">
        <v>0.128</v>
      </c>
      <c r="J99" s="11">
        <v>26854663.800000001</v>
      </c>
      <c r="K99" s="11">
        <v>26.854663800000001</v>
      </c>
      <c r="L99" s="11">
        <v>164</v>
      </c>
      <c r="M99" s="11">
        <v>209.80206089999999</v>
      </c>
      <c r="N99" s="11">
        <v>1281.25</v>
      </c>
      <c r="O99" s="15">
        <v>1927</v>
      </c>
      <c r="P99" s="15">
        <v>1921</v>
      </c>
      <c r="Q99" s="11">
        <v>6</v>
      </c>
      <c r="R99" s="11">
        <v>17.48350508</v>
      </c>
      <c r="S99" s="11">
        <v>106.77083330000001</v>
      </c>
    </row>
    <row r="100" spans="1:19" ht="15.5" x14ac:dyDescent="0.35">
      <c r="A100" s="19" t="s">
        <v>73</v>
      </c>
      <c r="B100" s="11" t="s">
        <v>27</v>
      </c>
      <c r="C100" s="11">
        <v>11</v>
      </c>
      <c r="D100" s="11">
        <v>15.201000000000001</v>
      </c>
      <c r="E100" s="11">
        <v>20.620999999999999</v>
      </c>
      <c r="F100" s="11">
        <v>15.441000000000001</v>
      </c>
      <c r="G100" s="11">
        <v>20.449000000000002</v>
      </c>
      <c r="H100" s="11">
        <v>0.24</v>
      </c>
      <c r="I100" s="11">
        <v>0.41199999999999998</v>
      </c>
      <c r="J100" s="11">
        <v>34726138.799999997</v>
      </c>
      <c r="K100" s="11">
        <v>34.726138800000001</v>
      </c>
      <c r="L100" s="11">
        <v>217</v>
      </c>
      <c r="M100" s="11">
        <v>84.286744659999997</v>
      </c>
      <c r="N100" s="11">
        <v>526.69902909999996</v>
      </c>
      <c r="O100" s="15">
        <v>1921</v>
      </c>
      <c r="P100" s="15">
        <v>1916</v>
      </c>
      <c r="Q100" s="11">
        <v>5</v>
      </c>
      <c r="R100" s="11">
        <v>8.4286744660000004</v>
      </c>
      <c r="S100" s="11">
        <v>52.669902909999998</v>
      </c>
    </row>
    <row r="101" spans="1:19" ht="15.5" x14ac:dyDescent="0.35">
      <c r="A101" s="19" t="s">
        <v>73</v>
      </c>
      <c r="B101" s="11" t="s">
        <v>28</v>
      </c>
      <c r="C101" s="11">
        <v>11.5</v>
      </c>
      <c r="D101" s="11">
        <v>15.202999999999999</v>
      </c>
      <c r="E101" s="11">
        <v>20.63</v>
      </c>
      <c r="F101" s="11">
        <v>15.430999999999999</v>
      </c>
      <c r="G101" s="11">
        <v>20.713999999999999</v>
      </c>
      <c r="H101" s="11">
        <v>0.22800000000000001</v>
      </c>
      <c r="I101" s="11">
        <v>0.14399999999999999</v>
      </c>
      <c r="J101" s="11">
        <v>21065618.199999999</v>
      </c>
      <c r="K101" s="11">
        <v>21.065618199999999</v>
      </c>
      <c r="L101" s="11">
        <v>153</v>
      </c>
      <c r="M101" s="11">
        <v>146.28901529999999</v>
      </c>
      <c r="N101" s="11">
        <v>1062.5</v>
      </c>
      <c r="O101" s="15">
        <v>1916</v>
      </c>
      <c r="P101" s="15">
        <v>1911</v>
      </c>
      <c r="Q101" s="11">
        <v>5</v>
      </c>
      <c r="R101" s="11">
        <v>14.62890153</v>
      </c>
      <c r="S101" s="11">
        <v>106.25</v>
      </c>
    </row>
    <row r="102" spans="1:19" ht="15.5" x14ac:dyDescent="0.35">
      <c r="A102" s="19" t="s">
        <v>73</v>
      </c>
      <c r="B102" s="11" t="s">
        <v>44</v>
      </c>
      <c r="C102" s="11">
        <v>12</v>
      </c>
      <c r="D102" s="11">
        <v>15.202999999999999</v>
      </c>
      <c r="E102" s="11">
        <v>20.63</v>
      </c>
      <c r="F102" s="11">
        <v>15.461</v>
      </c>
      <c r="G102" s="11">
        <v>20.648</v>
      </c>
      <c r="H102" s="11">
        <v>0.25800000000000001</v>
      </c>
      <c r="I102" s="11">
        <v>0.24</v>
      </c>
      <c r="J102" s="11">
        <v>28579175.699999999</v>
      </c>
      <c r="K102" s="11">
        <v>28.5791757</v>
      </c>
      <c r="L102" s="11">
        <v>237</v>
      </c>
      <c r="M102" s="11">
        <v>119.0798988</v>
      </c>
      <c r="N102" s="11">
        <v>987.5</v>
      </c>
      <c r="O102" s="15">
        <v>1911</v>
      </c>
      <c r="P102" s="15">
        <v>1906</v>
      </c>
      <c r="Q102" s="11">
        <v>5</v>
      </c>
      <c r="R102" s="11">
        <v>11.907989880000001</v>
      </c>
      <c r="S102" s="11">
        <v>98.75</v>
      </c>
    </row>
    <row r="103" spans="1:19" ht="15.5" x14ac:dyDescent="0.35">
      <c r="A103" s="19" t="s">
        <v>73</v>
      </c>
      <c r="B103" s="11" t="s">
        <v>45</v>
      </c>
      <c r="C103" s="11">
        <v>12.5</v>
      </c>
      <c r="D103" s="11">
        <v>15.202999999999999</v>
      </c>
      <c r="E103" s="11">
        <v>20.63</v>
      </c>
      <c r="F103" s="11">
        <v>15.542999999999999</v>
      </c>
      <c r="G103" s="11">
        <v>20.63</v>
      </c>
      <c r="H103" s="11">
        <v>0.34</v>
      </c>
      <c r="I103" s="11">
        <v>0.34</v>
      </c>
      <c r="J103" s="11">
        <v>34563723.399999999</v>
      </c>
      <c r="K103" s="11">
        <v>34.563723400000001</v>
      </c>
      <c r="L103" s="11">
        <v>117</v>
      </c>
      <c r="M103" s="11">
        <v>101.65801</v>
      </c>
      <c r="N103" s="11">
        <v>344.1176471</v>
      </c>
      <c r="O103" s="15">
        <v>1906</v>
      </c>
      <c r="P103" s="15">
        <v>1900</v>
      </c>
      <c r="Q103" s="11">
        <v>6</v>
      </c>
      <c r="R103" s="11">
        <v>8.4715008330000003</v>
      </c>
      <c r="S103" s="11">
        <v>28.676470590000001</v>
      </c>
    </row>
    <row r="104" spans="1:19" ht="15.5" x14ac:dyDescent="0.35">
      <c r="A104" s="19" t="s">
        <v>73</v>
      </c>
      <c r="B104" s="11" t="s">
        <v>46</v>
      </c>
      <c r="C104" s="11">
        <v>13</v>
      </c>
      <c r="D104" s="11">
        <v>15.202999999999999</v>
      </c>
      <c r="E104" s="11">
        <v>20.63</v>
      </c>
      <c r="F104" s="11">
        <v>15.366</v>
      </c>
      <c r="G104" s="11">
        <v>20.564</v>
      </c>
      <c r="H104" s="11">
        <v>0.16300000000000001</v>
      </c>
      <c r="I104" s="11">
        <v>0.22900000000000001</v>
      </c>
      <c r="J104" s="11">
        <v>30435472.199999999</v>
      </c>
      <c r="K104" s="11">
        <v>30.4354722</v>
      </c>
      <c r="L104" s="11">
        <v>198</v>
      </c>
      <c r="M104" s="11">
        <v>132.90599209999999</v>
      </c>
      <c r="N104" s="11">
        <v>864.62882100000002</v>
      </c>
      <c r="O104" s="15">
        <v>1900</v>
      </c>
      <c r="P104" s="15">
        <v>1895</v>
      </c>
      <c r="Q104" s="11">
        <v>5</v>
      </c>
      <c r="R104" s="11">
        <v>13.29059921</v>
      </c>
      <c r="S104" s="11">
        <v>86.462882100000002</v>
      </c>
    </row>
    <row r="105" spans="1:19" ht="15.5" x14ac:dyDescent="0.35">
      <c r="A105" s="19" t="s">
        <v>73</v>
      </c>
      <c r="B105" s="11" t="s">
        <v>47</v>
      </c>
      <c r="C105" s="11">
        <v>13.5</v>
      </c>
      <c r="D105" s="11">
        <v>15.202999999999999</v>
      </c>
      <c r="E105" s="11">
        <v>20.63</v>
      </c>
      <c r="F105" s="11">
        <v>15.487</v>
      </c>
      <c r="G105" s="11">
        <v>20.722999999999999</v>
      </c>
      <c r="H105" s="11">
        <v>0.28399999999999997</v>
      </c>
      <c r="I105" s="11">
        <v>0.191</v>
      </c>
      <c r="J105" s="11">
        <v>52970374.200000003</v>
      </c>
      <c r="K105" s="11">
        <v>52.970374200000002</v>
      </c>
      <c r="L105" s="11">
        <v>110</v>
      </c>
      <c r="M105" s="11">
        <v>277.3318021</v>
      </c>
      <c r="N105" s="11">
        <v>575.91623040000002</v>
      </c>
      <c r="O105" s="15">
        <v>1895</v>
      </c>
      <c r="P105" s="15">
        <v>1892</v>
      </c>
      <c r="Q105" s="11">
        <v>3</v>
      </c>
      <c r="R105" s="11">
        <v>46.221967020000001</v>
      </c>
      <c r="S105" s="11">
        <v>95.986038390000004</v>
      </c>
    </row>
    <row r="106" spans="1:19" ht="15.5" x14ac:dyDescent="0.35">
      <c r="A106" s="19" t="s">
        <v>73</v>
      </c>
      <c r="B106" s="11" t="s">
        <v>48</v>
      </c>
      <c r="C106" s="11">
        <v>14</v>
      </c>
      <c r="D106" s="11">
        <v>15.202999999999999</v>
      </c>
      <c r="E106" s="11">
        <v>20.629000000000001</v>
      </c>
      <c r="F106" s="11">
        <v>15.358000000000001</v>
      </c>
      <c r="G106" s="11">
        <v>20.661000000000001</v>
      </c>
      <c r="H106" s="11">
        <v>0.155</v>
      </c>
      <c r="I106" s="11">
        <v>0.123</v>
      </c>
      <c r="J106" s="11">
        <v>27116451</v>
      </c>
      <c r="K106" s="11">
        <v>27.116451000000001</v>
      </c>
      <c r="L106" s="11">
        <v>133</v>
      </c>
      <c r="M106" s="11">
        <v>220.4589512</v>
      </c>
      <c r="N106" s="11">
        <v>1081.3008130000001</v>
      </c>
      <c r="O106" s="15">
        <v>1892</v>
      </c>
      <c r="P106" s="15">
        <v>1890</v>
      </c>
      <c r="Q106" s="11">
        <v>2</v>
      </c>
      <c r="R106" s="11">
        <v>55.1147378</v>
      </c>
      <c r="S106" s="11">
        <v>270.3252033</v>
      </c>
    </row>
    <row r="107" spans="1:19" ht="15.5" x14ac:dyDescent="0.35">
      <c r="A107" s="19" t="s">
        <v>73</v>
      </c>
      <c r="B107" s="11" t="s">
        <v>49</v>
      </c>
      <c r="C107" s="11">
        <v>14.5</v>
      </c>
      <c r="D107" s="11">
        <v>15.202999999999999</v>
      </c>
      <c r="E107" s="11">
        <v>20.63</v>
      </c>
      <c r="F107" s="11">
        <v>15.379</v>
      </c>
      <c r="G107" s="11">
        <v>20.693000000000001</v>
      </c>
      <c r="H107" s="11">
        <v>0.17599999999999999</v>
      </c>
      <c r="I107" s="11">
        <v>0.113</v>
      </c>
      <c r="J107" s="11">
        <v>33327171.899999999</v>
      </c>
      <c r="K107" s="11">
        <v>33.327171900000003</v>
      </c>
      <c r="L107" s="11">
        <v>156</v>
      </c>
      <c r="M107" s="11">
        <v>294.93072480000001</v>
      </c>
      <c r="N107" s="11">
        <v>1380.5309729999999</v>
      </c>
      <c r="O107" s="15">
        <v>1890</v>
      </c>
      <c r="P107" s="15">
        <v>1887</v>
      </c>
      <c r="Q107" s="11">
        <v>3</v>
      </c>
      <c r="R107" s="11">
        <v>49.155120799999999</v>
      </c>
      <c r="S107" s="11">
        <v>230.08849559999999</v>
      </c>
    </row>
    <row r="108" spans="1:19" ht="15.5" x14ac:dyDescent="0.35">
      <c r="A108" s="19" t="s">
        <v>73</v>
      </c>
      <c r="B108" s="11" t="s">
        <v>50</v>
      </c>
      <c r="C108" s="11">
        <v>15</v>
      </c>
      <c r="D108" s="11">
        <v>15.202999999999999</v>
      </c>
      <c r="E108" s="11">
        <v>20.63</v>
      </c>
      <c r="F108" s="11">
        <v>15.516</v>
      </c>
      <c r="G108" s="11">
        <v>20.763000000000002</v>
      </c>
      <c r="H108" s="11">
        <v>0.313</v>
      </c>
      <c r="I108" s="11">
        <v>0.18</v>
      </c>
      <c r="J108" s="11">
        <v>60367025.299999997</v>
      </c>
      <c r="K108" s="11">
        <v>60.367025300000002</v>
      </c>
      <c r="L108" s="11">
        <v>240</v>
      </c>
      <c r="M108" s="11">
        <v>335.37236280000002</v>
      </c>
      <c r="N108" s="11">
        <v>1333.333333</v>
      </c>
      <c r="O108" s="15">
        <v>1887</v>
      </c>
      <c r="P108" s="15">
        <v>1884</v>
      </c>
      <c r="Q108" s="11">
        <v>3</v>
      </c>
      <c r="R108" s="11">
        <v>55.895393800000001</v>
      </c>
      <c r="S108" s="11">
        <v>222.2222222</v>
      </c>
    </row>
    <row r="109" spans="1:19" ht="15.5" x14ac:dyDescent="0.35">
      <c r="A109" s="19" t="s">
        <v>73</v>
      </c>
      <c r="B109" s="11" t="s">
        <v>51</v>
      </c>
      <c r="C109" s="11">
        <v>15.5</v>
      </c>
      <c r="D109" s="11">
        <v>15.202999999999999</v>
      </c>
      <c r="E109" s="11">
        <v>20.63</v>
      </c>
      <c r="F109" s="11">
        <v>15.444000000000001</v>
      </c>
      <c r="G109" s="11">
        <v>20.742999999999999</v>
      </c>
      <c r="H109" s="11">
        <v>0.24099999999999999</v>
      </c>
      <c r="I109" s="11">
        <v>0.128</v>
      </c>
      <c r="J109" s="11">
        <v>44230591.5</v>
      </c>
      <c r="K109" s="11">
        <v>44.230591500000003</v>
      </c>
      <c r="L109" s="11">
        <v>171</v>
      </c>
      <c r="M109" s="11">
        <v>345.55149610000001</v>
      </c>
      <c r="N109" s="11">
        <v>1335.9375</v>
      </c>
      <c r="O109" s="15">
        <v>1884</v>
      </c>
      <c r="P109" s="15">
        <v>1881</v>
      </c>
      <c r="Q109" s="11">
        <v>3</v>
      </c>
      <c r="R109" s="11">
        <v>57.591916019999999</v>
      </c>
      <c r="S109" s="11">
        <v>222.65625</v>
      </c>
    </row>
    <row r="110" spans="1:19" ht="15.5" x14ac:dyDescent="0.35">
      <c r="A110" s="19" t="s">
        <v>73</v>
      </c>
      <c r="B110" s="11" t="s">
        <v>52</v>
      </c>
      <c r="C110" s="11">
        <v>16</v>
      </c>
      <c r="D110" s="11">
        <v>15.202999999999999</v>
      </c>
      <c r="E110" s="11">
        <v>20.63</v>
      </c>
      <c r="F110" s="11">
        <v>15.411</v>
      </c>
      <c r="G110" s="11">
        <v>20.727</v>
      </c>
      <c r="H110" s="11">
        <v>0.20799999999999999</v>
      </c>
      <c r="I110" s="11">
        <v>0.111</v>
      </c>
      <c r="J110" s="11">
        <v>68285185.900000006</v>
      </c>
      <c r="K110" s="11">
        <v>68.285185900000002</v>
      </c>
      <c r="L110" s="11">
        <v>239</v>
      </c>
      <c r="M110" s="11">
        <v>615.18185500000004</v>
      </c>
      <c r="N110" s="11">
        <v>2153.1531530000002</v>
      </c>
      <c r="O110" s="15">
        <v>1881</v>
      </c>
      <c r="P110" s="15">
        <v>1879</v>
      </c>
      <c r="Q110" s="11">
        <v>2</v>
      </c>
      <c r="R110" s="11">
        <v>153.7954637</v>
      </c>
      <c r="S110" s="11">
        <v>538.28828829999998</v>
      </c>
    </row>
    <row r="111" spans="1:19" ht="15.5" x14ac:dyDescent="0.35">
      <c r="A111" s="19" t="s">
        <v>73</v>
      </c>
      <c r="B111" s="11" t="s">
        <v>53</v>
      </c>
      <c r="C111" s="11">
        <v>16.5</v>
      </c>
      <c r="D111" s="11">
        <v>15.202</v>
      </c>
      <c r="E111" s="11">
        <v>20.63</v>
      </c>
      <c r="F111" s="11">
        <v>15.427</v>
      </c>
      <c r="G111" s="11">
        <v>20.687999999999999</v>
      </c>
      <c r="H111" s="11">
        <v>0.22500000000000001</v>
      </c>
      <c r="I111" s="11">
        <v>0.16700000000000001</v>
      </c>
      <c r="J111" s="11">
        <v>85577548.799999997</v>
      </c>
      <c r="K111" s="11">
        <v>85.577548800000002</v>
      </c>
      <c r="L111" s="11">
        <v>96</v>
      </c>
      <c r="M111" s="11">
        <v>512.44041200000004</v>
      </c>
      <c r="N111" s="11">
        <v>574.85029940000004</v>
      </c>
      <c r="O111" s="15">
        <v>1879</v>
      </c>
      <c r="P111" s="15">
        <v>1876</v>
      </c>
      <c r="Q111" s="11">
        <v>3</v>
      </c>
      <c r="R111" s="11">
        <v>85.406735330000004</v>
      </c>
      <c r="S111" s="11">
        <v>95.808383230000004</v>
      </c>
    </row>
    <row r="112" spans="1:19" ht="15.5" x14ac:dyDescent="0.35">
      <c r="A112" s="19" t="s">
        <v>73</v>
      </c>
      <c r="B112" s="11" t="s">
        <v>54</v>
      </c>
      <c r="C112" s="11">
        <v>17</v>
      </c>
      <c r="D112" s="11">
        <v>15.202</v>
      </c>
      <c r="E112" s="11">
        <v>20.629000000000001</v>
      </c>
      <c r="F112" s="11">
        <v>15.429</v>
      </c>
      <c r="G112" s="11">
        <v>20.702999999999999</v>
      </c>
      <c r="H112" s="11">
        <v>0.22700000000000001</v>
      </c>
      <c r="I112" s="11">
        <v>0.153</v>
      </c>
      <c r="J112" s="11">
        <v>46572245.299999997</v>
      </c>
      <c r="K112" s="11">
        <v>46.572245299999999</v>
      </c>
      <c r="L112" s="11">
        <v>81</v>
      </c>
      <c r="M112" s="11">
        <v>304.39376010000001</v>
      </c>
      <c r="N112" s="11">
        <v>529.41176470000005</v>
      </c>
      <c r="O112" s="15">
        <v>1876</v>
      </c>
      <c r="P112" s="15">
        <v>1873</v>
      </c>
      <c r="Q112" s="11">
        <v>3</v>
      </c>
      <c r="R112" s="11">
        <v>50.73229336</v>
      </c>
      <c r="S112" s="11">
        <v>88.235294120000006</v>
      </c>
    </row>
    <row r="113" spans="1:19" ht="15.5" x14ac:dyDescent="0.35">
      <c r="A113" s="19" t="s">
        <v>73</v>
      </c>
      <c r="B113" s="11" t="s">
        <v>55</v>
      </c>
      <c r="C113" s="11">
        <v>17.5</v>
      </c>
      <c r="D113" s="11">
        <v>15.202999999999999</v>
      </c>
      <c r="E113" s="11">
        <v>20.63</v>
      </c>
      <c r="F113" s="11">
        <v>15.377000000000001</v>
      </c>
      <c r="G113" s="11">
        <v>20.684000000000001</v>
      </c>
      <c r="H113" s="11">
        <v>0.17399999999999999</v>
      </c>
      <c r="I113" s="11">
        <v>0.12</v>
      </c>
      <c r="J113" s="11">
        <v>77078619.900000006</v>
      </c>
      <c r="K113" s="11">
        <v>77.078619900000007</v>
      </c>
      <c r="L113" s="11">
        <v>182</v>
      </c>
      <c r="M113" s="11">
        <v>642.32183250000003</v>
      </c>
      <c r="N113" s="11">
        <v>1516.666667</v>
      </c>
      <c r="O113" s="15">
        <v>1873</v>
      </c>
      <c r="P113" s="15">
        <v>1871</v>
      </c>
      <c r="Q113" s="11">
        <v>2</v>
      </c>
      <c r="R113" s="11">
        <v>160.58045809999999</v>
      </c>
      <c r="S113" s="11">
        <v>379.16666670000001</v>
      </c>
    </row>
    <row r="114" spans="1:19" ht="15.5" x14ac:dyDescent="0.35">
      <c r="A114" s="19" t="s">
        <v>73</v>
      </c>
      <c r="B114" s="11" t="s">
        <v>56</v>
      </c>
      <c r="C114" s="11">
        <v>18</v>
      </c>
      <c r="D114" s="11">
        <v>15.202</v>
      </c>
      <c r="E114" s="11">
        <v>20.629000000000001</v>
      </c>
      <c r="F114" s="11">
        <v>15.461</v>
      </c>
      <c r="G114" s="11">
        <v>20.783999999999999</v>
      </c>
      <c r="H114" s="11">
        <v>0.25900000000000001</v>
      </c>
      <c r="I114" s="11">
        <v>0.104</v>
      </c>
      <c r="J114" s="11">
        <v>63282003</v>
      </c>
      <c r="K114" s="11">
        <v>63.282003000000003</v>
      </c>
      <c r="L114" s="11">
        <v>189</v>
      </c>
      <c r="M114" s="11">
        <v>608.48079810000002</v>
      </c>
      <c r="N114" s="11">
        <v>1817.3076920000001</v>
      </c>
      <c r="O114" s="15">
        <v>1871</v>
      </c>
      <c r="P114" s="15">
        <v>1868</v>
      </c>
      <c r="Q114" s="11">
        <v>3</v>
      </c>
      <c r="R114" s="11">
        <v>101.4134663</v>
      </c>
      <c r="S114" s="11">
        <v>302.88461539999997</v>
      </c>
    </row>
    <row r="115" spans="1:19" ht="15.5" x14ac:dyDescent="0.35">
      <c r="A115" s="19" t="s">
        <v>73</v>
      </c>
      <c r="B115" s="11" t="s">
        <v>57</v>
      </c>
      <c r="C115" s="11">
        <v>18.5</v>
      </c>
      <c r="D115" s="11">
        <v>15.202999999999999</v>
      </c>
      <c r="E115" s="11">
        <v>20.629000000000001</v>
      </c>
      <c r="F115" s="11">
        <v>15.419</v>
      </c>
      <c r="G115" s="11">
        <v>20.661999999999999</v>
      </c>
      <c r="H115" s="11">
        <v>0.216</v>
      </c>
      <c r="I115" s="11">
        <v>0.183</v>
      </c>
      <c r="J115" s="11">
        <v>39066742.100000001</v>
      </c>
      <c r="K115" s="11">
        <v>39.066742099999999</v>
      </c>
      <c r="L115" s="11">
        <v>177</v>
      </c>
      <c r="M115" s="11">
        <v>213.479465</v>
      </c>
      <c r="N115" s="11">
        <v>967.21311479999997</v>
      </c>
      <c r="O115" s="15">
        <v>1868</v>
      </c>
      <c r="P115" s="15">
        <v>1865</v>
      </c>
      <c r="Q115" s="11">
        <v>3</v>
      </c>
      <c r="R115" s="11">
        <v>35.579910839999997</v>
      </c>
      <c r="S115" s="11">
        <v>161.2021858</v>
      </c>
    </row>
    <row r="116" spans="1:19" ht="15.5" x14ac:dyDescent="0.35">
      <c r="A116" s="19" t="s">
        <v>73</v>
      </c>
      <c r="B116" s="11" t="s">
        <v>58</v>
      </c>
      <c r="C116" s="11">
        <v>19</v>
      </c>
      <c r="D116" s="11">
        <v>15.202999999999999</v>
      </c>
      <c r="E116" s="11">
        <v>20.629000000000001</v>
      </c>
      <c r="F116" s="11">
        <v>15.58</v>
      </c>
      <c r="G116" s="11">
        <v>20.814</v>
      </c>
      <c r="H116" s="11">
        <v>0.377</v>
      </c>
      <c r="I116" s="11">
        <v>0.192</v>
      </c>
      <c r="J116" s="11">
        <v>64534186.299999997</v>
      </c>
      <c r="K116" s="11">
        <v>64.534186300000002</v>
      </c>
      <c r="L116" s="11">
        <v>330</v>
      </c>
      <c r="M116" s="11">
        <v>336.1155536</v>
      </c>
      <c r="N116" s="11">
        <v>1718.75</v>
      </c>
      <c r="O116" s="15">
        <v>1865</v>
      </c>
      <c r="P116" s="15">
        <v>1863</v>
      </c>
      <c r="Q116" s="11">
        <v>2</v>
      </c>
      <c r="R116" s="11">
        <v>84.028888409999993</v>
      </c>
      <c r="S116" s="11">
        <v>429.6875</v>
      </c>
    </row>
    <row r="117" spans="1:19" ht="15.5" x14ac:dyDescent="0.35">
      <c r="A117" s="19" t="s">
        <v>73</v>
      </c>
      <c r="B117" s="11" t="s">
        <v>59</v>
      </c>
      <c r="C117" s="11">
        <v>19.5</v>
      </c>
      <c r="D117" s="11">
        <v>15.202999999999999</v>
      </c>
      <c r="E117" s="11">
        <v>20.629000000000001</v>
      </c>
      <c r="F117" s="11">
        <v>15.542</v>
      </c>
      <c r="G117" s="11">
        <v>20.792000000000002</v>
      </c>
      <c r="H117" s="11">
        <v>0.33900000000000002</v>
      </c>
      <c r="I117" s="11">
        <v>0.17599999999999999</v>
      </c>
      <c r="J117" s="11">
        <v>53280000</v>
      </c>
      <c r="K117" s="11">
        <v>53.28</v>
      </c>
      <c r="L117" s="11">
        <v>313</v>
      </c>
      <c r="M117" s="11">
        <v>302.72727270000001</v>
      </c>
      <c r="N117" s="11">
        <v>1778.409091</v>
      </c>
      <c r="O117" s="15">
        <v>1863</v>
      </c>
      <c r="P117" s="15">
        <v>1860</v>
      </c>
      <c r="Q117" s="11">
        <v>3</v>
      </c>
      <c r="R117" s="11">
        <v>50.454545449999998</v>
      </c>
      <c r="S117" s="11">
        <v>296.40151520000001</v>
      </c>
    </row>
    <row r="118" spans="1:19" ht="15.5" x14ac:dyDescent="0.35">
      <c r="A118" s="19" t="s">
        <v>73</v>
      </c>
      <c r="B118" s="11" t="s">
        <v>60</v>
      </c>
      <c r="C118" s="11">
        <v>20</v>
      </c>
      <c r="D118" s="11">
        <v>15.202999999999999</v>
      </c>
      <c r="E118" s="11">
        <v>20.63</v>
      </c>
      <c r="F118" s="11">
        <v>15.428000000000001</v>
      </c>
      <c r="G118" s="11">
        <v>20.722000000000001</v>
      </c>
      <c r="H118" s="11">
        <v>0.22500000000000001</v>
      </c>
      <c r="I118" s="11">
        <v>0.13300000000000001</v>
      </c>
      <c r="J118" s="11">
        <v>31119848.100000001</v>
      </c>
      <c r="K118" s="11">
        <v>31.119848099999999</v>
      </c>
      <c r="L118" s="11">
        <v>224</v>
      </c>
      <c r="M118" s="11">
        <v>233.98382029999999</v>
      </c>
      <c r="N118" s="11">
        <v>1684.2105260000001</v>
      </c>
      <c r="O118" s="15">
        <v>1860</v>
      </c>
      <c r="P118" s="15">
        <v>1857</v>
      </c>
      <c r="Q118" s="11">
        <v>3</v>
      </c>
      <c r="R118" s="11">
        <v>38.997303379999998</v>
      </c>
      <c r="S118" s="11">
        <v>280.70175440000003</v>
      </c>
    </row>
    <row r="119" spans="1:19" ht="15.5" x14ac:dyDescent="0.35">
      <c r="A119" s="19" t="s">
        <v>73</v>
      </c>
      <c r="B119" s="11" t="s">
        <v>61</v>
      </c>
      <c r="C119" s="11">
        <v>20.5</v>
      </c>
      <c r="D119" s="11">
        <v>15.202999999999999</v>
      </c>
      <c r="E119" s="11">
        <v>20.63</v>
      </c>
      <c r="F119" s="11">
        <v>15.53</v>
      </c>
      <c r="G119" s="11">
        <v>20.760999999999999</v>
      </c>
      <c r="H119" s="11">
        <v>0.32700000000000001</v>
      </c>
      <c r="I119" s="11">
        <v>0.19600000000000001</v>
      </c>
      <c r="J119" s="11">
        <v>74085000</v>
      </c>
      <c r="K119" s="11">
        <v>74.084999999999994</v>
      </c>
      <c r="L119" s="11">
        <v>269</v>
      </c>
      <c r="M119" s="11">
        <v>377.98469390000002</v>
      </c>
      <c r="N119" s="11">
        <v>1372.4489799999999</v>
      </c>
      <c r="O119" s="15">
        <v>1857</v>
      </c>
      <c r="P119" s="15">
        <v>1854</v>
      </c>
      <c r="Q119" s="11">
        <v>3</v>
      </c>
      <c r="R119" s="11">
        <v>62.997448980000001</v>
      </c>
      <c r="S119" s="11">
        <v>228.7414966</v>
      </c>
    </row>
    <row r="120" spans="1:19" ht="15.5" x14ac:dyDescent="0.35">
      <c r="A120" s="19" t="s">
        <v>73</v>
      </c>
      <c r="B120" s="11" t="s">
        <v>62</v>
      </c>
      <c r="C120" s="11">
        <v>21</v>
      </c>
      <c r="D120" s="11">
        <v>15.202999999999999</v>
      </c>
      <c r="E120" s="11">
        <v>20.629000000000001</v>
      </c>
      <c r="F120" s="11">
        <v>15.587</v>
      </c>
      <c r="G120" s="11">
        <v>20.803000000000001</v>
      </c>
      <c r="H120" s="11">
        <v>0.38400000000000001</v>
      </c>
      <c r="I120" s="11">
        <v>0.21</v>
      </c>
      <c r="J120" s="11">
        <v>56853877.799999997</v>
      </c>
      <c r="K120" s="11">
        <v>56.853877799999999</v>
      </c>
      <c r="L120" s="11">
        <v>231</v>
      </c>
      <c r="M120" s="11">
        <v>270.73275139999998</v>
      </c>
      <c r="N120" s="11">
        <v>1100</v>
      </c>
      <c r="O120" s="15">
        <v>1854</v>
      </c>
      <c r="P120" s="15">
        <v>1852</v>
      </c>
      <c r="Q120" s="11">
        <v>2</v>
      </c>
      <c r="R120" s="11">
        <v>67.683187860000004</v>
      </c>
      <c r="S120" s="11">
        <v>275</v>
      </c>
    </row>
    <row r="121" spans="1:19" ht="15.5" x14ac:dyDescent="0.35">
      <c r="A121" s="19" t="s">
        <v>73</v>
      </c>
      <c r="B121" s="11" t="s">
        <v>63</v>
      </c>
      <c r="C121" s="11">
        <v>21.5</v>
      </c>
      <c r="D121" s="11">
        <v>15.202999999999999</v>
      </c>
      <c r="E121" s="11">
        <v>20.629000000000001</v>
      </c>
      <c r="F121" s="11">
        <v>15.574999999999999</v>
      </c>
      <c r="G121" s="11">
        <v>20.754999999999999</v>
      </c>
      <c r="H121" s="11">
        <v>0.372</v>
      </c>
      <c r="I121" s="11">
        <v>0.246</v>
      </c>
      <c r="J121" s="11">
        <v>62742322.399999999</v>
      </c>
      <c r="K121" s="11">
        <v>62.742322399999999</v>
      </c>
      <c r="L121" s="11">
        <v>255</v>
      </c>
      <c r="M121" s="11">
        <v>255.0500911</v>
      </c>
      <c r="N121" s="11">
        <v>1036.585366</v>
      </c>
      <c r="O121" s="15">
        <v>1852</v>
      </c>
      <c r="P121" s="15">
        <v>1849</v>
      </c>
      <c r="Q121" s="11">
        <v>3</v>
      </c>
      <c r="R121" s="11">
        <v>42.508348509999998</v>
      </c>
      <c r="S121" s="11">
        <v>172.7642276</v>
      </c>
    </row>
    <row r="122" spans="1:19" ht="15.5" x14ac:dyDescent="0.35">
      <c r="A122" s="19" t="s">
        <v>73</v>
      </c>
      <c r="B122" s="11" t="s">
        <v>64</v>
      </c>
      <c r="C122" s="11">
        <v>22</v>
      </c>
      <c r="D122" s="11">
        <v>15.202999999999999</v>
      </c>
      <c r="E122" s="11">
        <v>20.629000000000001</v>
      </c>
      <c r="F122" s="11">
        <v>15.564</v>
      </c>
      <c r="G122" s="11">
        <v>20.872</v>
      </c>
      <c r="H122" s="11">
        <v>0.36099999999999999</v>
      </c>
      <c r="I122" s="11">
        <v>0.11799999999999999</v>
      </c>
      <c r="J122" s="11">
        <v>72922322.400000006</v>
      </c>
      <c r="K122" s="11">
        <v>72.922322399999999</v>
      </c>
      <c r="L122" s="11">
        <v>203</v>
      </c>
      <c r="M122" s="11">
        <v>617.98578310000005</v>
      </c>
      <c r="N122" s="11">
        <v>1720.3389830000001</v>
      </c>
      <c r="O122" s="15">
        <v>1849</v>
      </c>
      <c r="P122" s="15">
        <v>1846</v>
      </c>
      <c r="Q122" s="11">
        <v>3</v>
      </c>
      <c r="R122" s="11">
        <v>102.9976305</v>
      </c>
      <c r="S122" s="11">
        <v>286.72316380000001</v>
      </c>
    </row>
    <row r="123" spans="1:19" ht="15.5" x14ac:dyDescent="0.35">
      <c r="A123" s="19" t="s">
        <v>73</v>
      </c>
      <c r="B123" s="11" t="s">
        <v>65</v>
      </c>
      <c r="C123" s="11">
        <v>22.5</v>
      </c>
      <c r="D123" s="11">
        <v>15.202999999999999</v>
      </c>
      <c r="E123" s="11">
        <v>20.629000000000001</v>
      </c>
      <c r="F123" s="11">
        <v>15.538</v>
      </c>
      <c r="G123" s="11">
        <v>20.766999999999999</v>
      </c>
      <c r="H123" s="11">
        <v>0.33500000000000002</v>
      </c>
      <c r="I123" s="11">
        <v>0.19700000000000001</v>
      </c>
      <c r="J123" s="11">
        <v>30943467.899999999</v>
      </c>
      <c r="K123" s="11">
        <v>30.943467900000002</v>
      </c>
      <c r="L123" s="11">
        <v>152</v>
      </c>
      <c r="M123" s="11">
        <v>157.0734411</v>
      </c>
      <c r="N123" s="11">
        <v>771.57360410000001</v>
      </c>
      <c r="O123" s="15">
        <v>1846</v>
      </c>
      <c r="P123" s="15">
        <v>1844</v>
      </c>
      <c r="Q123" s="11">
        <v>2</v>
      </c>
      <c r="R123" s="11">
        <v>39.268360280000003</v>
      </c>
      <c r="S123" s="11">
        <v>192.89340100000001</v>
      </c>
    </row>
    <row r="124" spans="1:19" ht="15.5" x14ac:dyDescent="0.35">
      <c r="A124" s="19" t="s">
        <v>73</v>
      </c>
      <c r="B124" s="11" t="s">
        <v>66</v>
      </c>
      <c r="C124" s="11">
        <v>23</v>
      </c>
      <c r="D124" s="11">
        <v>15.202999999999999</v>
      </c>
      <c r="E124" s="11">
        <v>20.629000000000001</v>
      </c>
      <c r="F124" s="11">
        <v>15.488</v>
      </c>
      <c r="G124" s="11">
        <v>20.738</v>
      </c>
      <c r="H124" s="11">
        <v>0.28499999999999998</v>
      </c>
      <c r="I124" s="11">
        <v>0.17599999999999999</v>
      </c>
      <c r="J124" s="11">
        <v>6473781.4699999997</v>
      </c>
      <c r="K124" s="11">
        <v>6.4737814699999996</v>
      </c>
      <c r="L124" s="11">
        <v>75</v>
      </c>
      <c r="M124" s="11">
        <v>36.782849259999999</v>
      </c>
      <c r="N124" s="11">
        <v>426.13636359999998</v>
      </c>
      <c r="O124" s="15">
        <v>1844</v>
      </c>
      <c r="P124" s="15">
        <v>1841</v>
      </c>
      <c r="Q124" s="11">
        <v>3</v>
      </c>
      <c r="R124" s="11">
        <v>6.1304748770000002</v>
      </c>
      <c r="S124" s="11">
        <v>71.022727270000004</v>
      </c>
    </row>
    <row r="125" spans="1:19" ht="15.5" x14ac:dyDescent="0.35">
      <c r="A125" s="19" t="s">
        <v>73</v>
      </c>
      <c r="B125" s="11" t="s">
        <v>67</v>
      </c>
      <c r="C125" s="11">
        <v>23.5</v>
      </c>
      <c r="D125" s="11">
        <v>15.202999999999999</v>
      </c>
      <c r="E125" s="11">
        <v>20.629000000000001</v>
      </c>
      <c r="F125" s="11">
        <v>15.648999999999999</v>
      </c>
      <c r="G125" s="11">
        <v>20.786999999999999</v>
      </c>
      <c r="H125" s="11">
        <v>0.44600000000000001</v>
      </c>
      <c r="I125" s="11">
        <v>0.28799999999999998</v>
      </c>
      <c r="J125" s="11">
        <v>18928003.899999999</v>
      </c>
      <c r="K125" s="11">
        <v>18.9280039</v>
      </c>
      <c r="L125" s="11">
        <v>90</v>
      </c>
      <c r="M125" s="11">
        <v>65.722235760000004</v>
      </c>
      <c r="N125" s="11">
        <v>312.5</v>
      </c>
      <c r="O125" s="15">
        <v>1841</v>
      </c>
      <c r="P125" s="11">
        <v>1838</v>
      </c>
      <c r="Q125" s="11">
        <v>3</v>
      </c>
      <c r="R125" s="11">
        <v>10.953705960000001</v>
      </c>
      <c r="S125" s="11">
        <v>52.083333330000002</v>
      </c>
    </row>
    <row r="126" spans="1:19" ht="15.5" x14ac:dyDescent="0.35">
      <c r="A126" s="19" t="s">
        <v>74</v>
      </c>
      <c r="B126" s="11" t="s">
        <v>5</v>
      </c>
      <c r="C126" s="15">
        <v>0</v>
      </c>
      <c r="D126" s="11">
        <v>15.19</v>
      </c>
      <c r="E126" s="15">
        <v>20.617999999999999</v>
      </c>
      <c r="F126" s="15">
        <v>15.451000000000001</v>
      </c>
      <c r="G126" s="15">
        <v>20.425000000000001</v>
      </c>
      <c r="H126" s="15">
        <v>0.45400000000000001</v>
      </c>
      <c r="I126" s="15">
        <v>0.26100000000000001</v>
      </c>
      <c r="J126" s="15">
        <v>54689649.590000004</v>
      </c>
      <c r="K126" s="15">
        <v>54.689649590000002</v>
      </c>
      <c r="L126" s="15">
        <v>342</v>
      </c>
      <c r="M126" s="15">
        <v>120.4617832</v>
      </c>
      <c r="N126" s="15">
        <v>753.30396480000002</v>
      </c>
      <c r="O126" s="15">
        <v>2021</v>
      </c>
      <c r="P126" s="15">
        <v>2020</v>
      </c>
      <c r="Q126" s="15">
        <v>1</v>
      </c>
      <c r="R126" s="15">
        <v>60.230891620000001</v>
      </c>
      <c r="S126" s="11">
        <v>376.65198240000001</v>
      </c>
    </row>
    <row r="127" spans="1:19" ht="15.5" x14ac:dyDescent="0.35">
      <c r="A127" s="19" t="s">
        <v>74</v>
      </c>
      <c r="B127" s="11" t="s">
        <v>6</v>
      </c>
      <c r="C127" s="15">
        <v>0.5</v>
      </c>
      <c r="D127" s="11">
        <v>15.191000000000001</v>
      </c>
      <c r="E127" s="15">
        <v>20.619</v>
      </c>
      <c r="F127" s="15">
        <v>15.605</v>
      </c>
      <c r="G127" s="15">
        <v>20.300999999999998</v>
      </c>
      <c r="H127" s="15">
        <v>0.73199999999999998</v>
      </c>
      <c r="I127" s="15">
        <v>0.41399999999999998</v>
      </c>
      <c r="J127" s="15">
        <v>55782575.200000003</v>
      </c>
      <c r="K127" s="15">
        <v>55.782575199999997</v>
      </c>
      <c r="L127" s="15">
        <v>335</v>
      </c>
      <c r="M127" s="15">
        <v>76.205703830000004</v>
      </c>
      <c r="N127" s="15">
        <v>457.65027320000002</v>
      </c>
      <c r="O127" s="15">
        <v>2020</v>
      </c>
      <c r="P127" s="15">
        <v>2020</v>
      </c>
      <c r="Q127" s="15">
        <v>0</v>
      </c>
      <c r="R127" s="15">
        <v>0</v>
      </c>
      <c r="S127" s="11">
        <v>0</v>
      </c>
    </row>
    <row r="128" spans="1:19" ht="15.5" x14ac:dyDescent="0.35">
      <c r="A128" s="19" t="s">
        <v>74</v>
      </c>
      <c r="B128" s="11" t="s">
        <v>7</v>
      </c>
      <c r="C128" s="15">
        <v>1</v>
      </c>
      <c r="D128" s="11">
        <v>15.191000000000001</v>
      </c>
      <c r="E128" s="15">
        <v>20.619</v>
      </c>
      <c r="F128" s="15">
        <v>15.523</v>
      </c>
      <c r="G128" s="15">
        <v>20.472000000000001</v>
      </c>
      <c r="H128" s="15">
        <v>0.47899999999999998</v>
      </c>
      <c r="I128" s="15">
        <v>0.33200000000000002</v>
      </c>
      <c r="J128" s="15">
        <v>31883643.309999999</v>
      </c>
      <c r="K128" s="15">
        <v>31.88364331</v>
      </c>
      <c r="L128" s="15">
        <v>142</v>
      </c>
      <c r="M128" s="15">
        <v>66.562929659999995</v>
      </c>
      <c r="N128" s="15">
        <v>296.4509395</v>
      </c>
      <c r="O128" s="15">
        <v>2020</v>
      </c>
      <c r="P128" s="15">
        <v>2019</v>
      </c>
      <c r="Q128" s="15">
        <v>1</v>
      </c>
      <c r="R128" s="15">
        <v>33.281464829999997</v>
      </c>
      <c r="S128" s="11">
        <v>148.22546969999999</v>
      </c>
    </row>
    <row r="129" spans="1:19" ht="15.5" x14ac:dyDescent="0.35">
      <c r="A129" s="19" t="s">
        <v>74</v>
      </c>
      <c r="B129" s="11" t="s">
        <v>8</v>
      </c>
      <c r="C129" s="15">
        <v>1.5</v>
      </c>
      <c r="D129" s="11">
        <v>15.191000000000001</v>
      </c>
      <c r="E129" s="15">
        <v>20.619</v>
      </c>
      <c r="F129" s="15">
        <v>15.401999999999999</v>
      </c>
      <c r="G129" s="15">
        <v>20.472999999999999</v>
      </c>
      <c r="H129" s="15">
        <v>0.35699999999999998</v>
      </c>
      <c r="I129" s="15">
        <v>0.21099999999999999</v>
      </c>
      <c r="J129" s="15">
        <v>107672086.7</v>
      </c>
      <c r="K129" s="15">
        <v>107.67208669999999</v>
      </c>
      <c r="L129" s="15">
        <v>532</v>
      </c>
      <c r="M129" s="15">
        <v>301.60248380000002</v>
      </c>
      <c r="N129" s="15">
        <v>1490.1960779999999</v>
      </c>
      <c r="O129" s="15">
        <v>2019</v>
      </c>
      <c r="P129" s="15">
        <v>2019</v>
      </c>
      <c r="Q129" s="15">
        <v>0</v>
      </c>
      <c r="R129" s="15">
        <v>0</v>
      </c>
      <c r="S129" s="11">
        <v>0</v>
      </c>
    </row>
    <row r="130" spans="1:19" ht="15.5" x14ac:dyDescent="0.35">
      <c r="A130" s="19" t="s">
        <v>74</v>
      </c>
      <c r="B130" s="11" t="s">
        <v>9</v>
      </c>
      <c r="C130" s="15">
        <v>2</v>
      </c>
      <c r="D130" s="11">
        <v>15.191000000000001</v>
      </c>
      <c r="E130" s="15">
        <v>20.619</v>
      </c>
      <c r="F130" s="15">
        <v>15.581</v>
      </c>
      <c r="G130" s="15">
        <v>20.742999999999999</v>
      </c>
      <c r="H130" s="15">
        <v>0.26600000000000001</v>
      </c>
      <c r="I130" s="15">
        <v>0.39</v>
      </c>
      <c r="J130" s="15">
        <v>72038698.569999993</v>
      </c>
      <c r="K130" s="15">
        <v>72.038698569999994</v>
      </c>
      <c r="L130" s="15">
        <v>311</v>
      </c>
      <c r="M130" s="15">
        <v>270.82217509999998</v>
      </c>
      <c r="N130" s="15">
        <v>1169.1729319999999</v>
      </c>
      <c r="O130" s="15">
        <v>2019</v>
      </c>
      <c r="P130" s="15">
        <v>2019</v>
      </c>
      <c r="Q130" s="15">
        <v>0</v>
      </c>
      <c r="R130" s="15">
        <v>0</v>
      </c>
      <c r="S130" s="11">
        <v>0</v>
      </c>
    </row>
    <row r="131" spans="1:19" ht="15.5" x14ac:dyDescent="0.35">
      <c r="A131" s="19" t="s">
        <v>74</v>
      </c>
      <c r="B131" s="11" t="s">
        <v>10</v>
      </c>
      <c r="C131" s="15">
        <v>2.5</v>
      </c>
      <c r="D131" s="11">
        <v>15.19</v>
      </c>
      <c r="E131" s="15">
        <v>20.617999999999999</v>
      </c>
      <c r="F131" s="15">
        <v>15.398</v>
      </c>
      <c r="G131" s="15">
        <v>20.437000000000001</v>
      </c>
      <c r="H131" s="15">
        <v>0.38900000000000001</v>
      </c>
      <c r="I131" s="15">
        <v>0.20799999999999999</v>
      </c>
      <c r="J131" s="11">
        <v>48728928.759999998</v>
      </c>
      <c r="K131" s="15">
        <v>48.728928760000002</v>
      </c>
      <c r="L131" s="15">
        <v>207</v>
      </c>
      <c r="M131" s="15">
        <v>125.2671691</v>
      </c>
      <c r="N131" s="15">
        <v>532.1336761</v>
      </c>
      <c r="O131" s="15">
        <v>2019</v>
      </c>
      <c r="P131" s="15">
        <v>1996</v>
      </c>
      <c r="Q131" s="15">
        <v>23</v>
      </c>
      <c r="R131" s="15">
        <v>2.7231993270000001</v>
      </c>
      <c r="S131" s="11">
        <v>11.56812339</v>
      </c>
    </row>
    <row r="132" spans="1:19" ht="15.5" x14ac:dyDescent="0.35">
      <c r="A132" s="19" t="s">
        <v>74</v>
      </c>
      <c r="B132" s="11" t="s">
        <v>11</v>
      </c>
      <c r="C132" s="15">
        <v>3</v>
      </c>
      <c r="D132" s="11">
        <v>15.191000000000001</v>
      </c>
      <c r="E132" s="15">
        <v>20.617999999999999</v>
      </c>
      <c r="F132" s="15">
        <v>15.552</v>
      </c>
      <c r="G132" s="15">
        <v>20.792999999999999</v>
      </c>
      <c r="H132" s="15">
        <v>0.186</v>
      </c>
      <c r="I132" s="15">
        <v>0.36099999999999999</v>
      </c>
      <c r="J132" s="11">
        <v>47100095.780000001</v>
      </c>
      <c r="K132" s="15">
        <v>47.100095779999997</v>
      </c>
      <c r="L132" s="15">
        <v>150</v>
      </c>
      <c r="M132" s="15">
        <v>253.22632139999999</v>
      </c>
      <c r="N132" s="15">
        <v>806.45161289999999</v>
      </c>
      <c r="O132" s="15">
        <v>1996</v>
      </c>
      <c r="P132" s="15">
        <v>1974</v>
      </c>
      <c r="Q132" s="15">
        <v>22</v>
      </c>
      <c r="R132" s="15">
        <v>5.7551436679999997</v>
      </c>
      <c r="S132" s="11">
        <v>18.32844575</v>
      </c>
    </row>
    <row r="133" spans="1:19" ht="15.5" x14ac:dyDescent="0.35">
      <c r="A133" s="19" t="s">
        <v>74</v>
      </c>
      <c r="B133" s="11" t="s">
        <v>12</v>
      </c>
      <c r="C133" s="15">
        <v>3.5</v>
      </c>
      <c r="D133" s="11">
        <v>15.191000000000001</v>
      </c>
      <c r="E133" s="15">
        <v>20.617999999999999</v>
      </c>
      <c r="F133" s="15">
        <v>15.551</v>
      </c>
      <c r="G133" s="15">
        <v>20.035</v>
      </c>
      <c r="H133" s="15">
        <v>0.94299999999999995</v>
      </c>
      <c r="I133" s="15">
        <v>0.36</v>
      </c>
      <c r="J133" s="15">
        <v>21198577.469999999</v>
      </c>
      <c r="K133" s="15">
        <v>21.19857747</v>
      </c>
      <c r="L133" s="15">
        <v>70</v>
      </c>
      <c r="M133" s="15">
        <v>22.479933689999999</v>
      </c>
      <c r="N133" s="15">
        <v>74.231177090000003</v>
      </c>
      <c r="O133" s="15">
        <v>1974</v>
      </c>
      <c r="P133" s="15">
        <v>1952</v>
      </c>
      <c r="Q133" s="15">
        <v>22</v>
      </c>
      <c r="R133" s="15">
        <v>0.51090758400000003</v>
      </c>
      <c r="S133" s="11">
        <v>1.6870722069999999</v>
      </c>
    </row>
    <row r="134" spans="1:19" ht="15.5" x14ac:dyDescent="0.35">
      <c r="A134" s="19" t="s">
        <v>74</v>
      </c>
      <c r="B134" s="11" t="s">
        <v>13</v>
      </c>
      <c r="C134" s="15">
        <v>4</v>
      </c>
      <c r="D134" s="11">
        <v>15.19</v>
      </c>
      <c r="E134" s="15">
        <v>20.617999999999999</v>
      </c>
      <c r="F134" s="15">
        <v>15.398999999999999</v>
      </c>
      <c r="G134" s="15">
        <v>20.632000000000001</v>
      </c>
      <c r="H134" s="15">
        <v>0.19500000000000001</v>
      </c>
      <c r="I134" s="15">
        <v>0.20899999999999999</v>
      </c>
      <c r="J134" s="15">
        <v>14977064.220000001</v>
      </c>
      <c r="K134" s="15">
        <v>14.977064220000001</v>
      </c>
      <c r="L134" s="15">
        <v>54</v>
      </c>
      <c r="M134" s="15">
        <v>76.80545755</v>
      </c>
      <c r="N134" s="15">
        <v>276.92307690000001</v>
      </c>
      <c r="O134" s="15">
        <v>1952</v>
      </c>
      <c r="P134" s="15">
        <v>1929</v>
      </c>
      <c r="Q134" s="15">
        <v>23</v>
      </c>
      <c r="R134" s="15">
        <v>1.6696838599999999</v>
      </c>
      <c r="S134" s="11">
        <v>6.0200668899999998</v>
      </c>
    </row>
    <row r="135" spans="1:19" ht="15.5" x14ac:dyDescent="0.35">
      <c r="A135" s="19" t="s">
        <v>74</v>
      </c>
      <c r="B135" s="11" t="s">
        <v>14</v>
      </c>
      <c r="C135" s="15">
        <v>4.5</v>
      </c>
      <c r="D135" s="11">
        <v>15.19</v>
      </c>
      <c r="E135" s="15">
        <v>20.619</v>
      </c>
      <c r="F135" s="15">
        <v>15.563000000000001</v>
      </c>
      <c r="G135" s="15">
        <v>20.704999999999998</v>
      </c>
      <c r="H135" s="15">
        <v>0.28699999999999998</v>
      </c>
      <c r="I135" s="15">
        <v>0.373</v>
      </c>
      <c r="J135" s="15">
        <v>32779818.390000001</v>
      </c>
      <c r="K135" s="15">
        <v>32.779818390000003</v>
      </c>
      <c r="L135" s="15">
        <v>176</v>
      </c>
      <c r="M135" s="15">
        <v>114.21539509999999</v>
      </c>
      <c r="N135" s="15">
        <v>613.24041810000006</v>
      </c>
      <c r="O135" s="15">
        <v>1929</v>
      </c>
      <c r="P135" s="15">
        <v>1907</v>
      </c>
      <c r="Q135" s="15">
        <v>22</v>
      </c>
      <c r="R135" s="15">
        <v>2.5958044340000002</v>
      </c>
      <c r="S135" s="11">
        <v>13.937282229999999</v>
      </c>
    </row>
    <row r="136" spans="1:19" ht="15.5" x14ac:dyDescent="0.35">
      <c r="A136" s="19" t="s">
        <v>74</v>
      </c>
      <c r="B136" s="11" t="s">
        <v>15</v>
      </c>
      <c r="C136" s="15">
        <v>5</v>
      </c>
      <c r="D136" s="11">
        <v>15.19</v>
      </c>
      <c r="E136" s="15">
        <v>20.619</v>
      </c>
      <c r="F136" s="15">
        <v>15.365</v>
      </c>
      <c r="G136" s="15">
        <v>20.513999999999999</v>
      </c>
      <c r="H136" s="15">
        <v>0.28000000000000003</v>
      </c>
      <c r="I136" s="15">
        <v>0.17499999999999999</v>
      </c>
      <c r="J136" s="15">
        <v>6055045.8739999998</v>
      </c>
      <c r="K136" s="15">
        <v>6.0550458740000002</v>
      </c>
      <c r="L136" s="15">
        <v>32</v>
      </c>
      <c r="M136" s="15">
        <v>21.625163839999999</v>
      </c>
      <c r="N136" s="15">
        <v>114.2857143</v>
      </c>
      <c r="O136" s="15">
        <v>1907</v>
      </c>
      <c r="P136" s="15">
        <v>1884</v>
      </c>
      <c r="Q136" s="15">
        <v>23</v>
      </c>
      <c r="R136" s="15">
        <v>0.47011225699999998</v>
      </c>
      <c r="S136" s="11">
        <v>2.4844720499999999</v>
      </c>
    </row>
    <row r="137" spans="1:19" ht="15.5" x14ac:dyDescent="0.35">
      <c r="A137" s="19" t="s">
        <v>74</v>
      </c>
      <c r="B137" s="11" t="s">
        <v>16</v>
      </c>
      <c r="C137" s="15">
        <v>5.5</v>
      </c>
      <c r="D137" s="11">
        <v>15.19</v>
      </c>
      <c r="E137" s="15">
        <v>20.619</v>
      </c>
      <c r="F137" s="15">
        <v>15.342000000000001</v>
      </c>
      <c r="G137" s="15">
        <v>20.507999999999999</v>
      </c>
      <c r="H137" s="15">
        <v>0.26300000000000001</v>
      </c>
      <c r="I137" s="15">
        <v>0.152</v>
      </c>
      <c r="J137" s="15">
        <v>7696581.193</v>
      </c>
      <c r="K137" s="15">
        <v>7.6965811930000001</v>
      </c>
      <c r="L137" s="15">
        <v>47</v>
      </c>
      <c r="M137" s="15">
        <v>29.264567270000001</v>
      </c>
      <c r="N137" s="15">
        <v>178.70722430000001</v>
      </c>
      <c r="O137" s="15">
        <v>1884</v>
      </c>
      <c r="P137" s="15">
        <v>1862</v>
      </c>
      <c r="Q137" s="15">
        <v>22</v>
      </c>
      <c r="R137" s="15">
        <v>0.66510380199999997</v>
      </c>
      <c r="S137" s="11">
        <v>4.0615278259999998</v>
      </c>
    </row>
    <row r="138" spans="1:19" ht="15.5" x14ac:dyDescent="0.35">
      <c r="A138" s="19" t="s">
        <v>74</v>
      </c>
      <c r="B138" s="11" t="s">
        <v>17</v>
      </c>
      <c r="C138" s="15">
        <v>6</v>
      </c>
      <c r="D138" s="11">
        <v>15.19</v>
      </c>
      <c r="E138" s="15">
        <v>20.619</v>
      </c>
      <c r="F138" s="15">
        <v>15.438000000000001</v>
      </c>
      <c r="G138" s="15">
        <v>20.41</v>
      </c>
      <c r="H138" s="15">
        <v>0.45700000000000002</v>
      </c>
      <c r="I138" s="15">
        <v>0.248</v>
      </c>
      <c r="J138" s="15">
        <v>12300557.48</v>
      </c>
      <c r="K138" s="15">
        <v>12.30055748</v>
      </c>
      <c r="L138" s="15">
        <v>71</v>
      </c>
      <c r="M138" s="15">
        <v>26.915880699999999</v>
      </c>
      <c r="N138" s="15">
        <v>155.36105029999999</v>
      </c>
      <c r="O138" s="15">
        <v>1862</v>
      </c>
      <c r="P138" s="15">
        <v>1840</v>
      </c>
      <c r="Q138" s="15">
        <v>22</v>
      </c>
      <c r="R138" s="15">
        <v>0.61172456099999994</v>
      </c>
      <c r="S138" s="11">
        <v>3.5309329620000001</v>
      </c>
    </row>
    <row r="139" spans="1:19" ht="15.5" x14ac:dyDescent="0.35">
      <c r="A139" s="19" t="s">
        <v>74</v>
      </c>
      <c r="B139" s="11" t="s">
        <v>18</v>
      </c>
      <c r="C139" s="15">
        <v>6.5</v>
      </c>
      <c r="D139" s="11">
        <v>15.19</v>
      </c>
      <c r="E139" s="15">
        <v>20.619</v>
      </c>
      <c r="F139" s="15">
        <v>15.433</v>
      </c>
      <c r="G139" s="15">
        <v>20.725999999999999</v>
      </c>
      <c r="H139" s="15">
        <v>0.13600000000000001</v>
      </c>
      <c r="I139" s="15">
        <v>0.24299999999999999</v>
      </c>
      <c r="J139" s="15">
        <v>15431673.92</v>
      </c>
      <c r="K139" s="15">
        <v>15.43167392</v>
      </c>
      <c r="L139" s="15">
        <v>170</v>
      </c>
      <c r="M139" s="15">
        <v>113.4681906</v>
      </c>
      <c r="N139" s="15">
        <v>1250</v>
      </c>
      <c r="O139" s="15">
        <v>1840</v>
      </c>
      <c r="P139" s="15">
        <v>1817</v>
      </c>
      <c r="Q139" s="15">
        <v>23</v>
      </c>
      <c r="R139" s="15">
        <v>2.4666997949999998</v>
      </c>
      <c r="S139" s="11">
        <v>27.173913039999999</v>
      </c>
    </row>
    <row r="140" spans="1:19" ht="15.5" x14ac:dyDescent="0.35">
      <c r="A140" s="19" t="s">
        <v>74</v>
      </c>
      <c r="B140" s="11" t="s">
        <v>19</v>
      </c>
      <c r="C140" s="15">
        <v>7</v>
      </c>
      <c r="D140" s="11">
        <v>15.19</v>
      </c>
      <c r="E140" s="15">
        <v>20.619</v>
      </c>
      <c r="F140" s="15">
        <v>15.403</v>
      </c>
      <c r="G140" s="15">
        <v>20.652000000000001</v>
      </c>
      <c r="H140" s="15">
        <v>0.18</v>
      </c>
      <c r="I140" s="15">
        <v>0.21299999999999999</v>
      </c>
      <c r="J140" s="15">
        <v>17153797.359999999</v>
      </c>
      <c r="K140" s="15">
        <v>17.153797359999999</v>
      </c>
      <c r="L140" s="15">
        <v>130</v>
      </c>
      <c r="M140" s="15">
        <v>95.298874220000002</v>
      </c>
      <c r="N140" s="15">
        <v>722.22222220000003</v>
      </c>
      <c r="O140" s="15">
        <v>1817</v>
      </c>
      <c r="P140" s="15">
        <v>1795</v>
      </c>
      <c r="Q140" s="15">
        <v>22</v>
      </c>
      <c r="R140" s="15">
        <v>2.165883505</v>
      </c>
      <c r="S140" s="11">
        <v>16.414141409999999</v>
      </c>
    </row>
    <row r="141" spans="1:19" ht="15.5" x14ac:dyDescent="0.35">
      <c r="A141" s="19" t="s">
        <v>74</v>
      </c>
      <c r="B141" s="11" t="s">
        <v>20</v>
      </c>
      <c r="C141" s="15">
        <v>7.5</v>
      </c>
      <c r="D141" s="11">
        <v>15.191000000000001</v>
      </c>
      <c r="E141" s="15">
        <v>20.619</v>
      </c>
      <c r="F141" s="15">
        <v>15.427</v>
      </c>
      <c r="G141" s="15">
        <v>20.733000000000001</v>
      </c>
      <c r="H141" s="15">
        <v>0.122</v>
      </c>
      <c r="I141" s="15">
        <v>0.23599999999999999</v>
      </c>
      <c r="J141" s="15">
        <v>72184957.489999995</v>
      </c>
      <c r="K141" s="15">
        <v>72.184957490000002</v>
      </c>
      <c r="L141" s="15">
        <v>568</v>
      </c>
      <c r="M141" s="15">
        <v>591.67997949999994</v>
      </c>
      <c r="N141" s="15">
        <v>4655.7377049999996</v>
      </c>
      <c r="O141" s="15">
        <v>1795</v>
      </c>
      <c r="P141" s="15">
        <v>1773</v>
      </c>
      <c r="Q141" s="15">
        <v>22</v>
      </c>
      <c r="R141" s="15">
        <v>13.44727226</v>
      </c>
      <c r="S141" s="11">
        <v>105.8122206</v>
      </c>
    </row>
    <row r="142" spans="1:19" ht="15.5" x14ac:dyDescent="0.35">
      <c r="A142" s="19" t="s">
        <v>75</v>
      </c>
      <c r="B142" s="12" t="s">
        <v>5</v>
      </c>
      <c r="C142" s="12">
        <v>0</v>
      </c>
      <c r="D142" s="12">
        <v>15.205</v>
      </c>
      <c r="E142" s="12">
        <v>20.638999999999999</v>
      </c>
      <c r="F142" s="12">
        <v>15.616</v>
      </c>
      <c r="G142" s="12">
        <v>20.85</v>
      </c>
      <c r="H142" s="12">
        <f>F142-D142</f>
        <v>0.41099999999999959</v>
      </c>
      <c r="I142" s="12">
        <v>0.2</v>
      </c>
      <c r="J142" s="12">
        <v>31778846.199999999</v>
      </c>
      <c r="K142" s="17">
        <v>31.7788462</v>
      </c>
      <c r="L142" s="12">
        <v>485</v>
      </c>
      <c r="M142" s="12">
        <v>158.89423099999999</v>
      </c>
      <c r="N142" s="12">
        <v>2.4249999999999998</v>
      </c>
      <c r="O142" s="12">
        <v>2021</v>
      </c>
      <c r="P142" s="12">
        <v>2016</v>
      </c>
      <c r="Q142" s="12">
        <v>5</v>
      </c>
      <c r="R142" s="12">
        <v>15.8894231</v>
      </c>
      <c r="S142" s="12">
        <v>0.24249999999999999</v>
      </c>
    </row>
    <row r="143" spans="1:19" ht="15.5" x14ac:dyDescent="0.35">
      <c r="A143" s="19" t="s">
        <v>75</v>
      </c>
      <c r="B143" s="12" t="s">
        <v>6</v>
      </c>
      <c r="C143" s="12">
        <v>0.5</v>
      </c>
      <c r="D143" s="12">
        <v>15.205</v>
      </c>
      <c r="E143" s="12">
        <v>20.638999999999999</v>
      </c>
      <c r="F143" s="12">
        <v>15.452999999999999</v>
      </c>
      <c r="G143" s="12">
        <v>20.728000000000002</v>
      </c>
      <c r="H143" s="12">
        <f t="shared" ref="H143:H165" si="8">F143-D143</f>
        <v>0.24799999999999933</v>
      </c>
      <c r="I143" s="12">
        <v>0.159</v>
      </c>
      <c r="J143" s="12">
        <v>57819431</v>
      </c>
      <c r="K143" s="17">
        <v>57.819431000000002</v>
      </c>
      <c r="L143" s="12">
        <v>1350</v>
      </c>
      <c r="M143" s="12">
        <v>363.64422009999998</v>
      </c>
      <c r="N143" s="12">
        <v>8.4905660380000008</v>
      </c>
      <c r="O143" s="12">
        <v>2016</v>
      </c>
      <c r="P143" s="12">
        <v>2012</v>
      </c>
      <c r="Q143" s="12">
        <v>4</v>
      </c>
      <c r="R143" s="12">
        <v>45.455527519999997</v>
      </c>
      <c r="S143" s="12">
        <v>1.0613207549999999</v>
      </c>
    </row>
    <row r="144" spans="1:19" ht="15.5" x14ac:dyDescent="0.35">
      <c r="A144" s="19" t="s">
        <v>75</v>
      </c>
      <c r="B144" s="12" t="s">
        <v>7</v>
      </c>
      <c r="C144" s="12">
        <v>1</v>
      </c>
      <c r="D144" s="12">
        <v>15.205</v>
      </c>
      <c r="E144" s="12">
        <v>20.638999999999999</v>
      </c>
      <c r="F144" s="12">
        <v>15.339</v>
      </c>
      <c r="G144" s="12">
        <v>20.670999999999999</v>
      </c>
      <c r="H144" s="12">
        <f t="shared" si="8"/>
        <v>0.13400000000000034</v>
      </c>
      <c r="I144" s="12">
        <v>0.10199999999999999</v>
      </c>
      <c r="J144" s="12">
        <v>40056285.200000003</v>
      </c>
      <c r="K144" s="17">
        <v>40.056285199999998</v>
      </c>
      <c r="L144" s="12">
        <v>2747</v>
      </c>
      <c r="M144" s="12">
        <v>392.7086784</v>
      </c>
      <c r="N144" s="12">
        <v>26.931372549999999</v>
      </c>
      <c r="O144" s="12">
        <v>2012</v>
      </c>
      <c r="P144" s="12">
        <v>2007</v>
      </c>
      <c r="Q144" s="12">
        <v>5</v>
      </c>
      <c r="R144" s="12">
        <v>39.270867840000001</v>
      </c>
      <c r="S144" s="12">
        <v>2.6931372549999999</v>
      </c>
    </row>
    <row r="145" spans="1:19" ht="15.5" x14ac:dyDescent="0.35">
      <c r="A145" s="19" t="s">
        <v>75</v>
      </c>
      <c r="B145" s="12" t="s">
        <v>8</v>
      </c>
      <c r="C145" s="12">
        <v>1.5</v>
      </c>
      <c r="D145" s="12">
        <v>15.204000000000001</v>
      </c>
      <c r="E145" s="12">
        <v>20.638000000000002</v>
      </c>
      <c r="F145" s="12">
        <v>15.286</v>
      </c>
      <c r="G145" s="12">
        <v>20.670999999999999</v>
      </c>
      <c r="H145" s="12">
        <f t="shared" si="8"/>
        <v>8.1999999999998963E-2</v>
      </c>
      <c r="I145" s="12">
        <v>4.9000000000000002E-2</v>
      </c>
      <c r="J145" s="12">
        <v>98076832.900000006</v>
      </c>
      <c r="K145" s="17">
        <v>98.076832899999999</v>
      </c>
      <c r="L145" s="12">
        <v>1584</v>
      </c>
      <c r="M145" s="12">
        <v>2001.5680179999999</v>
      </c>
      <c r="N145" s="12">
        <v>32.326530609999999</v>
      </c>
      <c r="O145" s="12">
        <v>2007</v>
      </c>
      <c r="P145" s="12">
        <v>2003</v>
      </c>
      <c r="Q145" s="12">
        <v>4</v>
      </c>
      <c r="R145" s="12">
        <v>250.1960023</v>
      </c>
      <c r="S145" s="12">
        <v>4.0408163269999999</v>
      </c>
    </row>
    <row r="146" spans="1:19" ht="15.5" x14ac:dyDescent="0.35">
      <c r="A146" s="19" t="s">
        <v>75</v>
      </c>
      <c r="B146" s="12" t="s">
        <v>9</v>
      </c>
      <c r="C146" s="12">
        <v>2</v>
      </c>
      <c r="D146" s="12">
        <v>15.204000000000001</v>
      </c>
      <c r="E146" s="12">
        <v>20.638000000000002</v>
      </c>
      <c r="F146" s="12">
        <v>15.41</v>
      </c>
      <c r="G146" s="12">
        <v>20.687000000000001</v>
      </c>
      <c r="H146" s="12">
        <f t="shared" si="8"/>
        <v>0.20599999999999952</v>
      </c>
      <c r="I146" s="12">
        <v>0.157</v>
      </c>
      <c r="J146" s="12">
        <v>308979571</v>
      </c>
      <c r="K146" s="17">
        <v>308.97957100000002</v>
      </c>
      <c r="L146" s="12">
        <v>1150</v>
      </c>
      <c r="M146" s="12">
        <v>1968.022745</v>
      </c>
      <c r="N146" s="12">
        <v>7.3248407640000002</v>
      </c>
      <c r="O146" s="12">
        <v>2003</v>
      </c>
      <c r="P146" s="12">
        <v>1999</v>
      </c>
      <c r="Q146" s="12">
        <v>4</v>
      </c>
      <c r="R146" s="12">
        <v>246.0028432</v>
      </c>
      <c r="S146" s="12">
        <v>0.91560509599999995</v>
      </c>
    </row>
    <row r="147" spans="1:19" ht="15.5" x14ac:dyDescent="0.35">
      <c r="A147" s="19" t="s">
        <v>75</v>
      </c>
      <c r="B147" s="12" t="s">
        <v>10</v>
      </c>
      <c r="C147" s="12">
        <v>2.5</v>
      </c>
      <c r="D147" s="12">
        <v>15.205</v>
      </c>
      <c r="E147" s="12">
        <v>20.638999999999999</v>
      </c>
      <c r="F147" s="12">
        <v>15.643000000000001</v>
      </c>
      <c r="G147" s="12">
        <v>20.481000000000002</v>
      </c>
      <c r="H147" s="12">
        <f t="shared" si="8"/>
        <v>0.43800000000000061</v>
      </c>
      <c r="I147" s="12">
        <v>0.59599999999999997</v>
      </c>
      <c r="J147" s="12">
        <v>442777971</v>
      </c>
      <c r="K147" s="17">
        <v>442.77797099999998</v>
      </c>
      <c r="L147" s="12">
        <v>1793</v>
      </c>
      <c r="M147" s="12">
        <v>742.91605870000001</v>
      </c>
      <c r="N147" s="12">
        <v>3.0083892620000001</v>
      </c>
      <c r="O147" s="12">
        <v>1999</v>
      </c>
      <c r="P147" s="12">
        <v>1989</v>
      </c>
      <c r="Q147" s="12">
        <v>10</v>
      </c>
      <c r="R147" s="12">
        <v>37.145802940000003</v>
      </c>
      <c r="S147" s="12">
        <v>0.150419463</v>
      </c>
    </row>
    <row r="148" spans="1:19" ht="15.5" x14ac:dyDescent="0.35">
      <c r="A148" s="19" t="s">
        <v>75</v>
      </c>
      <c r="B148" s="12" t="s">
        <v>11</v>
      </c>
      <c r="C148" s="12">
        <v>3</v>
      </c>
      <c r="D148" s="12">
        <v>15.205</v>
      </c>
      <c r="E148" s="12">
        <v>20.638999999999999</v>
      </c>
      <c r="F148" s="12">
        <v>15.693</v>
      </c>
      <c r="G148" s="12">
        <v>20.87</v>
      </c>
      <c r="H148" s="12">
        <f t="shared" si="8"/>
        <v>0.48799999999999955</v>
      </c>
      <c r="I148" s="12">
        <v>0.25700000000000001</v>
      </c>
      <c r="J148" s="12">
        <v>249457083</v>
      </c>
      <c r="K148" s="17">
        <v>249.45708300000001</v>
      </c>
      <c r="L148" s="12">
        <v>242</v>
      </c>
      <c r="M148" s="12">
        <v>970.65012839999997</v>
      </c>
      <c r="N148" s="12">
        <v>0.94163424100000004</v>
      </c>
      <c r="O148" s="12">
        <v>1989</v>
      </c>
      <c r="P148" s="12">
        <v>1980</v>
      </c>
      <c r="Q148" s="12">
        <v>9</v>
      </c>
      <c r="R148" s="12">
        <v>53.925007129999997</v>
      </c>
      <c r="S148" s="12">
        <v>5.2313012999999998E-2</v>
      </c>
    </row>
    <row r="149" spans="1:19" ht="15.5" x14ac:dyDescent="0.35">
      <c r="A149" s="19" t="s">
        <v>75</v>
      </c>
      <c r="B149" s="12" t="s">
        <v>12</v>
      </c>
      <c r="C149" s="12">
        <v>3.5</v>
      </c>
      <c r="D149" s="12">
        <v>15.205</v>
      </c>
      <c r="E149" s="12">
        <v>20.638999999999999</v>
      </c>
      <c r="F149" s="12">
        <v>15.823</v>
      </c>
      <c r="G149" s="12">
        <v>20.896000000000001</v>
      </c>
      <c r="H149" s="12">
        <f t="shared" si="8"/>
        <v>0.61800000000000033</v>
      </c>
      <c r="I149" s="12">
        <v>0.36099999999999999</v>
      </c>
      <c r="J149" s="12">
        <v>211638133</v>
      </c>
      <c r="K149" s="17">
        <v>211.63813300000001</v>
      </c>
      <c r="L149" s="12">
        <v>577</v>
      </c>
      <c r="M149" s="12">
        <v>586.25521609999998</v>
      </c>
      <c r="N149" s="12">
        <v>1.5983379499999999</v>
      </c>
      <c r="O149" s="12">
        <v>1980</v>
      </c>
      <c r="P149" s="12">
        <v>1970</v>
      </c>
      <c r="Q149" s="12">
        <v>10</v>
      </c>
      <c r="R149" s="12">
        <v>29.3127608</v>
      </c>
      <c r="S149" s="12">
        <v>7.9916898E-2</v>
      </c>
    </row>
    <row r="150" spans="1:19" ht="15.5" x14ac:dyDescent="0.35">
      <c r="A150" s="19" t="s">
        <v>75</v>
      </c>
      <c r="B150" s="12" t="s">
        <v>13</v>
      </c>
      <c r="C150" s="12">
        <v>4</v>
      </c>
      <c r="D150" s="12">
        <v>15.205</v>
      </c>
      <c r="E150" s="12">
        <v>20.638999999999999</v>
      </c>
      <c r="F150" s="12">
        <v>15.632999999999999</v>
      </c>
      <c r="G150" s="12">
        <v>21.007999999999999</v>
      </c>
      <c r="H150" s="12">
        <f t="shared" si="8"/>
        <v>0.42799999999999905</v>
      </c>
      <c r="I150" s="12">
        <v>5.8999999999999997E-2</v>
      </c>
      <c r="J150" s="12">
        <v>180783510</v>
      </c>
      <c r="K150" s="17">
        <v>180.78351000000001</v>
      </c>
      <c r="L150" s="12">
        <v>819</v>
      </c>
      <c r="M150" s="12">
        <v>3064.1272880000001</v>
      </c>
      <c r="N150" s="12">
        <v>13.88135593</v>
      </c>
      <c r="O150" s="12">
        <v>1970</v>
      </c>
      <c r="P150" s="12">
        <v>1961</v>
      </c>
      <c r="Q150" s="12">
        <v>9</v>
      </c>
      <c r="R150" s="12">
        <v>170.22929379999999</v>
      </c>
      <c r="S150" s="12">
        <v>0.771186441</v>
      </c>
    </row>
    <row r="151" spans="1:19" ht="15.5" x14ac:dyDescent="0.35">
      <c r="A151" s="19" t="s">
        <v>75</v>
      </c>
      <c r="B151" s="12" t="s">
        <v>14</v>
      </c>
      <c r="C151" s="12">
        <v>4.5</v>
      </c>
      <c r="D151" s="12">
        <v>15.205</v>
      </c>
      <c r="E151" s="12">
        <v>20.638999999999999</v>
      </c>
      <c r="F151" s="12">
        <v>15.776</v>
      </c>
      <c r="G151" s="12">
        <v>20.873000000000001</v>
      </c>
      <c r="H151" s="12">
        <f t="shared" si="8"/>
        <v>0.57099999999999973</v>
      </c>
      <c r="I151" s="12">
        <v>0.33700000000000002</v>
      </c>
      <c r="J151" s="12">
        <v>37978172</v>
      </c>
      <c r="K151" s="17">
        <v>37.978172000000001</v>
      </c>
      <c r="L151" s="12">
        <v>1061</v>
      </c>
      <c r="M151" s="12">
        <v>112.69487239999999</v>
      </c>
      <c r="N151" s="12">
        <v>3.1483679530000002</v>
      </c>
      <c r="O151" s="12">
        <v>1961</v>
      </c>
      <c r="P151" s="12">
        <v>1951</v>
      </c>
      <c r="Q151" s="12">
        <v>10</v>
      </c>
      <c r="R151" s="12">
        <v>5.6347436200000001</v>
      </c>
      <c r="S151" s="12">
        <v>0.15741839799999999</v>
      </c>
    </row>
    <row r="152" spans="1:19" ht="15.5" x14ac:dyDescent="0.35">
      <c r="A152" s="19" t="s">
        <v>75</v>
      </c>
      <c r="B152" s="12" t="s">
        <v>15</v>
      </c>
      <c r="C152" s="12">
        <v>5</v>
      </c>
      <c r="D152" s="12">
        <v>15.205</v>
      </c>
      <c r="E152" s="12">
        <v>20.638999999999999</v>
      </c>
      <c r="F152" s="12">
        <v>15.522</v>
      </c>
      <c r="G152" s="12">
        <v>20.934999999999999</v>
      </c>
      <c r="H152" s="12">
        <f t="shared" si="8"/>
        <v>0.31700000000000017</v>
      </c>
      <c r="I152" s="12">
        <v>2.1000000000000001E-2</v>
      </c>
      <c r="J152" s="12">
        <v>24080466.300000001</v>
      </c>
      <c r="K152" s="17">
        <v>24.080466300000001</v>
      </c>
      <c r="L152" s="12">
        <v>2496</v>
      </c>
      <c r="M152" s="12">
        <v>1146.6888710000001</v>
      </c>
      <c r="N152" s="12">
        <v>118.8571429</v>
      </c>
      <c r="O152" s="12">
        <v>1951</v>
      </c>
      <c r="P152" s="12">
        <v>1942</v>
      </c>
      <c r="Q152" s="12">
        <v>9</v>
      </c>
      <c r="R152" s="12">
        <v>63.704937299999997</v>
      </c>
      <c r="S152" s="12">
        <v>6.6031746030000003</v>
      </c>
    </row>
    <row r="153" spans="1:19" ht="15.5" x14ac:dyDescent="0.35">
      <c r="A153" s="19" t="s">
        <v>75</v>
      </c>
      <c r="B153" s="12" t="s">
        <v>16</v>
      </c>
      <c r="C153" s="12">
        <v>5.5</v>
      </c>
      <c r="D153" s="12">
        <v>15.205</v>
      </c>
      <c r="E153" s="12">
        <v>20.638999999999999</v>
      </c>
      <c r="F153" s="12">
        <v>15.564</v>
      </c>
      <c r="G153" s="12">
        <v>20.788</v>
      </c>
      <c r="H153" s="12">
        <f t="shared" si="8"/>
        <v>0.35899999999999999</v>
      </c>
      <c r="I153" s="12">
        <v>0.21</v>
      </c>
      <c r="J153" s="12">
        <v>98816864.700000003</v>
      </c>
      <c r="K153" s="17">
        <v>98.816864699999996</v>
      </c>
      <c r="L153" s="12">
        <v>547</v>
      </c>
      <c r="M153" s="12">
        <v>470.5564986</v>
      </c>
      <c r="N153" s="12">
        <v>2.6047619050000002</v>
      </c>
      <c r="O153" s="12">
        <v>1942</v>
      </c>
      <c r="P153" s="12">
        <v>1932</v>
      </c>
      <c r="Q153" s="12">
        <v>10</v>
      </c>
      <c r="R153" s="12">
        <v>23.527824930000001</v>
      </c>
      <c r="S153" s="12">
        <v>0.130238095</v>
      </c>
    </row>
    <row r="154" spans="1:19" ht="15.5" x14ac:dyDescent="0.35">
      <c r="A154" s="19" t="s">
        <v>75</v>
      </c>
      <c r="B154" s="12" t="s">
        <v>17</v>
      </c>
      <c r="C154" s="12">
        <v>6</v>
      </c>
      <c r="D154" s="12">
        <v>15.205</v>
      </c>
      <c r="E154" s="12">
        <v>20.638999999999999</v>
      </c>
      <c r="F154" s="12">
        <v>15.552</v>
      </c>
      <c r="G154" s="12">
        <v>20.754000000000001</v>
      </c>
      <c r="H154" s="12">
        <f t="shared" si="8"/>
        <v>0.34699999999999953</v>
      </c>
      <c r="I154" s="12">
        <v>0.23200000000000001</v>
      </c>
      <c r="J154" s="12">
        <v>51064686.899999999</v>
      </c>
      <c r="K154" s="17">
        <v>51.064686899999998</v>
      </c>
      <c r="L154" s="12">
        <v>513</v>
      </c>
      <c r="M154" s="12">
        <v>220.10640910000001</v>
      </c>
      <c r="N154" s="12">
        <v>2.2112068969999998</v>
      </c>
      <c r="O154" s="12">
        <v>1932</v>
      </c>
      <c r="P154" s="12">
        <v>1923</v>
      </c>
      <c r="Q154" s="12">
        <v>9</v>
      </c>
      <c r="R154" s="12">
        <v>12.22813384</v>
      </c>
      <c r="S154" s="12">
        <v>0.122844828</v>
      </c>
    </row>
    <row r="155" spans="1:19" ht="15.5" x14ac:dyDescent="0.35">
      <c r="A155" s="19" t="s">
        <v>75</v>
      </c>
      <c r="B155" s="12" t="s">
        <v>18</v>
      </c>
      <c r="C155" s="12">
        <v>6.5</v>
      </c>
      <c r="D155" s="12">
        <v>15.205</v>
      </c>
      <c r="E155" s="12">
        <v>20.638999999999999</v>
      </c>
      <c r="F155" s="12">
        <v>15.555999999999999</v>
      </c>
      <c r="G155" s="12">
        <v>20.86</v>
      </c>
      <c r="H155" s="12">
        <f t="shared" si="8"/>
        <v>0.35099999999999909</v>
      </c>
      <c r="I155" s="12">
        <v>0.13</v>
      </c>
      <c r="J155" s="12">
        <v>2266468.5</v>
      </c>
      <c r="K155" s="17">
        <v>2.2664685000000002</v>
      </c>
      <c r="L155" s="12">
        <v>487</v>
      </c>
      <c r="M155" s="12">
        <v>17.43437308</v>
      </c>
      <c r="N155" s="12">
        <v>3.7461538459999999</v>
      </c>
      <c r="O155" s="12">
        <v>1923</v>
      </c>
      <c r="P155" s="12">
        <v>1913</v>
      </c>
      <c r="Q155" s="12">
        <v>10</v>
      </c>
      <c r="R155" s="12">
        <v>0.87171865400000004</v>
      </c>
      <c r="S155" s="12">
        <v>0.187307692</v>
      </c>
    </row>
    <row r="156" spans="1:19" ht="15.5" x14ac:dyDescent="0.35">
      <c r="A156" s="19" t="s">
        <v>75</v>
      </c>
      <c r="B156" s="12" t="s">
        <v>19</v>
      </c>
      <c r="C156" s="12">
        <v>7</v>
      </c>
      <c r="D156" s="12">
        <v>15.205</v>
      </c>
      <c r="E156" s="12">
        <v>20.638999999999999</v>
      </c>
      <c r="F156" s="12">
        <v>15.513999999999999</v>
      </c>
      <c r="G156" s="12">
        <v>20.849</v>
      </c>
      <c r="H156" s="12">
        <f t="shared" si="8"/>
        <v>0.30899999999999928</v>
      </c>
      <c r="I156" s="12">
        <v>9.9000000000000005E-2</v>
      </c>
      <c r="J156" s="12">
        <v>26143111.600000001</v>
      </c>
      <c r="K156" s="17">
        <v>26.143111600000001</v>
      </c>
      <c r="L156" s="12">
        <v>427</v>
      </c>
      <c r="M156" s="12">
        <v>264.07183429999998</v>
      </c>
      <c r="N156" s="12">
        <v>4.3131313130000004</v>
      </c>
      <c r="O156" s="12">
        <v>1913</v>
      </c>
      <c r="P156" s="12">
        <v>1904</v>
      </c>
      <c r="Q156" s="12">
        <v>9</v>
      </c>
      <c r="R156" s="12">
        <v>14.670657459999999</v>
      </c>
      <c r="S156" s="12">
        <v>0.23961840600000001</v>
      </c>
    </row>
    <row r="157" spans="1:19" ht="15.5" x14ac:dyDescent="0.35">
      <c r="A157" s="19" t="s">
        <v>75</v>
      </c>
      <c r="B157" s="12" t="s">
        <v>20</v>
      </c>
      <c r="C157" s="12">
        <v>7.5</v>
      </c>
      <c r="D157" s="12">
        <v>15.205</v>
      </c>
      <c r="E157" s="12">
        <v>20.638999999999999</v>
      </c>
      <c r="F157" s="12">
        <v>15.693</v>
      </c>
      <c r="G157" s="12">
        <v>20.821000000000002</v>
      </c>
      <c r="H157" s="12">
        <f t="shared" si="8"/>
        <v>0.48799999999999955</v>
      </c>
      <c r="I157" s="12">
        <v>0.30599999999999999</v>
      </c>
      <c r="J157" s="12">
        <v>8574498.5800000001</v>
      </c>
      <c r="K157" s="17">
        <v>8.5744985800000002</v>
      </c>
      <c r="L157" s="12">
        <v>359</v>
      </c>
      <c r="M157" s="12">
        <v>28.021237190000001</v>
      </c>
      <c r="N157" s="12">
        <v>1.173202614</v>
      </c>
      <c r="O157" s="12">
        <v>1904</v>
      </c>
      <c r="P157" s="12">
        <v>1894</v>
      </c>
      <c r="Q157" s="12">
        <v>10</v>
      </c>
      <c r="R157" s="12">
        <v>1.4010618589999999</v>
      </c>
      <c r="S157" s="12">
        <v>5.8660130999999997E-2</v>
      </c>
    </row>
    <row r="158" spans="1:19" ht="15.5" x14ac:dyDescent="0.35">
      <c r="A158" s="19" t="s">
        <v>75</v>
      </c>
      <c r="B158" s="12" t="s">
        <v>21</v>
      </c>
      <c r="C158" s="12">
        <v>8</v>
      </c>
      <c r="D158" s="12">
        <v>15.205</v>
      </c>
      <c r="E158" s="12">
        <v>20.641999999999999</v>
      </c>
      <c r="F158" s="12">
        <v>15.62</v>
      </c>
      <c r="G158" s="12">
        <v>20.873000000000001</v>
      </c>
      <c r="H158" s="12">
        <f t="shared" si="8"/>
        <v>0.41499999999999915</v>
      </c>
      <c r="I158" s="12">
        <v>0.184</v>
      </c>
      <c r="J158" s="12">
        <v>21978120.5</v>
      </c>
      <c r="K158" s="17">
        <v>21.978120499999999</v>
      </c>
      <c r="L158" s="12">
        <v>771</v>
      </c>
      <c r="M158" s="12">
        <v>119.4463071</v>
      </c>
      <c r="N158" s="12">
        <v>4.190217391</v>
      </c>
      <c r="O158" s="12">
        <v>1894</v>
      </c>
      <c r="P158" s="12">
        <v>1885</v>
      </c>
      <c r="Q158" s="12">
        <v>9</v>
      </c>
      <c r="R158" s="12">
        <v>6.6359059480000004</v>
      </c>
      <c r="S158" s="12">
        <v>0.23278985499999999</v>
      </c>
    </row>
    <row r="159" spans="1:19" ht="15.5" x14ac:dyDescent="0.35">
      <c r="A159" s="19" t="s">
        <v>75</v>
      </c>
      <c r="B159" s="12" t="s">
        <v>22</v>
      </c>
      <c r="C159" s="12">
        <v>8.5</v>
      </c>
      <c r="D159" s="12">
        <v>15.205</v>
      </c>
      <c r="E159" s="12">
        <v>20.641999999999999</v>
      </c>
      <c r="F159" s="12">
        <v>15.669</v>
      </c>
      <c r="G159" s="12">
        <v>20.882999999999999</v>
      </c>
      <c r="H159" s="12">
        <f t="shared" si="8"/>
        <v>0.46400000000000041</v>
      </c>
      <c r="I159" s="12">
        <v>0.223</v>
      </c>
      <c r="J159" s="12">
        <v>151011147</v>
      </c>
      <c r="K159" s="17">
        <v>151.01114699999999</v>
      </c>
      <c r="L159" s="12">
        <v>1328</v>
      </c>
      <c r="M159" s="12">
        <v>677.18003139999996</v>
      </c>
      <c r="N159" s="12">
        <v>5.9551569510000002</v>
      </c>
      <c r="O159" s="12">
        <v>1885</v>
      </c>
      <c r="P159" s="12">
        <v>1875</v>
      </c>
      <c r="Q159" s="12">
        <v>10</v>
      </c>
      <c r="R159" s="12">
        <v>33.859001569999997</v>
      </c>
      <c r="S159" s="12">
        <v>0.29775784799999999</v>
      </c>
    </row>
    <row r="160" spans="1:19" ht="15.5" x14ac:dyDescent="0.35">
      <c r="A160" s="19" t="s">
        <v>75</v>
      </c>
      <c r="B160" s="12" t="s">
        <v>23</v>
      </c>
      <c r="C160" s="12">
        <v>9</v>
      </c>
      <c r="D160" s="12">
        <v>15.205</v>
      </c>
      <c r="E160" s="12">
        <v>20.641999999999999</v>
      </c>
      <c r="F160" s="12">
        <v>15.558</v>
      </c>
      <c r="G160" s="12">
        <v>20.815000000000001</v>
      </c>
      <c r="H160" s="12">
        <f t="shared" si="8"/>
        <v>0.35299999999999976</v>
      </c>
      <c r="I160" s="12">
        <v>0.18</v>
      </c>
      <c r="J160" s="12">
        <v>155350379</v>
      </c>
      <c r="K160" s="17">
        <v>155.350379</v>
      </c>
      <c r="L160" s="12">
        <v>516</v>
      </c>
      <c r="M160" s="12">
        <v>863.05766110000002</v>
      </c>
      <c r="N160" s="12">
        <v>2.8666666670000001</v>
      </c>
      <c r="O160" s="12">
        <v>1875</v>
      </c>
      <c r="P160" s="12">
        <v>1866</v>
      </c>
      <c r="Q160" s="12">
        <v>9</v>
      </c>
      <c r="R160" s="12">
        <v>47.947647840000002</v>
      </c>
      <c r="S160" s="12">
        <v>0.15925925899999999</v>
      </c>
    </row>
    <row r="161" spans="1:19" ht="15.5" x14ac:dyDescent="0.35">
      <c r="A161" s="19" t="s">
        <v>75</v>
      </c>
      <c r="B161" s="12" t="s">
        <v>24</v>
      </c>
      <c r="C161" s="12">
        <v>9.5</v>
      </c>
      <c r="D161" s="12">
        <v>15.205</v>
      </c>
      <c r="E161" s="12">
        <v>20.641999999999999</v>
      </c>
      <c r="F161" s="12">
        <v>15.606999999999999</v>
      </c>
      <c r="G161" s="12">
        <v>20.864999999999998</v>
      </c>
      <c r="H161" s="12">
        <f t="shared" si="8"/>
        <v>0.40199999999999925</v>
      </c>
      <c r="I161" s="12">
        <v>0.17899999999999999</v>
      </c>
      <c r="J161" s="12">
        <v>39545625.899999999</v>
      </c>
      <c r="K161" s="17">
        <v>39.545625899999997</v>
      </c>
      <c r="L161" s="12">
        <v>5944</v>
      </c>
      <c r="M161" s="12">
        <v>220.92528440000001</v>
      </c>
      <c r="N161" s="12">
        <v>33.206703910000002</v>
      </c>
      <c r="O161" s="12">
        <v>1866</v>
      </c>
      <c r="P161" s="12">
        <v>1856</v>
      </c>
      <c r="Q161" s="12">
        <v>10</v>
      </c>
      <c r="R161" s="12">
        <v>11.046264219999999</v>
      </c>
      <c r="S161" s="12">
        <v>1.6603351959999999</v>
      </c>
    </row>
    <row r="162" spans="1:19" ht="15.5" x14ac:dyDescent="0.35">
      <c r="A162" s="19" t="s">
        <v>75</v>
      </c>
      <c r="B162" s="12" t="s">
        <v>25</v>
      </c>
      <c r="C162" s="12">
        <v>10</v>
      </c>
      <c r="D162" s="12">
        <v>15.205</v>
      </c>
      <c r="E162" s="12">
        <v>20.641999999999999</v>
      </c>
      <c r="F162" s="12">
        <v>15.551</v>
      </c>
      <c r="G162" s="12">
        <v>20.817</v>
      </c>
      <c r="H162" s="12">
        <f t="shared" si="8"/>
        <v>0.34600000000000009</v>
      </c>
      <c r="I162" s="12">
        <v>0.17100000000000001</v>
      </c>
      <c r="J162" s="12">
        <v>43248186.200000003</v>
      </c>
      <c r="K162" s="17">
        <v>43.248186199999999</v>
      </c>
      <c r="L162" s="12">
        <v>537</v>
      </c>
      <c r="M162" s="12">
        <v>252.91336960000001</v>
      </c>
      <c r="N162" s="12">
        <v>3.1403508769999999</v>
      </c>
      <c r="O162" s="12">
        <v>1856</v>
      </c>
      <c r="P162" s="12">
        <v>1847</v>
      </c>
      <c r="Q162" s="12">
        <v>9</v>
      </c>
      <c r="R162" s="12">
        <v>14.05074276</v>
      </c>
      <c r="S162" s="12">
        <v>0.17446393800000001</v>
      </c>
    </row>
    <row r="163" spans="1:19" ht="15.5" x14ac:dyDescent="0.35">
      <c r="A163" s="19" t="s">
        <v>75</v>
      </c>
      <c r="B163" s="12" t="s">
        <v>26</v>
      </c>
      <c r="C163" s="12">
        <v>10.5</v>
      </c>
      <c r="D163" s="12">
        <v>15.204000000000001</v>
      </c>
      <c r="E163" s="12">
        <v>20.641999999999999</v>
      </c>
      <c r="F163" s="12">
        <v>15.653</v>
      </c>
      <c r="G163" s="12">
        <v>20.849</v>
      </c>
      <c r="H163" s="12">
        <f t="shared" si="8"/>
        <v>0.44899999999999984</v>
      </c>
      <c r="I163" s="12">
        <v>0.24199999999999999</v>
      </c>
      <c r="J163" s="12">
        <v>73069958.799999997</v>
      </c>
      <c r="K163" s="17">
        <v>73.069958799999995</v>
      </c>
      <c r="L163" s="12">
        <v>1977</v>
      </c>
      <c r="M163" s="12">
        <v>301.9419785</v>
      </c>
      <c r="N163" s="12">
        <v>8.1694214879999993</v>
      </c>
      <c r="O163" s="12">
        <v>1847</v>
      </c>
      <c r="P163" s="12">
        <v>1837</v>
      </c>
      <c r="Q163" s="12">
        <v>10</v>
      </c>
      <c r="R163" s="12">
        <v>15.09709893</v>
      </c>
      <c r="S163" s="12">
        <v>0.40847107399999999</v>
      </c>
    </row>
    <row r="164" spans="1:19" ht="15.5" x14ac:dyDescent="0.35">
      <c r="A164" s="19" t="s">
        <v>75</v>
      </c>
      <c r="B164" s="12" t="s">
        <v>27</v>
      </c>
      <c r="C164" s="12">
        <v>11</v>
      </c>
      <c r="D164" s="12">
        <v>15.205</v>
      </c>
      <c r="E164" s="12">
        <v>20.641999999999999</v>
      </c>
      <c r="F164" s="12">
        <v>15.484999999999999</v>
      </c>
      <c r="G164" s="12">
        <v>20.734000000000002</v>
      </c>
      <c r="H164" s="12">
        <f t="shared" si="8"/>
        <v>0.27999999999999936</v>
      </c>
      <c r="I164" s="12">
        <v>0.188</v>
      </c>
      <c r="J164" s="12">
        <v>72373169.599999994</v>
      </c>
      <c r="K164" s="17">
        <v>72.373169599999997</v>
      </c>
      <c r="L164" s="12">
        <v>1179</v>
      </c>
      <c r="M164" s="12">
        <v>384.96366810000001</v>
      </c>
      <c r="N164" s="12">
        <v>6.2712765959999999</v>
      </c>
      <c r="O164" s="12">
        <v>1837</v>
      </c>
      <c r="P164" s="12">
        <v>1828</v>
      </c>
      <c r="Q164" s="12">
        <v>9</v>
      </c>
      <c r="R164" s="12">
        <v>21.38687045</v>
      </c>
      <c r="S164" s="12">
        <v>0.348404255</v>
      </c>
    </row>
    <row r="165" spans="1:19" ht="15.5" x14ac:dyDescent="0.35">
      <c r="A165" s="19" t="s">
        <v>75</v>
      </c>
      <c r="B165" s="12" t="s">
        <v>28</v>
      </c>
      <c r="C165" s="12">
        <v>11.5</v>
      </c>
      <c r="D165" s="12">
        <v>15.205</v>
      </c>
      <c r="E165" s="12">
        <v>20.641999999999999</v>
      </c>
      <c r="F165" s="12">
        <v>15.539</v>
      </c>
      <c r="G165" s="12">
        <v>20.802</v>
      </c>
      <c r="H165" s="12">
        <f t="shared" si="8"/>
        <v>0.33399999999999963</v>
      </c>
      <c r="I165" s="12">
        <v>0.17399999999999999</v>
      </c>
      <c r="J165" s="12">
        <v>107344739</v>
      </c>
      <c r="K165" s="17">
        <v>107.344739</v>
      </c>
      <c r="L165" s="12">
        <v>332</v>
      </c>
      <c r="M165" s="12">
        <v>616.92378740000004</v>
      </c>
      <c r="N165" s="12">
        <v>1.908045977</v>
      </c>
      <c r="O165" s="12">
        <v>1828</v>
      </c>
      <c r="P165" s="12">
        <v>1818</v>
      </c>
      <c r="Q165" s="12">
        <v>10</v>
      </c>
      <c r="R165" s="12">
        <v>30.846189370000001</v>
      </c>
      <c r="S165" s="12">
        <v>9.5402298999999996E-2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Urella Brook CHAR</vt:lpstr>
      <vt:lpstr>Fortress Creek CHAR</vt:lpstr>
      <vt:lpstr>Horsefly CHAR</vt:lpstr>
      <vt:lpstr>Corral Swamp CHAR</vt:lpstr>
      <vt:lpstr>Kings Tableland (RHS) CHAR</vt:lpstr>
      <vt:lpstr>Waterfall Creek CHAR</vt:lpstr>
      <vt:lpstr>Rocky Point CHAR</vt:lpstr>
      <vt:lpstr>All swamp sites CHAR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Maame Adwoa Maisie</dc:creator>
  <cp:lastModifiedBy>Maame Adwoa Maisie</cp:lastModifiedBy>
  <dcterms:created xsi:type="dcterms:W3CDTF">2025-12-02T14:18:37Z</dcterms:created>
  <dcterms:modified xsi:type="dcterms:W3CDTF">2025-12-03T05:47:14Z</dcterms:modified>
</cp:coreProperties>
</file>