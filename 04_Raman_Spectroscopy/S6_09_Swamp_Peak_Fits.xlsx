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8700006_ad_unsw_edu_au/Documents/WoodCharcoal (ScottMooney)/Charcoal Raman 2024/"/>
    </mc:Choice>
  </mc:AlternateContent>
  <xr:revisionPtr revIDLastSave="278" documentId="8_{27082238-8233-45F5-9CAB-0B045CD8ECBE}" xr6:coauthVersionLast="47" xr6:coauthVersionMax="47" xr10:uidLastSave="{F5402EE3-866A-407A-A33E-987977CE03BA}"/>
  <bookViews>
    <workbookView xWindow="28680" yWindow="-120" windowWidth="29040" windowHeight="15720" firstSheet="8" activeTab="8" xr2:uid="{00000000-000D-0000-FFFF-FFFF00000000}"/>
  </bookViews>
  <sheets>
    <sheet name="Corrale Swamp" sheetId="1" r:id="rId1"/>
    <sheet name="Horsefly Swamp" sheetId="2" r:id="rId2"/>
    <sheet name="Waterfall Creek" sheetId="3" r:id="rId3"/>
    <sheet name="Rocky Point" sheetId="4" r:id="rId4"/>
    <sheet name="Fortress Creek" sheetId="5" r:id="rId5"/>
    <sheet name="Kings Tableland" sheetId="6" r:id="rId6"/>
    <sheet name="Urella Brook" sheetId="7" r:id="rId7"/>
    <sheet name="Matlab" sheetId="8" r:id="rId8"/>
    <sheet name="Result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415" i="8" l="1"/>
  <c r="AW415" i="8"/>
  <c r="AV415" i="8"/>
  <c r="AU415" i="8"/>
  <c r="AT415" i="8"/>
  <c r="AS415" i="8"/>
  <c r="AR415" i="8"/>
  <c r="AQ415" i="8"/>
  <c r="AP415" i="8"/>
  <c r="AO415" i="8"/>
  <c r="AN415" i="8"/>
  <c r="AM415" i="8"/>
  <c r="AL415" i="8"/>
  <c r="AK415" i="8"/>
  <c r="AJ415" i="8"/>
  <c r="AI415" i="8"/>
  <c r="AH415" i="8"/>
  <c r="AG415" i="8"/>
  <c r="AF415" i="8"/>
  <c r="AE415" i="8"/>
  <c r="AD415" i="8"/>
  <c r="AC415" i="8"/>
  <c r="AB415" i="8"/>
  <c r="AA415" i="8"/>
  <c r="Z415" i="8"/>
  <c r="Y415" i="8"/>
  <c r="X415" i="8"/>
  <c r="W415" i="8"/>
  <c r="V415" i="8"/>
  <c r="U415" i="8"/>
  <c r="T415" i="8"/>
  <c r="S415" i="8"/>
  <c r="R415" i="8"/>
  <c r="Q415" i="8"/>
  <c r="P415" i="8"/>
  <c r="O415" i="8"/>
  <c r="N415" i="8"/>
  <c r="M415" i="8"/>
  <c r="L415" i="8"/>
  <c r="K415" i="8"/>
  <c r="J415" i="8"/>
  <c r="I415" i="8"/>
  <c r="H415" i="8"/>
  <c r="G415" i="8"/>
  <c r="F415" i="8"/>
  <c r="E415" i="8"/>
  <c r="D415" i="8"/>
  <c r="A415" i="8"/>
  <c r="AX414" i="8"/>
  <c r="AW414" i="8"/>
  <c r="AV414" i="8"/>
  <c r="AU414" i="8"/>
  <c r="AT414" i="8"/>
  <c r="AS414" i="8"/>
  <c r="AR414" i="8"/>
  <c r="AQ414" i="8"/>
  <c r="AP414" i="8"/>
  <c r="AO414" i="8"/>
  <c r="AN414" i="8"/>
  <c r="AM414" i="8"/>
  <c r="AL414" i="8"/>
  <c r="AK414" i="8"/>
  <c r="AJ414" i="8"/>
  <c r="AI414" i="8"/>
  <c r="AH414" i="8"/>
  <c r="AG414" i="8"/>
  <c r="AF414" i="8"/>
  <c r="AE414" i="8"/>
  <c r="AD414" i="8"/>
  <c r="AC414" i="8"/>
  <c r="AB414" i="8"/>
  <c r="AA414" i="8"/>
  <c r="Z414" i="8"/>
  <c r="Y414" i="8"/>
  <c r="X414" i="8"/>
  <c r="W414" i="8"/>
  <c r="V414" i="8"/>
  <c r="U414" i="8"/>
  <c r="T414" i="8"/>
  <c r="S414" i="8"/>
  <c r="R414" i="8"/>
  <c r="Q414" i="8"/>
  <c r="P414" i="8"/>
  <c r="O414" i="8"/>
  <c r="N414" i="8"/>
  <c r="M414" i="8"/>
  <c r="L414" i="8"/>
  <c r="K414" i="8"/>
  <c r="J414" i="8"/>
  <c r="I414" i="8"/>
  <c r="H414" i="8"/>
  <c r="G414" i="8"/>
  <c r="F414" i="8"/>
  <c r="E414" i="8"/>
  <c r="D414" i="8"/>
  <c r="A414" i="8"/>
  <c r="AX413" i="8"/>
  <c r="AW413" i="8"/>
  <c r="AV413" i="8"/>
  <c r="AU413" i="8"/>
  <c r="AT413" i="8"/>
  <c r="AS413" i="8"/>
  <c r="AR413" i="8"/>
  <c r="AQ413" i="8"/>
  <c r="AP413" i="8"/>
  <c r="AO413" i="8"/>
  <c r="AN413" i="8"/>
  <c r="AM413" i="8"/>
  <c r="AL413" i="8"/>
  <c r="AK413" i="8"/>
  <c r="AJ413" i="8"/>
  <c r="AI413" i="8"/>
  <c r="AH413" i="8"/>
  <c r="AG413" i="8"/>
  <c r="AF413" i="8"/>
  <c r="AE413" i="8"/>
  <c r="AD413" i="8"/>
  <c r="AC413" i="8"/>
  <c r="AB413" i="8"/>
  <c r="AA413" i="8"/>
  <c r="Z413" i="8"/>
  <c r="Y413" i="8"/>
  <c r="X413" i="8"/>
  <c r="W413" i="8"/>
  <c r="V413" i="8"/>
  <c r="U413" i="8"/>
  <c r="T413" i="8"/>
  <c r="S413" i="8"/>
  <c r="R413" i="8"/>
  <c r="Q413" i="8"/>
  <c r="P413" i="8"/>
  <c r="O413" i="8"/>
  <c r="N413" i="8"/>
  <c r="M413" i="8"/>
  <c r="L413" i="8"/>
  <c r="K413" i="8"/>
  <c r="J413" i="8"/>
  <c r="I413" i="8"/>
  <c r="H413" i="8"/>
  <c r="G413" i="8"/>
  <c r="F413" i="8"/>
  <c r="E413" i="8"/>
  <c r="D413" i="8"/>
  <c r="A413" i="8"/>
  <c r="AX412" i="8"/>
  <c r="AW412" i="8"/>
  <c r="AV412" i="8"/>
  <c r="AU412" i="8"/>
  <c r="AT412" i="8"/>
  <c r="AS412" i="8"/>
  <c r="AR412" i="8"/>
  <c r="AQ412" i="8"/>
  <c r="AP412" i="8"/>
  <c r="AO412" i="8"/>
  <c r="AN412" i="8"/>
  <c r="AM412" i="8"/>
  <c r="AL412" i="8"/>
  <c r="AK412" i="8"/>
  <c r="AJ412" i="8"/>
  <c r="AI412" i="8"/>
  <c r="AH412" i="8"/>
  <c r="AG412" i="8"/>
  <c r="AF412" i="8"/>
  <c r="AE412" i="8"/>
  <c r="AD412" i="8"/>
  <c r="AC412" i="8"/>
  <c r="AB412" i="8"/>
  <c r="AA412" i="8"/>
  <c r="Z412" i="8"/>
  <c r="Y412" i="8"/>
  <c r="X412" i="8"/>
  <c r="W412" i="8"/>
  <c r="V412" i="8"/>
  <c r="U412" i="8"/>
  <c r="T412" i="8"/>
  <c r="S412" i="8"/>
  <c r="R412" i="8"/>
  <c r="Q412" i="8"/>
  <c r="P412" i="8"/>
  <c r="O412" i="8"/>
  <c r="N412" i="8"/>
  <c r="M412" i="8"/>
  <c r="L412" i="8"/>
  <c r="K412" i="8"/>
  <c r="J412" i="8"/>
  <c r="I412" i="8"/>
  <c r="H412" i="8"/>
  <c r="G412" i="8"/>
  <c r="F412" i="8"/>
  <c r="E412" i="8"/>
  <c r="D412" i="8"/>
  <c r="A412" i="8"/>
  <c r="AX411" i="8"/>
  <c r="AW411" i="8"/>
  <c r="AV411" i="8"/>
  <c r="AU411" i="8"/>
  <c r="AT411" i="8"/>
  <c r="AS411" i="8"/>
  <c r="AR411" i="8"/>
  <c r="AQ411" i="8"/>
  <c r="AP411" i="8"/>
  <c r="AO411" i="8"/>
  <c r="AN411" i="8"/>
  <c r="AM411" i="8"/>
  <c r="AL411" i="8"/>
  <c r="AK411" i="8"/>
  <c r="AJ411" i="8"/>
  <c r="AI411" i="8"/>
  <c r="AH411" i="8"/>
  <c r="AG411" i="8"/>
  <c r="AF411" i="8"/>
  <c r="AE411" i="8"/>
  <c r="AD411" i="8"/>
  <c r="AC411" i="8"/>
  <c r="AB411" i="8"/>
  <c r="AA411" i="8"/>
  <c r="Z411" i="8"/>
  <c r="Y411" i="8"/>
  <c r="X411" i="8"/>
  <c r="W411" i="8"/>
  <c r="V411" i="8"/>
  <c r="U411" i="8"/>
  <c r="T411" i="8"/>
  <c r="S411" i="8"/>
  <c r="R411" i="8"/>
  <c r="Q411" i="8"/>
  <c r="P411" i="8"/>
  <c r="O411" i="8"/>
  <c r="N411" i="8"/>
  <c r="M411" i="8"/>
  <c r="L411" i="8"/>
  <c r="K411" i="8"/>
  <c r="J411" i="8"/>
  <c r="I411" i="8"/>
  <c r="H411" i="8"/>
  <c r="G411" i="8"/>
  <c r="F411" i="8"/>
  <c r="E411" i="8"/>
  <c r="D411" i="8"/>
  <c r="A411" i="8"/>
  <c r="AX410" i="8"/>
  <c r="AW410" i="8"/>
  <c r="AV410" i="8"/>
  <c r="AU410" i="8"/>
  <c r="AT410" i="8"/>
  <c r="AS410" i="8"/>
  <c r="AR410" i="8"/>
  <c r="AQ410" i="8"/>
  <c r="AP410" i="8"/>
  <c r="AO410" i="8"/>
  <c r="AN410" i="8"/>
  <c r="AM410" i="8"/>
  <c r="AL410" i="8"/>
  <c r="AK410" i="8"/>
  <c r="AJ410" i="8"/>
  <c r="AI410" i="8"/>
  <c r="AH410" i="8"/>
  <c r="AG410" i="8"/>
  <c r="AF410" i="8"/>
  <c r="AE410" i="8"/>
  <c r="AD410" i="8"/>
  <c r="AC410" i="8"/>
  <c r="AB410" i="8"/>
  <c r="AA410" i="8"/>
  <c r="Z410" i="8"/>
  <c r="Y410" i="8"/>
  <c r="X410" i="8"/>
  <c r="W410" i="8"/>
  <c r="V410" i="8"/>
  <c r="U410" i="8"/>
  <c r="T410" i="8"/>
  <c r="S410" i="8"/>
  <c r="R410" i="8"/>
  <c r="Q410" i="8"/>
  <c r="P410" i="8"/>
  <c r="O410" i="8"/>
  <c r="N410" i="8"/>
  <c r="M410" i="8"/>
  <c r="L410" i="8"/>
  <c r="K410" i="8"/>
  <c r="J410" i="8"/>
  <c r="I410" i="8"/>
  <c r="H410" i="8"/>
  <c r="G410" i="8"/>
  <c r="F410" i="8"/>
  <c r="E410" i="8"/>
  <c r="D410" i="8"/>
  <c r="A410" i="8"/>
  <c r="AX409" i="8"/>
  <c r="AW409" i="8"/>
  <c r="AV409" i="8"/>
  <c r="AU409" i="8"/>
  <c r="AT409" i="8"/>
  <c r="AS409" i="8"/>
  <c r="AR409" i="8"/>
  <c r="AQ409" i="8"/>
  <c r="AP409" i="8"/>
  <c r="AO409" i="8"/>
  <c r="AN409" i="8"/>
  <c r="AM409" i="8"/>
  <c r="AL409" i="8"/>
  <c r="AK409" i="8"/>
  <c r="AJ409" i="8"/>
  <c r="AI409" i="8"/>
  <c r="AH409" i="8"/>
  <c r="AG409" i="8"/>
  <c r="AF409" i="8"/>
  <c r="AE409" i="8"/>
  <c r="AD409" i="8"/>
  <c r="AC409" i="8"/>
  <c r="AB409" i="8"/>
  <c r="AA409" i="8"/>
  <c r="Z409" i="8"/>
  <c r="Y409" i="8"/>
  <c r="X409" i="8"/>
  <c r="W409" i="8"/>
  <c r="V409" i="8"/>
  <c r="U409" i="8"/>
  <c r="T409" i="8"/>
  <c r="S409" i="8"/>
  <c r="R409" i="8"/>
  <c r="Q409" i="8"/>
  <c r="P409" i="8"/>
  <c r="O409" i="8"/>
  <c r="N409" i="8"/>
  <c r="M409" i="8"/>
  <c r="L409" i="8"/>
  <c r="K409" i="8"/>
  <c r="J409" i="8"/>
  <c r="I409" i="8"/>
  <c r="H409" i="8"/>
  <c r="G409" i="8"/>
  <c r="F409" i="8"/>
  <c r="E409" i="8"/>
  <c r="D409" i="8"/>
  <c r="A409" i="8"/>
  <c r="AX408" i="8"/>
  <c r="AW408" i="8"/>
  <c r="AV408" i="8"/>
  <c r="AU408" i="8"/>
  <c r="AT408" i="8"/>
  <c r="AS408" i="8"/>
  <c r="AR408" i="8"/>
  <c r="AQ408" i="8"/>
  <c r="AP408" i="8"/>
  <c r="AO408" i="8"/>
  <c r="AN408" i="8"/>
  <c r="AM408" i="8"/>
  <c r="AL408" i="8"/>
  <c r="AK408" i="8"/>
  <c r="AJ408" i="8"/>
  <c r="AI408" i="8"/>
  <c r="AH408" i="8"/>
  <c r="AG408" i="8"/>
  <c r="AF408" i="8"/>
  <c r="AE408" i="8"/>
  <c r="AD408" i="8"/>
  <c r="AC408" i="8"/>
  <c r="AB408" i="8"/>
  <c r="AA408" i="8"/>
  <c r="Z408" i="8"/>
  <c r="Y408" i="8"/>
  <c r="X408" i="8"/>
  <c r="W408" i="8"/>
  <c r="V408" i="8"/>
  <c r="U408" i="8"/>
  <c r="T408" i="8"/>
  <c r="S408" i="8"/>
  <c r="R408" i="8"/>
  <c r="Q408" i="8"/>
  <c r="P408" i="8"/>
  <c r="O408" i="8"/>
  <c r="N408" i="8"/>
  <c r="M408" i="8"/>
  <c r="L408" i="8"/>
  <c r="K408" i="8"/>
  <c r="J408" i="8"/>
  <c r="I408" i="8"/>
  <c r="H408" i="8"/>
  <c r="G408" i="8"/>
  <c r="F408" i="8"/>
  <c r="E408" i="8"/>
  <c r="D408" i="8"/>
  <c r="A408" i="8"/>
  <c r="AX407" i="8"/>
  <c r="AW407" i="8"/>
  <c r="AV407" i="8"/>
  <c r="AU407" i="8"/>
  <c r="AT407" i="8"/>
  <c r="AS407" i="8"/>
  <c r="AR407" i="8"/>
  <c r="AQ407" i="8"/>
  <c r="AP407" i="8"/>
  <c r="AO407" i="8"/>
  <c r="AN407" i="8"/>
  <c r="AM407" i="8"/>
  <c r="AL407" i="8"/>
  <c r="AK407" i="8"/>
  <c r="AJ407" i="8"/>
  <c r="AI407" i="8"/>
  <c r="AH407" i="8"/>
  <c r="AG407" i="8"/>
  <c r="AF407" i="8"/>
  <c r="AE407" i="8"/>
  <c r="AD407" i="8"/>
  <c r="AC407" i="8"/>
  <c r="AB407" i="8"/>
  <c r="AA407" i="8"/>
  <c r="Z407" i="8"/>
  <c r="Y407" i="8"/>
  <c r="X407" i="8"/>
  <c r="W407" i="8"/>
  <c r="V407" i="8"/>
  <c r="U407" i="8"/>
  <c r="T407" i="8"/>
  <c r="S407" i="8"/>
  <c r="R407" i="8"/>
  <c r="Q407" i="8"/>
  <c r="P407" i="8"/>
  <c r="O407" i="8"/>
  <c r="N407" i="8"/>
  <c r="M407" i="8"/>
  <c r="L407" i="8"/>
  <c r="K407" i="8"/>
  <c r="J407" i="8"/>
  <c r="I407" i="8"/>
  <c r="H407" i="8"/>
  <c r="G407" i="8"/>
  <c r="F407" i="8"/>
  <c r="E407" i="8"/>
  <c r="D407" i="8"/>
  <c r="A407" i="8"/>
  <c r="AX406" i="8"/>
  <c r="AW406" i="8"/>
  <c r="AV406" i="8"/>
  <c r="AU406" i="8"/>
  <c r="AT406" i="8"/>
  <c r="AS406" i="8"/>
  <c r="AR406" i="8"/>
  <c r="AQ406" i="8"/>
  <c r="AP406" i="8"/>
  <c r="AO406" i="8"/>
  <c r="AN406" i="8"/>
  <c r="AM406" i="8"/>
  <c r="AL406" i="8"/>
  <c r="AK406" i="8"/>
  <c r="AJ406" i="8"/>
  <c r="AI406" i="8"/>
  <c r="AH406" i="8"/>
  <c r="AG406" i="8"/>
  <c r="AF406" i="8"/>
  <c r="AE406" i="8"/>
  <c r="AD406" i="8"/>
  <c r="AC406" i="8"/>
  <c r="AB406" i="8"/>
  <c r="AA406" i="8"/>
  <c r="Z406" i="8"/>
  <c r="Y406" i="8"/>
  <c r="X406" i="8"/>
  <c r="W406" i="8"/>
  <c r="V406" i="8"/>
  <c r="U406" i="8"/>
  <c r="T406" i="8"/>
  <c r="S406" i="8"/>
  <c r="R406" i="8"/>
  <c r="Q406" i="8"/>
  <c r="P406" i="8"/>
  <c r="O406" i="8"/>
  <c r="N406" i="8"/>
  <c r="M406" i="8"/>
  <c r="L406" i="8"/>
  <c r="K406" i="8"/>
  <c r="J406" i="8"/>
  <c r="I406" i="8"/>
  <c r="H406" i="8"/>
  <c r="G406" i="8"/>
  <c r="F406" i="8"/>
  <c r="E406" i="8"/>
  <c r="D406" i="8"/>
  <c r="A406" i="8"/>
  <c r="AX405" i="8"/>
  <c r="AW405" i="8"/>
  <c r="AV405" i="8"/>
  <c r="AU405" i="8"/>
  <c r="AT405" i="8"/>
  <c r="AS405" i="8"/>
  <c r="AR405" i="8"/>
  <c r="AQ405" i="8"/>
  <c r="AP405" i="8"/>
  <c r="AO405" i="8"/>
  <c r="AN405" i="8"/>
  <c r="AM405" i="8"/>
  <c r="AL405" i="8"/>
  <c r="AK405" i="8"/>
  <c r="AJ405" i="8"/>
  <c r="AI405" i="8"/>
  <c r="AH405" i="8"/>
  <c r="AG405" i="8"/>
  <c r="AF405" i="8"/>
  <c r="AE405" i="8"/>
  <c r="AD405" i="8"/>
  <c r="AC405" i="8"/>
  <c r="AB405" i="8"/>
  <c r="AA405" i="8"/>
  <c r="Z405" i="8"/>
  <c r="Y405" i="8"/>
  <c r="X405" i="8"/>
  <c r="W405" i="8"/>
  <c r="V405" i="8"/>
  <c r="U405" i="8"/>
  <c r="T405" i="8"/>
  <c r="S405" i="8"/>
  <c r="R405" i="8"/>
  <c r="Q405" i="8"/>
  <c r="P405" i="8"/>
  <c r="O405" i="8"/>
  <c r="N405" i="8"/>
  <c r="M405" i="8"/>
  <c r="L405" i="8"/>
  <c r="K405" i="8"/>
  <c r="J405" i="8"/>
  <c r="I405" i="8"/>
  <c r="H405" i="8"/>
  <c r="G405" i="8"/>
  <c r="F405" i="8"/>
  <c r="E405" i="8"/>
  <c r="D405" i="8"/>
  <c r="A405" i="8"/>
  <c r="AX404" i="8"/>
  <c r="AW404" i="8"/>
  <c r="AV404" i="8"/>
  <c r="AU404" i="8"/>
  <c r="AT404" i="8"/>
  <c r="AS404" i="8"/>
  <c r="AR404" i="8"/>
  <c r="AQ404" i="8"/>
  <c r="AP404" i="8"/>
  <c r="AO404" i="8"/>
  <c r="AN404" i="8"/>
  <c r="AM404" i="8"/>
  <c r="AL404" i="8"/>
  <c r="AK404" i="8"/>
  <c r="AJ404" i="8"/>
  <c r="AI404" i="8"/>
  <c r="AH404" i="8"/>
  <c r="AG404" i="8"/>
  <c r="AF404" i="8"/>
  <c r="AE404" i="8"/>
  <c r="AD404" i="8"/>
  <c r="AC404" i="8"/>
  <c r="AB404" i="8"/>
  <c r="AA404" i="8"/>
  <c r="Z404" i="8"/>
  <c r="Y404" i="8"/>
  <c r="X404" i="8"/>
  <c r="W404" i="8"/>
  <c r="V404" i="8"/>
  <c r="U404" i="8"/>
  <c r="T404" i="8"/>
  <c r="S404" i="8"/>
  <c r="R404" i="8"/>
  <c r="Q404" i="8"/>
  <c r="P404" i="8"/>
  <c r="O404" i="8"/>
  <c r="N404" i="8"/>
  <c r="M404" i="8"/>
  <c r="L404" i="8"/>
  <c r="K404" i="8"/>
  <c r="J404" i="8"/>
  <c r="I404" i="8"/>
  <c r="H404" i="8"/>
  <c r="G404" i="8"/>
  <c r="F404" i="8"/>
  <c r="E404" i="8"/>
  <c r="D404" i="8"/>
  <c r="A404" i="8"/>
  <c r="AX403" i="8"/>
  <c r="AW403" i="8"/>
  <c r="AV403" i="8"/>
  <c r="AU403" i="8"/>
  <c r="AT403" i="8"/>
  <c r="AS403" i="8"/>
  <c r="AR403" i="8"/>
  <c r="AQ403" i="8"/>
  <c r="AP403" i="8"/>
  <c r="AO403" i="8"/>
  <c r="AN403" i="8"/>
  <c r="AM403" i="8"/>
  <c r="AL403" i="8"/>
  <c r="AK403" i="8"/>
  <c r="AJ403" i="8"/>
  <c r="AI403" i="8"/>
  <c r="AH403" i="8"/>
  <c r="AG403" i="8"/>
  <c r="AF403" i="8"/>
  <c r="AE403" i="8"/>
  <c r="AD403" i="8"/>
  <c r="AC403" i="8"/>
  <c r="AB403" i="8"/>
  <c r="AA403" i="8"/>
  <c r="Z403" i="8"/>
  <c r="Y403" i="8"/>
  <c r="X403" i="8"/>
  <c r="W403" i="8"/>
  <c r="V403" i="8"/>
  <c r="U403" i="8"/>
  <c r="T403" i="8"/>
  <c r="S403" i="8"/>
  <c r="R403" i="8"/>
  <c r="Q403" i="8"/>
  <c r="P403" i="8"/>
  <c r="O403" i="8"/>
  <c r="N403" i="8"/>
  <c r="M403" i="8"/>
  <c r="L403" i="8"/>
  <c r="K403" i="8"/>
  <c r="J403" i="8"/>
  <c r="I403" i="8"/>
  <c r="H403" i="8"/>
  <c r="G403" i="8"/>
  <c r="F403" i="8"/>
  <c r="E403" i="8"/>
  <c r="D403" i="8"/>
  <c r="A403" i="8"/>
  <c r="AX402" i="8"/>
  <c r="AW402" i="8"/>
  <c r="AV402" i="8"/>
  <c r="AU402" i="8"/>
  <c r="AT402" i="8"/>
  <c r="AS402" i="8"/>
  <c r="AR402" i="8"/>
  <c r="AQ402" i="8"/>
  <c r="AP402" i="8"/>
  <c r="AO402" i="8"/>
  <c r="AN402" i="8"/>
  <c r="AM402" i="8"/>
  <c r="AL402" i="8"/>
  <c r="AK402" i="8"/>
  <c r="AJ402" i="8"/>
  <c r="AI402" i="8"/>
  <c r="AH402" i="8"/>
  <c r="AG402" i="8"/>
  <c r="AF402" i="8"/>
  <c r="AE402" i="8"/>
  <c r="AD402" i="8"/>
  <c r="AC402" i="8"/>
  <c r="AB402" i="8"/>
  <c r="AA402" i="8"/>
  <c r="Z402" i="8"/>
  <c r="Y402" i="8"/>
  <c r="X402" i="8"/>
  <c r="W402" i="8"/>
  <c r="V402" i="8"/>
  <c r="U402" i="8"/>
  <c r="T402" i="8"/>
  <c r="S402" i="8"/>
  <c r="R402" i="8"/>
  <c r="Q402" i="8"/>
  <c r="P402" i="8"/>
  <c r="O402" i="8"/>
  <c r="N402" i="8"/>
  <c r="M402" i="8"/>
  <c r="L402" i="8"/>
  <c r="K402" i="8"/>
  <c r="J402" i="8"/>
  <c r="I402" i="8"/>
  <c r="H402" i="8"/>
  <c r="G402" i="8"/>
  <c r="F402" i="8"/>
  <c r="E402" i="8"/>
  <c r="D402" i="8"/>
  <c r="A402" i="8"/>
  <c r="AX401" i="8"/>
  <c r="AW401" i="8"/>
  <c r="AV401" i="8"/>
  <c r="AU401" i="8"/>
  <c r="AT401" i="8"/>
  <c r="AS401" i="8"/>
  <c r="AR401" i="8"/>
  <c r="AQ401" i="8"/>
  <c r="AP401" i="8"/>
  <c r="AO401" i="8"/>
  <c r="AN401" i="8"/>
  <c r="AM401" i="8"/>
  <c r="AL401" i="8"/>
  <c r="AK401" i="8"/>
  <c r="AJ401" i="8"/>
  <c r="AI401" i="8"/>
  <c r="AH401" i="8"/>
  <c r="AG401" i="8"/>
  <c r="AF401" i="8"/>
  <c r="AE401" i="8"/>
  <c r="AD401" i="8"/>
  <c r="AC401" i="8"/>
  <c r="AB401" i="8"/>
  <c r="AA401" i="8"/>
  <c r="Z401" i="8"/>
  <c r="Y401" i="8"/>
  <c r="X401" i="8"/>
  <c r="W401" i="8"/>
  <c r="V401" i="8"/>
  <c r="U401" i="8"/>
  <c r="T401" i="8"/>
  <c r="S401" i="8"/>
  <c r="R401" i="8"/>
  <c r="Q401" i="8"/>
  <c r="P401" i="8"/>
  <c r="O401" i="8"/>
  <c r="N401" i="8"/>
  <c r="M401" i="8"/>
  <c r="L401" i="8"/>
  <c r="K401" i="8"/>
  <c r="J401" i="8"/>
  <c r="I401" i="8"/>
  <c r="H401" i="8"/>
  <c r="G401" i="8"/>
  <c r="F401" i="8"/>
  <c r="E401" i="8"/>
  <c r="D401" i="8"/>
  <c r="A401" i="8"/>
  <c r="AX400" i="8"/>
  <c r="AW400" i="8"/>
  <c r="AV400" i="8"/>
  <c r="AU400" i="8"/>
  <c r="AT400" i="8"/>
  <c r="AS400" i="8"/>
  <c r="AR400" i="8"/>
  <c r="AQ400" i="8"/>
  <c r="AP400" i="8"/>
  <c r="AO400" i="8"/>
  <c r="AN400" i="8"/>
  <c r="AM400" i="8"/>
  <c r="AL400" i="8"/>
  <c r="AK400" i="8"/>
  <c r="AJ400" i="8"/>
  <c r="AI400" i="8"/>
  <c r="AH400" i="8"/>
  <c r="AG400" i="8"/>
  <c r="AF400" i="8"/>
  <c r="AE400" i="8"/>
  <c r="AD400" i="8"/>
  <c r="AC400" i="8"/>
  <c r="AB400" i="8"/>
  <c r="AA400" i="8"/>
  <c r="Z400" i="8"/>
  <c r="Y400" i="8"/>
  <c r="X400" i="8"/>
  <c r="W400" i="8"/>
  <c r="V400" i="8"/>
  <c r="U400" i="8"/>
  <c r="T400" i="8"/>
  <c r="S400" i="8"/>
  <c r="R400" i="8"/>
  <c r="Q400" i="8"/>
  <c r="P400" i="8"/>
  <c r="O400" i="8"/>
  <c r="N400" i="8"/>
  <c r="M400" i="8"/>
  <c r="L400" i="8"/>
  <c r="K400" i="8"/>
  <c r="J400" i="8"/>
  <c r="I400" i="8"/>
  <c r="H400" i="8"/>
  <c r="G400" i="8"/>
  <c r="F400" i="8"/>
  <c r="E400" i="8"/>
  <c r="D400" i="8"/>
  <c r="A400" i="8"/>
  <c r="AX399" i="8"/>
  <c r="AW399" i="8"/>
  <c r="AV399" i="8"/>
  <c r="AU399" i="8"/>
  <c r="AT399" i="8"/>
  <c r="AS399" i="8"/>
  <c r="AR399" i="8"/>
  <c r="AQ399" i="8"/>
  <c r="AP399" i="8"/>
  <c r="AO399" i="8"/>
  <c r="AN399" i="8"/>
  <c r="AM399" i="8"/>
  <c r="AL399" i="8"/>
  <c r="AK399" i="8"/>
  <c r="AJ399" i="8"/>
  <c r="AI399" i="8"/>
  <c r="AH399" i="8"/>
  <c r="AG399" i="8"/>
  <c r="AF399" i="8"/>
  <c r="AE399" i="8"/>
  <c r="AD399" i="8"/>
  <c r="AC399" i="8"/>
  <c r="AB399" i="8"/>
  <c r="AA399" i="8"/>
  <c r="Z399" i="8"/>
  <c r="Y399" i="8"/>
  <c r="X399" i="8"/>
  <c r="W399" i="8"/>
  <c r="V399" i="8"/>
  <c r="U399" i="8"/>
  <c r="T399" i="8"/>
  <c r="S399" i="8"/>
  <c r="R399" i="8"/>
  <c r="Q399" i="8"/>
  <c r="P399" i="8"/>
  <c r="O399" i="8"/>
  <c r="N399" i="8"/>
  <c r="M399" i="8"/>
  <c r="L399" i="8"/>
  <c r="K399" i="8"/>
  <c r="J399" i="8"/>
  <c r="I399" i="8"/>
  <c r="H399" i="8"/>
  <c r="G399" i="8"/>
  <c r="F399" i="8"/>
  <c r="E399" i="8"/>
  <c r="D399" i="8"/>
  <c r="A399" i="8"/>
  <c r="AX398" i="8"/>
  <c r="AW398" i="8"/>
  <c r="AV398" i="8"/>
  <c r="AU398" i="8"/>
  <c r="AT398" i="8"/>
  <c r="AS398" i="8"/>
  <c r="AR398" i="8"/>
  <c r="AQ398" i="8"/>
  <c r="AP398" i="8"/>
  <c r="AO398" i="8"/>
  <c r="AN398" i="8"/>
  <c r="AM398" i="8"/>
  <c r="AL398" i="8"/>
  <c r="AK398" i="8"/>
  <c r="AJ398" i="8"/>
  <c r="AI398" i="8"/>
  <c r="AH398" i="8"/>
  <c r="AG398" i="8"/>
  <c r="AF398" i="8"/>
  <c r="AE398" i="8"/>
  <c r="AD398" i="8"/>
  <c r="AC398" i="8"/>
  <c r="AB398" i="8"/>
  <c r="AA398" i="8"/>
  <c r="Z398" i="8"/>
  <c r="Y398" i="8"/>
  <c r="X398" i="8"/>
  <c r="W398" i="8"/>
  <c r="V398" i="8"/>
  <c r="U398" i="8"/>
  <c r="T398" i="8"/>
  <c r="S398" i="8"/>
  <c r="R398" i="8"/>
  <c r="Q398" i="8"/>
  <c r="P398" i="8"/>
  <c r="O398" i="8"/>
  <c r="N398" i="8"/>
  <c r="M398" i="8"/>
  <c r="L398" i="8"/>
  <c r="K398" i="8"/>
  <c r="J398" i="8"/>
  <c r="I398" i="8"/>
  <c r="H398" i="8"/>
  <c r="G398" i="8"/>
  <c r="F398" i="8"/>
  <c r="E398" i="8"/>
  <c r="D398" i="8"/>
  <c r="A398" i="8"/>
  <c r="AX397" i="8"/>
  <c r="AW397" i="8"/>
  <c r="AV397" i="8"/>
  <c r="AU397" i="8"/>
  <c r="AT397" i="8"/>
  <c r="AS397" i="8"/>
  <c r="AR397" i="8"/>
  <c r="AQ397" i="8"/>
  <c r="AP397" i="8"/>
  <c r="AO397" i="8"/>
  <c r="AN397" i="8"/>
  <c r="AM397" i="8"/>
  <c r="AL397" i="8"/>
  <c r="AK397" i="8"/>
  <c r="AJ397" i="8"/>
  <c r="AI397" i="8"/>
  <c r="AH397" i="8"/>
  <c r="AG397" i="8"/>
  <c r="AF397" i="8"/>
  <c r="AE397" i="8"/>
  <c r="AD397" i="8"/>
  <c r="AC397" i="8"/>
  <c r="AB397" i="8"/>
  <c r="AA397" i="8"/>
  <c r="Z397" i="8"/>
  <c r="Y397" i="8"/>
  <c r="X397" i="8"/>
  <c r="W397" i="8"/>
  <c r="V397" i="8"/>
  <c r="U397" i="8"/>
  <c r="T397" i="8"/>
  <c r="S397" i="8"/>
  <c r="R397" i="8"/>
  <c r="Q397" i="8"/>
  <c r="P397" i="8"/>
  <c r="O397" i="8"/>
  <c r="N397" i="8"/>
  <c r="M397" i="8"/>
  <c r="L397" i="8"/>
  <c r="K397" i="8"/>
  <c r="J397" i="8"/>
  <c r="I397" i="8"/>
  <c r="H397" i="8"/>
  <c r="G397" i="8"/>
  <c r="F397" i="8"/>
  <c r="E397" i="8"/>
  <c r="D397" i="8"/>
  <c r="A397" i="8"/>
  <c r="AX396" i="8"/>
  <c r="AW396" i="8"/>
  <c r="AV396" i="8"/>
  <c r="AU396" i="8"/>
  <c r="AT396" i="8"/>
  <c r="AS396" i="8"/>
  <c r="AR396" i="8"/>
  <c r="AQ396" i="8"/>
  <c r="AP396" i="8"/>
  <c r="AO396" i="8"/>
  <c r="AN396" i="8"/>
  <c r="AM396" i="8"/>
  <c r="AL396" i="8"/>
  <c r="AK396" i="8"/>
  <c r="AJ396" i="8"/>
  <c r="AI396" i="8"/>
  <c r="AH396" i="8"/>
  <c r="AG396" i="8"/>
  <c r="AF396" i="8"/>
  <c r="AE396" i="8"/>
  <c r="AD396" i="8"/>
  <c r="AC396" i="8"/>
  <c r="AB396" i="8"/>
  <c r="AA396" i="8"/>
  <c r="Z396" i="8"/>
  <c r="Y396" i="8"/>
  <c r="X396" i="8"/>
  <c r="W396" i="8"/>
  <c r="V396" i="8"/>
  <c r="U396" i="8"/>
  <c r="T396" i="8"/>
  <c r="S396" i="8"/>
  <c r="R396" i="8"/>
  <c r="Q396" i="8"/>
  <c r="P396" i="8"/>
  <c r="O396" i="8"/>
  <c r="N396" i="8"/>
  <c r="M396" i="8"/>
  <c r="L396" i="8"/>
  <c r="K396" i="8"/>
  <c r="J396" i="8"/>
  <c r="I396" i="8"/>
  <c r="H396" i="8"/>
  <c r="G396" i="8"/>
  <c r="F396" i="8"/>
  <c r="E396" i="8"/>
  <c r="D396" i="8"/>
  <c r="A396" i="8"/>
  <c r="AX395" i="8"/>
  <c r="AW395" i="8"/>
  <c r="AV395" i="8"/>
  <c r="AU395" i="8"/>
  <c r="AT395" i="8"/>
  <c r="AS395" i="8"/>
  <c r="AR395" i="8"/>
  <c r="AQ395" i="8"/>
  <c r="AP395" i="8"/>
  <c r="AO395" i="8"/>
  <c r="AN395" i="8"/>
  <c r="AM395" i="8"/>
  <c r="AL395" i="8"/>
  <c r="AK395" i="8"/>
  <c r="AJ395" i="8"/>
  <c r="AI395" i="8"/>
  <c r="AH395" i="8"/>
  <c r="AG395" i="8"/>
  <c r="AF395" i="8"/>
  <c r="AE395" i="8"/>
  <c r="AD395" i="8"/>
  <c r="AC395" i="8"/>
  <c r="AB395" i="8"/>
  <c r="AA395" i="8"/>
  <c r="Z395" i="8"/>
  <c r="Y395" i="8"/>
  <c r="X395" i="8"/>
  <c r="W395" i="8"/>
  <c r="V395" i="8"/>
  <c r="U395" i="8"/>
  <c r="T395" i="8"/>
  <c r="S395" i="8"/>
  <c r="R395" i="8"/>
  <c r="Q395" i="8"/>
  <c r="P395" i="8"/>
  <c r="O395" i="8"/>
  <c r="N395" i="8"/>
  <c r="M395" i="8"/>
  <c r="L395" i="8"/>
  <c r="K395" i="8"/>
  <c r="J395" i="8"/>
  <c r="I395" i="8"/>
  <c r="H395" i="8"/>
  <c r="G395" i="8"/>
  <c r="F395" i="8"/>
  <c r="E395" i="8"/>
  <c r="D395" i="8"/>
  <c r="A395" i="8"/>
  <c r="AX394" i="8"/>
  <c r="AW394" i="8"/>
  <c r="AV394" i="8"/>
  <c r="AU394" i="8"/>
  <c r="AT394" i="8"/>
  <c r="AS394" i="8"/>
  <c r="AR394" i="8"/>
  <c r="AQ394" i="8"/>
  <c r="AP394" i="8"/>
  <c r="AO394" i="8"/>
  <c r="AN394" i="8"/>
  <c r="AM394" i="8"/>
  <c r="AL394" i="8"/>
  <c r="AK394" i="8"/>
  <c r="AJ394" i="8"/>
  <c r="AI394" i="8"/>
  <c r="AH394" i="8"/>
  <c r="AG394" i="8"/>
  <c r="AF394" i="8"/>
  <c r="AE394" i="8"/>
  <c r="AD394" i="8"/>
  <c r="AC394" i="8"/>
  <c r="AB394" i="8"/>
  <c r="AA394" i="8"/>
  <c r="Z394" i="8"/>
  <c r="Y394" i="8"/>
  <c r="X394" i="8"/>
  <c r="W394" i="8"/>
  <c r="V394" i="8"/>
  <c r="U394" i="8"/>
  <c r="T394" i="8"/>
  <c r="S394" i="8"/>
  <c r="R394" i="8"/>
  <c r="Q394" i="8"/>
  <c r="P394" i="8"/>
  <c r="O394" i="8"/>
  <c r="N394" i="8"/>
  <c r="M394" i="8"/>
  <c r="L394" i="8"/>
  <c r="K394" i="8"/>
  <c r="J394" i="8"/>
  <c r="I394" i="8"/>
  <c r="H394" i="8"/>
  <c r="G394" i="8"/>
  <c r="F394" i="8"/>
  <c r="E394" i="8"/>
  <c r="D394" i="8"/>
  <c r="A394" i="8"/>
  <c r="AX393" i="8"/>
  <c r="AW393" i="8"/>
  <c r="AV393" i="8"/>
  <c r="AU393" i="8"/>
  <c r="AT393" i="8"/>
  <c r="AS393" i="8"/>
  <c r="AR393" i="8"/>
  <c r="AQ393" i="8"/>
  <c r="AP393" i="8"/>
  <c r="AO393" i="8"/>
  <c r="AN393" i="8"/>
  <c r="AM393" i="8"/>
  <c r="AL393" i="8"/>
  <c r="AK393" i="8"/>
  <c r="AJ393" i="8"/>
  <c r="AI393" i="8"/>
  <c r="AH393" i="8"/>
  <c r="AG393" i="8"/>
  <c r="AF393" i="8"/>
  <c r="AE393" i="8"/>
  <c r="AD393" i="8"/>
  <c r="AC393" i="8"/>
  <c r="AB393" i="8"/>
  <c r="AA393" i="8"/>
  <c r="Z393" i="8"/>
  <c r="Y393" i="8"/>
  <c r="X393" i="8"/>
  <c r="W393" i="8"/>
  <c r="V393" i="8"/>
  <c r="U393" i="8"/>
  <c r="T393" i="8"/>
  <c r="S393" i="8"/>
  <c r="R393" i="8"/>
  <c r="Q393" i="8"/>
  <c r="P393" i="8"/>
  <c r="O393" i="8"/>
  <c r="N393" i="8"/>
  <c r="M393" i="8"/>
  <c r="L393" i="8"/>
  <c r="K393" i="8"/>
  <c r="J393" i="8"/>
  <c r="I393" i="8"/>
  <c r="H393" i="8"/>
  <c r="G393" i="8"/>
  <c r="F393" i="8"/>
  <c r="E393" i="8"/>
  <c r="D393" i="8"/>
  <c r="A393" i="8"/>
  <c r="AX392" i="8"/>
  <c r="AW392" i="8"/>
  <c r="AV392" i="8"/>
  <c r="AU392" i="8"/>
  <c r="AT392" i="8"/>
  <c r="AS392" i="8"/>
  <c r="AR392" i="8"/>
  <c r="AQ392" i="8"/>
  <c r="AP392" i="8"/>
  <c r="AO392" i="8"/>
  <c r="AN392" i="8"/>
  <c r="AM392" i="8"/>
  <c r="AL392" i="8"/>
  <c r="AK392" i="8"/>
  <c r="AJ392" i="8"/>
  <c r="AI392" i="8"/>
  <c r="AH392" i="8"/>
  <c r="AG392" i="8"/>
  <c r="AF392" i="8"/>
  <c r="AE392" i="8"/>
  <c r="AD392" i="8"/>
  <c r="AC392" i="8"/>
  <c r="AB392" i="8"/>
  <c r="AA392" i="8"/>
  <c r="Z392" i="8"/>
  <c r="Y392" i="8"/>
  <c r="X392" i="8"/>
  <c r="W392" i="8"/>
  <c r="V392" i="8"/>
  <c r="U392" i="8"/>
  <c r="T392" i="8"/>
  <c r="S392" i="8"/>
  <c r="R392" i="8"/>
  <c r="Q392" i="8"/>
  <c r="P392" i="8"/>
  <c r="O392" i="8"/>
  <c r="N392" i="8"/>
  <c r="M392" i="8"/>
  <c r="L392" i="8"/>
  <c r="K392" i="8"/>
  <c r="J392" i="8"/>
  <c r="I392" i="8"/>
  <c r="H392" i="8"/>
  <c r="G392" i="8"/>
  <c r="F392" i="8"/>
  <c r="E392" i="8"/>
  <c r="D392" i="8"/>
  <c r="A392" i="8"/>
  <c r="AX391" i="8"/>
  <c r="AW391" i="8"/>
  <c r="AV391" i="8"/>
  <c r="AU391" i="8"/>
  <c r="AT391" i="8"/>
  <c r="AS391" i="8"/>
  <c r="AR391" i="8"/>
  <c r="AQ391" i="8"/>
  <c r="AP391" i="8"/>
  <c r="AO391" i="8"/>
  <c r="AN391" i="8"/>
  <c r="AM391" i="8"/>
  <c r="AL391" i="8"/>
  <c r="AK391" i="8"/>
  <c r="AJ391" i="8"/>
  <c r="AI391" i="8"/>
  <c r="AH391" i="8"/>
  <c r="AG391" i="8"/>
  <c r="AF391" i="8"/>
  <c r="AE391" i="8"/>
  <c r="AD391" i="8"/>
  <c r="AC391" i="8"/>
  <c r="AB391" i="8"/>
  <c r="AA391" i="8"/>
  <c r="Z391" i="8"/>
  <c r="Y391" i="8"/>
  <c r="X391" i="8"/>
  <c r="W391" i="8"/>
  <c r="V391" i="8"/>
  <c r="U391" i="8"/>
  <c r="T391" i="8"/>
  <c r="S391" i="8"/>
  <c r="R391" i="8"/>
  <c r="Q391" i="8"/>
  <c r="P391" i="8"/>
  <c r="O391" i="8"/>
  <c r="N391" i="8"/>
  <c r="M391" i="8"/>
  <c r="L391" i="8"/>
  <c r="K391" i="8"/>
  <c r="J391" i="8"/>
  <c r="I391" i="8"/>
  <c r="H391" i="8"/>
  <c r="G391" i="8"/>
  <c r="F391" i="8"/>
  <c r="E391" i="8"/>
  <c r="D391" i="8"/>
  <c r="A391" i="8"/>
  <c r="AX390" i="8"/>
  <c r="AW390" i="8"/>
  <c r="AV390" i="8"/>
  <c r="AU390" i="8"/>
  <c r="AT390" i="8"/>
  <c r="AS390" i="8"/>
  <c r="AR390" i="8"/>
  <c r="AQ390" i="8"/>
  <c r="AP390" i="8"/>
  <c r="AO390" i="8"/>
  <c r="AN390" i="8"/>
  <c r="AM390" i="8"/>
  <c r="AL390" i="8"/>
  <c r="AK390" i="8"/>
  <c r="AJ390" i="8"/>
  <c r="AI390" i="8"/>
  <c r="AH390" i="8"/>
  <c r="AG390" i="8"/>
  <c r="AF390" i="8"/>
  <c r="AE390" i="8"/>
  <c r="AD390" i="8"/>
  <c r="AC390" i="8"/>
  <c r="AB390" i="8"/>
  <c r="AA390" i="8"/>
  <c r="Z390" i="8"/>
  <c r="Y390" i="8"/>
  <c r="X390" i="8"/>
  <c r="W390" i="8"/>
  <c r="V390" i="8"/>
  <c r="U390" i="8"/>
  <c r="T390" i="8"/>
  <c r="S390" i="8"/>
  <c r="R390" i="8"/>
  <c r="Q390" i="8"/>
  <c r="P390" i="8"/>
  <c r="O390" i="8"/>
  <c r="N390" i="8"/>
  <c r="M390" i="8"/>
  <c r="L390" i="8"/>
  <c r="K390" i="8"/>
  <c r="J390" i="8"/>
  <c r="I390" i="8"/>
  <c r="H390" i="8"/>
  <c r="G390" i="8"/>
  <c r="F390" i="8"/>
  <c r="E390" i="8"/>
  <c r="D390" i="8"/>
  <c r="A390" i="8"/>
  <c r="AX389" i="8"/>
  <c r="AW389" i="8"/>
  <c r="AV389" i="8"/>
  <c r="AU389" i="8"/>
  <c r="AT389" i="8"/>
  <c r="AS389" i="8"/>
  <c r="AR389" i="8"/>
  <c r="AQ389" i="8"/>
  <c r="AP389" i="8"/>
  <c r="AO389" i="8"/>
  <c r="AN389" i="8"/>
  <c r="AM389" i="8"/>
  <c r="AL389" i="8"/>
  <c r="AK389" i="8"/>
  <c r="AJ389" i="8"/>
  <c r="AI389" i="8"/>
  <c r="AH389" i="8"/>
  <c r="AG389" i="8"/>
  <c r="AF389" i="8"/>
  <c r="AE389" i="8"/>
  <c r="AD389" i="8"/>
  <c r="AC389" i="8"/>
  <c r="AB389" i="8"/>
  <c r="AA389" i="8"/>
  <c r="Z389" i="8"/>
  <c r="Y389" i="8"/>
  <c r="X389" i="8"/>
  <c r="W389" i="8"/>
  <c r="V389" i="8"/>
  <c r="U389" i="8"/>
  <c r="T389" i="8"/>
  <c r="S389" i="8"/>
  <c r="R389" i="8"/>
  <c r="Q389" i="8"/>
  <c r="P389" i="8"/>
  <c r="O389" i="8"/>
  <c r="N389" i="8"/>
  <c r="M389" i="8"/>
  <c r="L389" i="8"/>
  <c r="K389" i="8"/>
  <c r="J389" i="8"/>
  <c r="I389" i="8"/>
  <c r="H389" i="8"/>
  <c r="G389" i="8"/>
  <c r="F389" i="8"/>
  <c r="E389" i="8"/>
  <c r="D389" i="8"/>
  <c r="A389" i="8"/>
  <c r="AX388" i="8"/>
  <c r="AW388" i="8"/>
  <c r="AV388" i="8"/>
  <c r="AU388" i="8"/>
  <c r="AT388" i="8"/>
  <c r="AS388" i="8"/>
  <c r="AR388" i="8"/>
  <c r="AQ388" i="8"/>
  <c r="AP388" i="8"/>
  <c r="AO388" i="8"/>
  <c r="AN388" i="8"/>
  <c r="AM388" i="8"/>
  <c r="AL388" i="8"/>
  <c r="AK388" i="8"/>
  <c r="AJ388" i="8"/>
  <c r="AI388" i="8"/>
  <c r="AH388" i="8"/>
  <c r="AG388" i="8"/>
  <c r="AF388" i="8"/>
  <c r="AE388" i="8"/>
  <c r="AD388" i="8"/>
  <c r="AC388" i="8"/>
  <c r="AB388" i="8"/>
  <c r="AA388" i="8"/>
  <c r="Z388" i="8"/>
  <c r="Y388" i="8"/>
  <c r="X388" i="8"/>
  <c r="W388" i="8"/>
  <c r="V388" i="8"/>
  <c r="U388" i="8"/>
  <c r="T388" i="8"/>
  <c r="S388" i="8"/>
  <c r="R388" i="8"/>
  <c r="Q388" i="8"/>
  <c r="P388" i="8"/>
  <c r="O388" i="8"/>
  <c r="N388" i="8"/>
  <c r="M388" i="8"/>
  <c r="L388" i="8"/>
  <c r="K388" i="8"/>
  <c r="J388" i="8"/>
  <c r="I388" i="8"/>
  <c r="H388" i="8"/>
  <c r="G388" i="8"/>
  <c r="F388" i="8"/>
  <c r="E388" i="8"/>
  <c r="D388" i="8"/>
  <c r="A388" i="8"/>
  <c r="AX387" i="8"/>
  <c r="AW387" i="8"/>
  <c r="AV387" i="8"/>
  <c r="AU387" i="8"/>
  <c r="AT387" i="8"/>
  <c r="AS387" i="8"/>
  <c r="AR387" i="8"/>
  <c r="AQ387" i="8"/>
  <c r="AP387" i="8"/>
  <c r="AO387" i="8"/>
  <c r="AN387" i="8"/>
  <c r="AM387" i="8"/>
  <c r="AL387" i="8"/>
  <c r="AK387" i="8"/>
  <c r="AJ387" i="8"/>
  <c r="AI387" i="8"/>
  <c r="AH387" i="8"/>
  <c r="AG387" i="8"/>
  <c r="AF387" i="8"/>
  <c r="AE387" i="8"/>
  <c r="AD387" i="8"/>
  <c r="AC387" i="8"/>
  <c r="AB387" i="8"/>
  <c r="AA387" i="8"/>
  <c r="Z387" i="8"/>
  <c r="Y387" i="8"/>
  <c r="X387" i="8"/>
  <c r="W387" i="8"/>
  <c r="V387" i="8"/>
  <c r="U387" i="8"/>
  <c r="T387" i="8"/>
  <c r="S387" i="8"/>
  <c r="R387" i="8"/>
  <c r="Q387" i="8"/>
  <c r="P387" i="8"/>
  <c r="O387" i="8"/>
  <c r="N387" i="8"/>
  <c r="M387" i="8"/>
  <c r="L387" i="8"/>
  <c r="K387" i="8"/>
  <c r="J387" i="8"/>
  <c r="I387" i="8"/>
  <c r="H387" i="8"/>
  <c r="G387" i="8"/>
  <c r="F387" i="8"/>
  <c r="E387" i="8"/>
  <c r="D387" i="8"/>
  <c r="A387" i="8"/>
  <c r="AX386" i="8"/>
  <c r="AW386" i="8"/>
  <c r="AV386" i="8"/>
  <c r="AU386" i="8"/>
  <c r="AT386" i="8"/>
  <c r="AS386" i="8"/>
  <c r="AR386" i="8"/>
  <c r="AQ386" i="8"/>
  <c r="AP386" i="8"/>
  <c r="AO386" i="8"/>
  <c r="AN386" i="8"/>
  <c r="AM386" i="8"/>
  <c r="AL386" i="8"/>
  <c r="AK386" i="8"/>
  <c r="AJ386" i="8"/>
  <c r="AI386" i="8"/>
  <c r="AH386" i="8"/>
  <c r="AG386" i="8"/>
  <c r="AF386" i="8"/>
  <c r="AE386" i="8"/>
  <c r="AD386" i="8"/>
  <c r="AC386" i="8"/>
  <c r="AB386" i="8"/>
  <c r="AA386" i="8"/>
  <c r="Z386" i="8"/>
  <c r="Y386" i="8"/>
  <c r="X386" i="8"/>
  <c r="W386" i="8"/>
  <c r="V386" i="8"/>
  <c r="U386" i="8"/>
  <c r="T386" i="8"/>
  <c r="S386" i="8"/>
  <c r="R386" i="8"/>
  <c r="Q386" i="8"/>
  <c r="P386" i="8"/>
  <c r="O386" i="8"/>
  <c r="N386" i="8"/>
  <c r="M386" i="8"/>
  <c r="L386" i="8"/>
  <c r="K386" i="8"/>
  <c r="J386" i="8"/>
  <c r="I386" i="8"/>
  <c r="H386" i="8"/>
  <c r="G386" i="8"/>
  <c r="F386" i="8"/>
  <c r="E386" i="8"/>
  <c r="D386" i="8"/>
  <c r="A386" i="8"/>
  <c r="AX385" i="8"/>
  <c r="AW385" i="8"/>
  <c r="AV385" i="8"/>
  <c r="AU385" i="8"/>
  <c r="AT385" i="8"/>
  <c r="AS385" i="8"/>
  <c r="AR385" i="8"/>
  <c r="AQ385" i="8"/>
  <c r="AP385" i="8"/>
  <c r="AO385" i="8"/>
  <c r="AN385" i="8"/>
  <c r="AM385" i="8"/>
  <c r="AL385" i="8"/>
  <c r="AK385" i="8"/>
  <c r="AJ385" i="8"/>
  <c r="AI385" i="8"/>
  <c r="AH385" i="8"/>
  <c r="AG385" i="8"/>
  <c r="AF385" i="8"/>
  <c r="AE385" i="8"/>
  <c r="AD385" i="8"/>
  <c r="AC385" i="8"/>
  <c r="AB385" i="8"/>
  <c r="AA385" i="8"/>
  <c r="Z385" i="8"/>
  <c r="Y385" i="8"/>
  <c r="X385" i="8"/>
  <c r="W385" i="8"/>
  <c r="V385" i="8"/>
  <c r="U385" i="8"/>
  <c r="T385" i="8"/>
  <c r="S385" i="8"/>
  <c r="R385" i="8"/>
  <c r="Q385" i="8"/>
  <c r="P385" i="8"/>
  <c r="O385" i="8"/>
  <c r="N385" i="8"/>
  <c r="M385" i="8"/>
  <c r="L385" i="8"/>
  <c r="K385" i="8"/>
  <c r="J385" i="8"/>
  <c r="I385" i="8"/>
  <c r="H385" i="8"/>
  <c r="G385" i="8"/>
  <c r="F385" i="8"/>
  <c r="E385" i="8"/>
  <c r="D385" i="8"/>
  <c r="A385" i="8"/>
  <c r="AX384" i="8"/>
  <c r="AW384" i="8"/>
  <c r="AV384" i="8"/>
  <c r="AU384" i="8"/>
  <c r="AT384" i="8"/>
  <c r="AS384" i="8"/>
  <c r="AR384" i="8"/>
  <c r="AQ384" i="8"/>
  <c r="AP384" i="8"/>
  <c r="AO384" i="8"/>
  <c r="AN384" i="8"/>
  <c r="AM384" i="8"/>
  <c r="AL384" i="8"/>
  <c r="AK384" i="8"/>
  <c r="AJ384" i="8"/>
  <c r="AI384" i="8"/>
  <c r="AH384" i="8"/>
  <c r="AG384" i="8"/>
  <c r="AF384" i="8"/>
  <c r="AE384" i="8"/>
  <c r="AD384" i="8"/>
  <c r="AC384" i="8"/>
  <c r="AB384" i="8"/>
  <c r="AA384" i="8"/>
  <c r="Z384" i="8"/>
  <c r="Y384" i="8"/>
  <c r="X384" i="8"/>
  <c r="W384" i="8"/>
  <c r="V384" i="8"/>
  <c r="U384" i="8"/>
  <c r="T384" i="8"/>
  <c r="S384" i="8"/>
  <c r="R384" i="8"/>
  <c r="Q384" i="8"/>
  <c r="P384" i="8"/>
  <c r="O384" i="8"/>
  <c r="N384" i="8"/>
  <c r="M384" i="8"/>
  <c r="L384" i="8"/>
  <c r="K384" i="8"/>
  <c r="J384" i="8"/>
  <c r="I384" i="8"/>
  <c r="H384" i="8"/>
  <c r="G384" i="8"/>
  <c r="F384" i="8"/>
  <c r="E384" i="8"/>
  <c r="D384" i="8"/>
  <c r="A384" i="8"/>
  <c r="AX383" i="8"/>
  <c r="AW383" i="8"/>
  <c r="AV383" i="8"/>
  <c r="AU383" i="8"/>
  <c r="AT383" i="8"/>
  <c r="AS383" i="8"/>
  <c r="AR383" i="8"/>
  <c r="AQ383" i="8"/>
  <c r="AP383" i="8"/>
  <c r="AO383" i="8"/>
  <c r="AN383" i="8"/>
  <c r="AM383" i="8"/>
  <c r="AL383" i="8"/>
  <c r="AK383" i="8"/>
  <c r="AJ383" i="8"/>
  <c r="AI383" i="8"/>
  <c r="AH383" i="8"/>
  <c r="AG383" i="8"/>
  <c r="AF383" i="8"/>
  <c r="AE383" i="8"/>
  <c r="AD383" i="8"/>
  <c r="AC383" i="8"/>
  <c r="AB383" i="8"/>
  <c r="AA383" i="8"/>
  <c r="Z383" i="8"/>
  <c r="Y383" i="8"/>
  <c r="X383" i="8"/>
  <c r="W383" i="8"/>
  <c r="V383" i="8"/>
  <c r="U383" i="8"/>
  <c r="T383" i="8"/>
  <c r="S383" i="8"/>
  <c r="R383" i="8"/>
  <c r="Q383" i="8"/>
  <c r="P383" i="8"/>
  <c r="O383" i="8"/>
  <c r="N383" i="8"/>
  <c r="M383" i="8"/>
  <c r="L383" i="8"/>
  <c r="K383" i="8"/>
  <c r="J383" i="8"/>
  <c r="I383" i="8"/>
  <c r="H383" i="8"/>
  <c r="G383" i="8"/>
  <c r="F383" i="8"/>
  <c r="E383" i="8"/>
  <c r="D383" i="8"/>
  <c r="A383" i="8"/>
  <c r="AX382" i="8"/>
  <c r="AW382" i="8"/>
  <c r="AV382" i="8"/>
  <c r="AU382" i="8"/>
  <c r="AT382" i="8"/>
  <c r="AS382" i="8"/>
  <c r="AR382" i="8"/>
  <c r="AQ382" i="8"/>
  <c r="AP382" i="8"/>
  <c r="AO382" i="8"/>
  <c r="AN382" i="8"/>
  <c r="AM382" i="8"/>
  <c r="AL382" i="8"/>
  <c r="AK382" i="8"/>
  <c r="AJ382" i="8"/>
  <c r="AI382" i="8"/>
  <c r="AH382" i="8"/>
  <c r="AG382" i="8"/>
  <c r="AF382" i="8"/>
  <c r="AE382" i="8"/>
  <c r="AD382" i="8"/>
  <c r="AC382" i="8"/>
  <c r="AB382" i="8"/>
  <c r="AA382" i="8"/>
  <c r="Z382" i="8"/>
  <c r="Y382" i="8"/>
  <c r="X382" i="8"/>
  <c r="W382" i="8"/>
  <c r="V382" i="8"/>
  <c r="U382" i="8"/>
  <c r="T382" i="8"/>
  <c r="S382" i="8"/>
  <c r="R382" i="8"/>
  <c r="Q382" i="8"/>
  <c r="P382" i="8"/>
  <c r="O382" i="8"/>
  <c r="N382" i="8"/>
  <c r="M382" i="8"/>
  <c r="L382" i="8"/>
  <c r="K382" i="8"/>
  <c r="J382" i="8"/>
  <c r="I382" i="8"/>
  <c r="H382" i="8"/>
  <c r="G382" i="8"/>
  <c r="F382" i="8"/>
  <c r="E382" i="8"/>
  <c r="D382" i="8"/>
  <c r="A382" i="8"/>
  <c r="AX381" i="8"/>
  <c r="AW381" i="8"/>
  <c r="AV381" i="8"/>
  <c r="AU381" i="8"/>
  <c r="AT381" i="8"/>
  <c r="AS381" i="8"/>
  <c r="AR381" i="8"/>
  <c r="AQ381" i="8"/>
  <c r="AP381" i="8"/>
  <c r="AO381" i="8"/>
  <c r="AN381" i="8"/>
  <c r="AM381" i="8"/>
  <c r="AL381" i="8"/>
  <c r="AK381" i="8"/>
  <c r="AJ381" i="8"/>
  <c r="AI381" i="8"/>
  <c r="AH381" i="8"/>
  <c r="AG381" i="8"/>
  <c r="AF381" i="8"/>
  <c r="AE381" i="8"/>
  <c r="AD381" i="8"/>
  <c r="AC381" i="8"/>
  <c r="AB381" i="8"/>
  <c r="AA381" i="8"/>
  <c r="Z381" i="8"/>
  <c r="Y381" i="8"/>
  <c r="X381" i="8"/>
  <c r="W381" i="8"/>
  <c r="V381" i="8"/>
  <c r="U381" i="8"/>
  <c r="T381" i="8"/>
  <c r="S381" i="8"/>
  <c r="R381" i="8"/>
  <c r="Q381" i="8"/>
  <c r="P381" i="8"/>
  <c r="O381" i="8"/>
  <c r="N381" i="8"/>
  <c r="M381" i="8"/>
  <c r="L381" i="8"/>
  <c r="K381" i="8"/>
  <c r="J381" i="8"/>
  <c r="I381" i="8"/>
  <c r="H381" i="8"/>
  <c r="G381" i="8"/>
  <c r="F381" i="8"/>
  <c r="E381" i="8"/>
  <c r="D381" i="8"/>
  <c r="A381" i="8"/>
  <c r="AX380" i="8"/>
  <c r="AW380" i="8"/>
  <c r="AV380" i="8"/>
  <c r="AU380" i="8"/>
  <c r="AT380" i="8"/>
  <c r="AS380" i="8"/>
  <c r="AR380" i="8"/>
  <c r="AQ380" i="8"/>
  <c r="AP380" i="8"/>
  <c r="AO380" i="8"/>
  <c r="AN380" i="8"/>
  <c r="AM380" i="8"/>
  <c r="AL380" i="8"/>
  <c r="AK380" i="8"/>
  <c r="AJ380" i="8"/>
  <c r="AI380" i="8"/>
  <c r="AH380" i="8"/>
  <c r="AG380" i="8"/>
  <c r="AF380" i="8"/>
  <c r="AE380" i="8"/>
  <c r="AD380" i="8"/>
  <c r="AC380" i="8"/>
  <c r="AB380" i="8"/>
  <c r="AA380" i="8"/>
  <c r="Z380" i="8"/>
  <c r="Y380" i="8"/>
  <c r="X380" i="8"/>
  <c r="W380" i="8"/>
  <c r="V380" i="8"/>
  <c r="U380" i="8"/>
  <c r="T380" i="8"/>
  <c r="S380" i="8"/>
  <c r="R380" i="8"/>
  <c r="Q380" i="8"/>
  <c r="P380" i="8"/>
  <c r="O380" i="8"/>
  <c r="N380" i="8"/>
  <c r="M380" i="8"/>
  <c r="L380" i="8"/>
  <c r="K380" i="8"/>
  <c r="J380" i="8"/>
  <c r="I380" i="8"/>
  <c r="H380" i="8"/>
  <c r="G380" i="8"/>
  <c r="F380" i="8"/>
  <c r="E380" i="8"/>
  <c r="D380" i="8"/>
  <c r="A380" i="8"/>
  <c r="AX379" i="8"/>
  <c r="AW379" i="8"/>
  <c r="AV379" i="8"/>
  <c r="AU379" i="8"/>
  <c r="AT379" i="8"/>
  <c r="AS379" i="8"/>
  <c r="AR379" i="8"/>
  <c r="AQ379" i="8"/>
  <c r="AP379" i="8"/>
  <c r="AO379" i="8"/>
  <c r="AN379" i="8"/>
  <c r="AM379" i="8"/>
  <c r="AL379" i="8"/>
  <c r="AK379" i="8"/>
  <c r="AJ379" i="8"/>
  <c r="AI379" i="8"/>
  <c r="AH379" i="8"/>
  <c r="AG379" i="8"/>
  <c r="AF379" i="8"/>
  <c r="AE379" i="8"/>
  <c r="AD379" i="8"/>
  <c r="AC379" i="8"/>
  <c r="AB379" i="8"/>
  <c r="AA379" i="8"/>
  <c r="Z379" i="8"/>
  <c r="Y379" i="8"/>
  <c r="X379" i="8"/>
  <c r="W379" i="8"/>
  <c r="V379" i="8"/>
  <c r="U379" i="8"/>
  <c r="T379" i="8"/>
  <c r="S379" i="8"/>
  <c r="R379" i="8"/>
  <c r="Q379" i="8"/>
  <c r="P379" i="8"/>
  <c r="O379" i="8"/>
  <c r="N379" i="8"/>
  <c r="M379" i="8"/>
  <c r="L379" i="8"/>
  <c r="K379" i="8"/>
  <c r="J379" i="8"/>
  <c r="I379" i="8"/>
  <c r="H379" i="8"/>
  <c r="G379" i="8"/>
  <c r="F379" i="8"/>
  <c r="E379" i="8"/>
  <c r="D379" i="8"/>
  <c r="A379" i="8"/>
  <c r="AX378" i="8"/>
  <c r="AW378" i="8"/>
  <c r="AV378" i="8"/>
  <c r="AU378" i="8"/>
  <c r="AT378" i="8"/>
  <c r="AS378" i="8"/>
  <c r="AR378" i="8"/>
  <c r="AQ378" i="8"/>
  <c r="AP378" i="8"/>
  <c r="AO378" i="8"/>
  <c r="AN378" i="8"/>
  <c r="AM378" i="8"/>
  <c r="AL378" i="8"/>
  <c r="AK378" i="8"/>
  <c r="AJ378" i="8"/>
  <c r="AI378" i="8"/>
  <c r="AH378" i="8"/>
  <c r="AG378" i="8"/>
  <c r="AF378" i="8"/>
  <c r="AE378" i="8"/>
  <c r="AD378" i="8"/>
  <c r="AC378" i="8"/>
  <c r="AB378" i="8"/>
  <c r="AA378" i="8"/>
  <c r="Z378" i="8"/>
  <c r="Y378" i="8"/>
  <c r="X378" i="8"/>
  <c r="W378" i="8"/>
  <c r="V378" i="8"/>
  <c r="U378" i="8"/>
  <c r="T378" i="8"/>
  <c r="S378" i="8"/>
  <c r="R378" i="8"/>
  <c r="Q378" i="8"/>
  <c r="P378" i="8"/>
  <c r="O378" i="8"/>
  <c r="N378" i="8"/>
  <c r="M378" i="8"/>
  <c r="L378" i="8"/>
  <c r="K378" i="8"/>
  <c r="J378" i="8"/>
  <c r="I378" i="8"/>
  <c r="H378" i="8"/>
  <c r="G378" i="8"/>
  <c r="F378" i="8"/>
  <c r="E378" i="8"/>
  <c r="D378" i="8"/>
  <c r="A378" i="8"/>
  <c r="AX377" i="8"/>
  <c r="AW377" i="8"/>
  <c r="AV377" i="8"/>
  <c r="AU377" i="8"/>
  <c r="AT377" i="8"/>
  <c r="AS377" i="8"/>
  <c r="AR377" i="8"/>
  <c r="AQ377" i="8"/>
  <c r="AP377" i="8"/>
  <c r="AO377" i="8"/>
  <c r="AN377" i="8"/>
  <c r="AM377" i="8"/>
  <c r="AL377" i="8"/>
  <c r="AK377" i="8"/>
  <c r="AJ377" i="8"/>
  <c r="AI377" i="8"/>
  <c r="AH377" i="8"/>
  <c r="AG377" i="8"/>
  <c r="AF377" i="8"/>
  <c r="AE377" i="8"/>
  <c r="AD377" i="8"/>
  <c r="AC377" i="8"/>
  <c r="AB377" i="8"/>
  <c r="AA377" i="8"/>
  <c r="Z377" i="8"/>
  <c r="Y377" i="8"/>
  <c r="X377" i="8"/>
  <c r="W377" i="8"/>
  <c r="V377" i="8"/>
  <c r="U377" i="8"/>
  <c r="T377" i="8"/>
  <c r="S377" i="8"/>
  <c r="R377" i="8"/>
  <c r="Q377" i="8"/>
  <c r="P377" i="8"/>
  <c r="O377" i="8"/>
  <c r="N377" i="8"/>
  <c r="M377" i="8"/>
  <c r="L377" i="8"/>
  <c r="K377" i="8"/>
  <c r="J377" i="8"/>
  <c r="I377" i="8"/>
  <c r="H377" i="8"/>
  <c r="G377" i="8"/>
  <c r="F377" i="8"/>
  <c r="E377" i="8"/>
  <c r="D377" i="8"/>
  <c r="A377" i="8"/>
  <c r="AX376" i="8"/>
  <c r="AW376" i="8"/>
  <c r="AV376" i="8"/>
  <c r="AU376" i="8"/>
  <c r="AT376" i="8"/>
  <c r="AS376" i="8"/>
  <c r="AR376" i="8"/>
  <c r="AQ376" i="8"/>
  <c r="AP376" i="8"/>
  <c r="AO376" i="8"/>
  <c r="AN376" i="8"/>
  <c r="AM376" i="8"/>
  <c r="AL376" i="8"/>
  <c r="AK376" i="8"/>
  <c r="AJ376" i="8"/>
  <c r="AI376" i="8"/>
  <c r="AH376" i="8"/>
  <c r="AG376" i="8"/>
  <c r="AF376" i="8"/>
  <c r="AE376" i="8"/>
  <c r="AD376" i="8"/>
  <c r="AC376" i="8"/>
  <c r="AB376" i="8"/>
  <c r="AA376" i="8"/>
  <c r="Z376" i="8"/>
  <c r="Y376" i="8"/>
  <c r="X376" i="8"/>
  <c r="W376" i="8"/>
  <c r="V376" i="8"/>
  <c r="U376" i="8"/>
  <c r="T376" i="8"/>
  <c r="S376" i="8"/>
  <c r="R376" i="8"/>
  <c r="Q376" i="8"/>
  <c r="P376" i="8"/>
  <c r="O376" i="8"/>
  <c r="N376" i="8"/>
  <c r="M376" i="8"/>
  <c r="L376" i="8"/>
  <c r="K376" i="8"/>
  <c r="J376" i="8"/>
  <c r="I376" i="8"/>
  <c r="H376" i="8"/>
  <c r="G376" i="8"/>
  <c r="F376" i="8"/>
  <c r="E376" i="8"/>
  <c r="D376" i="8"/>
  <c r="A376" i="8"/>
  <c r="AX375" i="8"/>
  <c r="AW375" i="8"/>
  <c r="AV375" i="8"/>
  <c r="AU375" i="8"/>
  <c r="AT375" i="8"/>
  <c r="AS375" i="8"/>
  <c r="AR375" i="8"/>
  <c r="AQ375" i="8"/>
  <c r="AP375" i="8"/>
  <c r="AO375" i="8"/>
  <c r="AN375" i="8"/>
  <c r="AM375" i="8"/>
  <c r="AL375" i="8"/>
  <c r="AK375" i="8"/>
  <c r="AJ375" i="8"/>
  <c r="AI375" i="8"/>
  <c r="AH375" i="8"/>
  <c r="AG375" i="8"/>
  <c r="AF375" i="8"/>
  <c r="AE375" i="8"/>
  <c r="AD375" i="8"/>
  <c r="AC375" i="8"/>
  <c r="AB375" i="8"/>
  <c r="AA375" i="8"/>
  <c r="Z375" i="8"/>
  <c r="Y375" i="8"/>
  <c r="X375" i="8"/>
  <c r="W375" i="8"/>
  <c r="V375" i="8"/>
  <c r="U375" i="8"/>
  <c r="T375" i="8"/>
  <c r="S375" i="8"/>
  <c r="R375" i="8"/>
  <c r="Q375" i="8"/>
  <c r="P375" i="8"/>
  <c r="O375" i="8"/>
  <c r="N375" i="8"/>
  <c r="M375" i="8"/>
  <c r="L375" i="8"/>
  <c r="K375" i="8"/>
  <c r="J375" i="8"/>
  <c r="I375" i="8"/>
  <c r="H375" i="8"/>
  <c r="G375" i="8"/>
  <c r="F375" i="8"/>
  <c r="E375" i="8"/>
  <c r="D375" i="8"/>
  <c r="A375" i="8"/>
  <c r="AX374" i="8"/>
  <c r="AW374" i="8"/>
  <c r="AV374" i="8"/>
  <c r="AU374" i="8"/>
  <c r="AT374" i="8"/>
  <c r="AS374" i="8"/>
  <c r="AR374" i="8"/>
  <c r="AQ374" i="8"/>
  <c r="AP374" i="8"/>
  <c r="AO374" i="8"/>
  <c r="AN374" i="8"/>
  <c r="AM374" i="8"/>
  <c r="AL374" i="8"/>
  <c r="AK374" i="8"/>
  <c r="AJ374" i="8"/>
  <c r="AI374" i="8"/>
  <c r="AH374" i="8"/>
  <c r="AG374" i="8"/>
  <c r="AF374" i="8"/>
  <c r="AE374" i="8"/>
  <c r="AD374" i="8"/>
  <c r="AC374" i="8"/>
  <c r="AB374" i="8"/>
  <c r="AA374" i="8"/>
  <c r="Z374" i="8"/>
  <c r="Y374" i="8"/>
  <c r="X374" i="8"/>
  <c r="W374" i="8"/>
  <c r="V374" i="8"/>
  <c r="U374" i="8"/>
  <c r="T374" i="8"/>
  <c r="S374" i="8"/>
  <c r="R374" i="8"/>
  <c r="Q374" i="8"/>
  <c r="P374" i="8"/>
  <c r="O374" i="8"/>
  <c r="N374" i="8"/>
  <c r="M374" i="8"/>
  <c r="L374" i="8"/>
  <c r="K374" i="8"/>
  <c r="J374" i="8"/>
  <c r="I374" i="8"/>
  <c r="H374" i="8"/>
  <c r="G374" i="8"/>
  <c r="F374" i="8"/>
  <c r="E374" i="8"/>
  <c r="D374" i="8"/>
  <c r="A374" i="8"/>
  <c r="AX373" i="8"/>
  <c r="AW373" i="8"/>
  <c r="AV373" i="8"/>
  <c r="AU373" i="8"/>
  <c r="AT373" i="8"/>
  <c r="AS373" i="8"/>
  <c r="AR373" i="8"/>
  <c r="AQ373" i="8"/>
  <c r="AP373" i="8"/>
  <c r="AO373" i="8"/>
  <c r="AN373" i="8"/>
  <c r="AM373" i="8"/>
  <c r="AL373" i="8"/>
  <c r="AK373" i="8"/>
  <c r="AJ373" i="8"/>
  <c r="AI373" i="8"/>
  <c r="AH373" i="8"/>
  <c r="AG373" i="8"/>
  <c r="AF373" i="8"/>
  <c r="AE373" i="8"/>
  <c r="AD373" i="8"/>
  <c r="AC373" i="8"/>
  <c r="AB373" i="8"/>
  <c r="AA373" i="8"/>
  <c r="Z373" i="8"/>
  <c r="Y373" i="8"/>
  <c r="X373" i="8"/>
  <c r="W373" i="8"/>
  <c r="V373" i="8"/>
  <c r="U373" i="8"/>
  <c r="T373" i="8"/>
  <c r="S373" i="8"/>
  <c r="R373" i="8"/>
  <c r="Q373" i="8"/>
  <c r="P373" i="8"/>
  <c r="O373" i="8"/>
  <c r="N373" i="8"/>
  <c r="M373" i="8"/>
  <c r="L373" i="8"/>
  <c r="K373" i="8"/>
  <c r="J373" i="8"/>
  <c r="I373" i="8"/>
  <c r="H373" i="8"/>
  <c r="G373" i="8"/>
  <c r="F373" i="8"/>
  <c r="E373" i="8"/>
  <c r="D373" i="8"/>
  <c r="A373" i="8"/>
  <c r="AX372" i="8"/>
  <c r="AW372" i="8"/>
  <c r="AV372" i="8"/>
  <c r="AU372" i="8"/>
  <c r="AT372" i="8"/>
  <c r="AS372" i="8"/>
  <c r="AR372" i="8"/>
  <c r="AQ372" i="8"/>
  <c r="AP372" i="8"/>
  <c r="AO372" i="8"/>
  <c r="AN372" i="8"/>
  <c r="AM372" i="8"/>
  <c r="AL372" i="8"/>
  <c r="AK372" i="8"/>
  <c r="AJ372" i="8"/>
  <c r="AI372" i="8"/>
  <c r="AH372" i="8"/>
  <c r="AG372" i="8"/>
  <c r="AF372" i="8"/>
  <c r="AE372" i="8"/>
  <c r="AD372" i="8"/>
  <c r="AC372" i="8"/>
  <c r="AB372" i="8"/>
  <c r="AA372" i="8"/>
  <c r="Z372" i="8"/>
  <c r="Y372" i="8"/>
  <c r="X372" i="8"/>
  <c r="W372" i="8"/>
  <c r="V372" i="8"/>
  <c r="U372" i="8"/>
  <c r="T372" i="8"/>
  <c r="S372" i="8"/>
  <c r="R372" i="8"/>
  <c r="Q372" i="8"/>
  <c r="P372" i="8"/>
  <c r="O372" i="8"/>
  <c r="N372" i="8"/>
  <c r="M372" i="8"/>
  <c r="L372" i="8"/>
  <c r="K372" i="8"/>
  <c r="J372" i="8"/>
  <c r="I372" i="8"/>
  <c r="H372" i="8"/>
  <c r="G372" i="8"/>
  <c r="F372" i="8"/>
  <c r="E372" i="8"/>
  <c r="D372" i="8"/>
  <c r="A372" i="8"/>
  <c r="AX371" i="8"/>
  <c r="AW371" i="8"/>
  <c r="AV371" i="8"/>
  <c r="AU371" i="8"/>
  <c r="AT371" i="8"/>
  <c r="AS371" i="8"/>
  <c r="AR371" i="8"/>
  <c r="AQ371" i="8"/>
  <c r="AP371" i="8"/>
  <c r="AO371" i="8"/>
  <c r="AN371" i="8"/>
  <c r="AM371" i="8"/>
  <c r="AL371" i="8"/>
  <c r="AK371" i="8"/>
  <c r="AJ371" i="8"/>
  <c r="AI371" i="8"/>
  <c r="AH371" i="8"/>
  <c r="AG371" i="8"/>
  <c r="AF371" i="8"/>
  <c r="AE371" i="8"/>
  <c r="AD371" i="8"/>
  <c r="AC371" i="8"/>
  <c r="AB371" i="8"/>
  <c r="AA371" i="8"/>
  <c r="Z371" i="8"/>
  <c r="Y371" i="8"/>
  <c r="X371" i="8"/>
  <c r="W371" i="8"/>
  <c r="V371" i="8"/>
  <c r="U371" i="8"/>
  <c r="T371" i="8"/>
  <c r="S371" i="8"/>
  <c r="R371" i="8"/>
  <c r="Q371" i="8"/>
  <c r="P371" i="8"/>
  <c r="O371" i="8"/>
  <c r="N371" i="8"/>
  <c r="M371" i="8"/>
  <c r="L371" i="8"/>
  <c r="K371" i="8"/>
  <c r="J371" i="8"/>
  <c r="I371" i="8"/>
  <c r="H371" i="8"/>
  <c r="G371" i="8"/>
  <c r="F371" i="8"/>
  <c r="E371" i="8"/>
  <c r="D371" i="8"/>
  <c r="A371" i="8"/>
  <c r="AX370" i="8"/>
  <c r="AW370" i="8"/>
  <c r="AV370" i="8"/>
  <c r="AU370" i="8"/>
  <c r="AT370" i="8"/>
  <c r="AS370" i="8"/>
  <c r="AR370" i="8"/>
  <c r="AQ370" i="8"/>
  <c r="AP370" i="8"/>
  <c r="AO370" i="8"/>
  <c r="AN370" i="8"/>
  <c r="AM370" i="8"/>
  <c r="AL370" i="8"/>
  <c r="AK370" i="8"/>
  <c r="AJ370" i="8"/>
  <c r="AI370" i="8"/>
  <c r="AH370" i="8"/>
  <c r="AG370" i="8"/>
  <c r="AF370" i="8"/>
  <c r="AE370" i="8"/>
  <c r="AD370" i="8"/>
  <c r="AC370" i="8"/>
  <c r="AB370" i="8"/>
  <c r="AA370" i="8"/>
  <c r="Z370" i="8"/>
  <c r="Y370" i="8"/>
  <c r="X370" i="8"/>
  <c r="W370" i="8"/>
  <c r="V370" i="8"/>
  <c r="U370" i="8"/>
  <c r="T370" i="8"/>
  <c r="S370" i="8"/>
  <c r="R370" i="8"/>
  <c r="Q370" i="8"/>
  <c r="P370" i="8"/>
  <c r="O370" i="8"/>
  <c r="N370" i="8"/>
  <c r="M370" i="8"/>
  <c r="L370" i="8"/>
  <c r="K370" i="8"/>
  <c r="J370" i="8"/>
  <c r="I370" i="8"/>
  <c r="H370" i="8"/>
  <c r="G370" i="8"/>
  <c r="F370" i="8"/>
  <c r="E370" i="8"/>
  <c r="D370" i="8"/>
  <c r="A370" i="8"/>
  <c r="AX369" i="8"/>
  <c r="AW369" i="8"/>
  <c r="AV369" i="8"/>
  <c r="AU369" i="8"/>
  <c r="AT369" i="8"/>
  <c r="AS369" i="8"/>
  <c r="AR369" i="8"/>
  <c r="AQ369" i="8"/>
  <c r="AP369" i="8"/>
  <c r="AO369" i="8"/>
  <c r="AN369" i="8"/>
  <c r="AM369" i="8"/>
  <c r="AL369" i="8"/>
  <c r="AK369" i="8"/>
  <c r="AJ369" i="8"/>
  <c r="AI369" i="8"/>
  <c r="AH369" i="8"/>
  <c r="AG369" i="8"/>
  <c r="AF369" i="8"/>
  <c r="AE369" i="8"/>
  <c r="AD369" i="8"/>
  <c r="AC369" i="8"/>
  <c r="AB369" i="8"/>
  <c r="AA369" i="8"/>
  <c r="Z369" i="8"/>
  <c r="Y369" i="8"/>
  <c r="X369" i="8"/>
  <c r="W369" i="8"/>
  <c r="V369" i="8"/>
  <c r="U369" i="8"/>
  <c r="T369" i="8"/>
  <c r="S369" i="8"/>
  <c r="R369" i="8"/>
  <c r="Q369" i="8"/>
  <c r="P369" i="8"/>
  <c r="O369" i="8"/>
  <c r="N369" i="8"/>
  <c r="M369" i="8"/>
  <c r="L369" i="8"/>
  <c r="K369" i="8"/>
  <c r="J369" i="8"/>
  <c r="I369" i="8"/>
  <c r="H369" i="8"/>
  <c r="G369" i="8"/>
  <c r="F369" i="8"/>
  <c r="E369" i="8"/>
  <c r="D369" i="8"/>
  <c r="A369" i="8"/>
  <c r="AX368" i="8"/>
  <c r="AW368" i="8"/>
  <c r="AV368" i="8"/>
  <c r="AU368" i="8"/>
  <c r="AT368" i="8"/>
  <c r="AS368" i="8"/>
  <c r="AR368" i="8"/>
  <c r="AQ368" i="8"/>
  <c r="AP368" i="8"/>
  <c r="AO368" i="8"/>
  <c r="AN368" i="8"/>
  <c r="AM368" i="8"/>
  <c r="AL368" i="8"/>
  <c r="AK368" i="8"/>
  <c r="AJ368" i="8"/>
  <c r="AI368" i="8"/>
  <c r="AH368" i="8"/>
  <c r="AG368" i="8"/>
  <c r="AF368" i="8"/>
  <c r="AE368" i="8"/>
  <c r="AD368" i="8"/>
  <c r="AC368" i="8"/>
  <c r="AB368" i="8"/>
  <c r="AA368" i="8"/>
  <c r="Z368" i="8"/>
  <c r="Y368" i="8"/>
  <c r="X368" i="8"/>
  <c r="W368" i="8"/>
  <c r="V368" i="8"/>
  <c r="U368" i="8"/>
  <c r="T368" i="8"/>
  <c r="S368" i="8"/>
  <c r="R368" i="8"/>
  <c r="Q368" i="8"/>
  <c r="P368" i="8"/>
  <c r="O368" i="8"/>
  <c r="N368" i="8"/>
  <c r="M368" i="8"/>
  <c r="L368" i="8"/>
  <c r="K368" i="8"/>
  <c r="J368" i="8"/>
  <c r="I368" i="8"/>
  <c r="H368" i="8"/>
  <c r="G368" i="8"/>
  <c r="F368" i="8"/>
  <c r="E368" i="8"/>
  <c r="D368" i="8"/>
  <c r="A368" i="8"/>
  <c r="AX367" i="8"/>
  <c r="AW367" i="8"/>
  <c r="AV367" i="8"/>
  <c r="AU367" i="8"/>
  <c r="AT367" i="8"/>
  <c r="AS367" i="8"/>
  <c r="AR367" i="8"/>
  <c r="AQ367" i="8"/>
  <c r="AP367" i="8"/>
  <c r="AO367" i="8"/>
  <c r="AN367" i="8"/>
  <c r="AM367" i="8"/>
  <c r="AL367" i="8"/>
  <c r="AK367" i="8"/>
  <c r="AJ367" i="8"/>
  <c r="AI367" i="8"/>
  <c r="AH367" i="8"/>
  <c r="AG367" i="8"/>
  <c r="AF367" i="8"/>
  <c r="AE367" i="8"/>
  <c r="AD367" i="8"/>
  <c r="AC367" i="8"/>
  <c r="AB367" i="8"/>
  <c r="AA367" i="8"/>
  <c r="Z367" i="8"/>
  <c r="Y367" i="8"/>
  <c r="X367" i="8"/>
  <c r="W367" i="8"/>
  <c r="V367" i="8"/>
  <c r="U367" i="8"/>
  <c r="T367" i="8"/>
  <c r="S367" i="8"/>
  <c r="R367" i="8"/>
  <c r="Q367" i="8"/>
  <c r="P367" i="8"/>
  <c r="O367" i="8"/>
  <c r="N367" i="8"/>
  <c r="M367" i="8"/>
  <c r="L367" i="8"/>
  <c r="K367" i="8"/>
  <c r="J367" i="8"/>
  <c r="I367" i="8"/>
  <c r="H367" i="8"/>
  <c r="G367" i="8"/>
  <c r="F367" i="8"/>
  <c r="E367" i="8"/>
  <c r="D367" i="8"/>
  <c r="A367" i="8"/>
  <c r="AX366" i="8"/>
  <c r="AW366" i="8"/>
  <c r="AV366" i="8"/>
  <c r="AU366" i="8"/>
  <c r="AT366" i="8"/>
  <c r="AS366" i="8"/>
  <c r="AR366" i="8"/>
  <c r="AQ366" i="8"/>
  <c r="AP366" i="8"/>
  <c r="AO366" i="8"/>
  <c r="AN366" i="8"/>
  <c r="AM366" i="8"/>
  <c r="AL366" i="8"/>
  <c r="AK366" i="8"/>
  <c r="AJ366" i="8"/>
  <c r="AI366" i="8"/>
  <c r="AH366" i="8"/>
  <c r="AG366" i="8"/>
  <c r="AF366" i="8"/>
  <c r="AE366" i="8"/>
  <c r="AD366" i="8"/>
  <c r="AC366" i="8"/>
  <c r="AB366" i="8"/>
  <c r="AA366" i="8"/>
  <c r="Z366" i="8"/>
  <c r="Y366" i="8"/>
  <c r="X366" i="8"/>
  <c r="W366" i="8"/>
  <c r="V366" i="8"/>
  <c r="U366" i="8"/>
  <c r="T366" i="8"/>
  <c r="S366" i="8"/>
  <c r="R366" i="8"/>
  <c r="Q366" i="8"/>
  <c r="P366" i="8"/>
  <c r="O366" i="8"/>
  <c r="N366" i="8"/>
  <c r="M366" i="8"/>
  <c r="L366" i="8"/>
  <c r="K366" i="8"/>
  <c r="J366" i="8"/>
  <c r="I366" i="8"/>
  <c r="H366" i="8"/>
  <c r="G366" i="8"/>
  <c r="F366" i="8"/>
  <c r="E366" i="8"/>
  <c r="D366" i="8"/>
  <c r="A366" i="8"/>
  <c r="AX365" i="8"/>
  <c r="AW365" i="8"/>
  <c r="AV365" i="8"/>
  <c r="AU365" i="8"/>
  <c r="AT365" i="8"/>
  <c r="AS365" i="8"/>
  <c r="AR365" i="8"/>
  <c r="AQ365" i="8"/>
  <c r="AP365" i="8"/>
  <c r="AO365" i="8"/>
  <c r="AN365" i="8"/>
  <c r="AM365" i="8"/>
  <c r="AL365" i="8"/>
  <c r="AK365" i="8"/>
  <c r="AJ365" i="8"/>
  <c r="AI365" i="8"/>
  <c r="AH365" i="8"/>
  <c r="AG365" i="8"/>
  <c r="AF365" i="8"/>
  <c r="AE365" i="8"/>
  <c r="AD365" i="8"/>
  <c r="AC365" i="8"/>
  <c r="AB365" i="8"/>
  <c r="AA365" i="8"/>
  <c r="Z365" i="8"/>
  <c r="Y365" i="8"/>
  <c r="X365" i="8"/>
  <c r="W365" i="8"/>
  <c r="V365" i="8"/>
  <c r="U365" i="8"/>
  <c r="T365" i="8"/>
  <c r="S365" i="8"/>
  <c r="R365" i="8"/>
  <c r="Q365" i="8"/>
  <c r="P365" i="8"/>
  <c r="O365" i="8"/>
  <c r="N365" i="8"/>
  <c r="M365" i="8"/>
  <c r="L365" i="8"/>
  <c r="K365" i="8"/>
  <c r="J365" i="8"/>
  <c r="I365" i="8"/>
  <c r="H365" i="8"/>
  <c r="G365" i="8"/>
  <c r="F365" i="8"/>
  <c r="E365" i="8"/>
  <c r="D365" i="8"/>
  <c r="A365" i="8"/>
  <c r="AX364" i="8"/>
  <c r="AW364" i="8"/>
  <c r="AV364" i="8"/>
  <c r="AU364" i="8"/>
  <c r="AT364" i="8"/>
  <c r="AS364" i="8"/>
  <c r="AR364" i="8"/>
  <c r="AQ364" i="8"/>
  <c r="AP364" i="8"/>
  <c r="AO364" i="8"/>
  <c r="AN364" i="8"/>
  <c r="AM364" i="8"/>
  <c r="AL364" i="8"/>
  <c r="AK364" i="8"/>
  <c r="AJ364" i="8"/>
  <c r="AI364" i="8"/>
  <c r="AH364" i="8"/>
  <c r="AG364" i="8"/>
  <c r="AF364" i="8"/>
  <c r="AE364" i="8"/>
  <c r="AD364" i="8"/>
  <c r="AC364" i="8"/>
  <c r="AB364" i="8"/>
  <c r="AA364" i="8"/>
  <c r="Z364" i="8"/>
  <c r="Y364" i="8"/>
  <c r="X364" i="8"/>
  <c r="W364" i="8"/>
  <c r="V364" i="8"/>
  <c r="U364" i="8"/>
  <c r="T364" i="8"/>
  <c r="S364" i="8"/>
  <c r="R364" i="8"/>
  <c r="Q364" i="8"/>
  <c r="P364" i="8"/>
  <c r="O364" i="8"/>
  <c r="N364" i="8"/>
  <c r="M364" i="8"/>
  <c r="L364" i="8"/>
  <c r="K364" i="8"/>
  <c r="J364" i="8"/>
  <c r="I364" i="8"/>
  <c r="H364" i="8"/>
  <c r="G364" i="8"/>
  <c r="F364" i="8"/>
  <c r="E364" i="8"/>
  <c r="D364" i="8"/>
  <c r="A364" i="8"/>
  <c r="AX363" i="8"/>
  <c r="AW363" i="8"/>
  <c r="AV363" i="8"/>
  <c r="AU363" i="8"/>
  <c r="AT363" i="8"/>
  <c r="AS363" i="8"/>
  <c r="AR363" i="8"/>
  <c r="AQ363" i="8"/>
  <c r="AP363" i="8"/>
  <c r="AO363" i="8"/>
  <c r="AN363" i="8"/>
  <c r="AM363" i="8"/>
  <c r="AL363" i="8"/>
  <c r="AK363" i="8"/>
  <c r="AJ363" i="8"/>
  <c r="AI363" i="8"/>
  <c r="AH363" i="8"/>
  <c r="AG363" i="8"/>
  <c r="AF363" i="8"/>
  <c r="AE363" i="8"/>
  <c r="AD363" i="8"/>
  <c r="AC363" i="8"/>
  <c r="AB363" i="8"/>
  <c r="AA363" i="8"/>
  <c r="Z363" i="8"/>
  <c r="Y363" i="8"/>
  <c r="X363" i="8"/>
  <c r="W363" i="8"/>
  <c r="V363" i="8"/>
  <c r="U363" i="8"/>
  <c r="T363" i="8"/>
  <c r="S363" i="8"/>
  <c r="R363" i="8"/>
  <c r="Q363" i="8"/>
  <c r="P363" i="8"/>
  <c r="O363" i="8"/>
  <c r="N363" i="8"/>
  <c r="M363" i="8"/>
  <c r="L363" i="8"/>
  <c r="K363" i="8"/>
  <c r="J363" i="8"/>
  <c r="I363" i="8"/>
  <c r="H363" i="8"/>
  <c r="G363" i="8"/>
  <c r="F363" i="8"/>
  <c r="E363" i="8"/>
  <c r="D363" i="8"/>
  <c r="A363" i="8"/>
  <c r="AX362" i="8"/>
  <c r="AW362" i="8"/>
  <c r="AV362" i="8"/>
  <c r="AU362" i="8"/>
  <c r="AT362" i="8"/>
  <c r="AS362" i="8"/>
  <c r="AR362" i="8"/>
  <c r="AQ362" i="8"/>
  <c r="AP362" i="8"/>
  <c r="AO362" i="8"/>
  <c r="AN362" i="8"/>
  <c r="AM362" i="8"/>
  <c r="AL362" i="8"/>
  <c r="AK362" i="8"/>
  <c r="AJ362" i="8"/>
  <c r="AI362" i="8"/>
  <c r="AH362" i="8"/>
  <c r="AG362" i="8"/>
  <c r="AF362" i="8"/>
  <c r="AE362" i="8"/>
  <c r="AD362" i="8"/>
  <c r="AC362" i="8"/>
  <c r="AB362" i="8"/>
  <c r="AA362" i="8"/>
  <c r="Z362" i="8"/>
  <c r="Y362" i="8"/>
  <c r="X362" i="8"/>
  <c r="W362" i="8"/>
  <c r="V362" i="8"/>
  <c r="U362" i="8"/>
  <c r="T362" i="8"/>
  <c r="S362" i="8"/>
  <c r="R362" i="8"/>
  <c r="Q362" i="8"/>
  <c r="P362" i="8"/>
  <c r="O362" i="8"/>
  <c r="N362" i="8"/>
  <c r="M362" i="8"/>
  <c r="L362" i="8"/>
  <c r="K362" i="8"/>
  <c r="J362" i="8"/>
  <c r="I362" i="8"/>
  <c r="H362" i="8"/>
  <c r="G362" i="8"/>
  <c r="F362" i="8"/>
  <c r="E362" i="8"/>
  <c r="D362" i="8"/>
  <c r="A362" i="8"/>
  <c r="AX361" i="8"/>
  <c r="AW361" i="8"/>
  <c r="AV361" i="8"/>
  <c r="AU361" i="8"/>
  <c r="AT361" i="8"/>
  <c r="AS361" i="8"/>
  <c r="AR361" i="8"/>
  <c r="AQ361" i="8"/>
  <c r="AP361" i="8"/>
  <c r="AO361" i="8"/>
  <c r="AN361" i="8"/>
  <c r="AM361" i="8"/>
  <c r="AL361" i="8"/>
  <c r="AK361" i="8"/>
  <c r="AJ361" i="8"/>
  <c r="AI361" i="8"/>
  <c r="AH361" i="8"/>
  <c r="AG361" i="8"/>
  <c r="AF361" i="8"/>
  <c r="AE361" i="8"/>
  <c r="AD361" i="8"/>
  <c r="AC361" i="8"/>
  <c r="AB361" i="8"/>
  <c r="AA361" i="8"/>
  <c r="Z361" i="8"/>
  <c r="Y361" i="8"/>
  <c r="X361" i="8"/>
  <c r="W361" i="8"/>
  <c r="V361" i="8"/>
  <c r="U361" i="8"/>
  <c r="T361" i="8"/>
  <c r="S361" i="8"/>
  <c r="R361" i="8"/>
  <c r="Q361" i="8"/>
  <c r="P361" i="8"/>
  <c r="O361" i="8"/>
  <c r="N361" i="8"/>
  <c r="M361" i="8"/>
  <c r="L361" i="8"/>
  <c r="K361" i="8"/>
  <c r="J361" i="8"/>
  <c r="I361" i="8"/>
  <c r="H361" i="8"/>
  <c r="G361" i="8"/>
  <c r="F361" i="8"/>
  <c r="E361" i="8"/>
  <c r="D361" i="8"/>
  <c r="A361" i="8"/>
  <c r="AX360" i="8"/>
  <c r="AW360" i="8"/>
  <c r="AV360" i="8"/>
  <c r="AU360" i="8"/>
  <c r="AT360" i="8"/>
  <c r="AS360" i="8"/>
  <c r="AR360" i="8"/>
  <c r="AQ360" i="8"/>
  <c r="AP360" i="8"/>
  <c r="AO360" i="8"/>
  <c r="AN360" i="8"/>
  <c r="AM360" i="8"/>
  <c r="AL360" i="8"/>
  <c r="AK360" i="8"/>
  <c r="AJ360" i="8"/>
  <c r="AI360" i="8"/>
  <c r="AH360" i="8"/>
  <c r="AG360" i="8"/>
  <c r="AF360" i="8"/>
  <c r="AE360" i="8"/>
  <c r="AD360" i="8"/>
  <c r="AC360" i="8"/>
  <c r="AB360" i="8"/>
  <c r="AA360" i="8"/>
  <c r="Z360" i="8"/>
  <c r="Y360" i="8"/>
  <c r="X360" i="8"/>
  <c r="W360" i="8"/>
  <c r="V360" i="8"/>
  <c r="U360" i="8"/>
  <c r="T360" i="8"/>
  <c r="S360" i="8"/>
  <c r="R360" i="8"/>
  <c r="Q360" i="8"/>
  <c r="P360" i="8"/>
  <c r="O360" i="8"/>
  <c r="N360" i="8"/>
  <c r="M360" i="8"/>
  <c r="L360" i="8"/>
  <c r="K360" i="8"/>
  <c r="J360" i="8"/>
  <c r="I360" i="8"/>
  <c r="H360" i="8"/>
  <c r="G360" i="8"/>
  <c r="F360" i="8"/>
  <c r="E360" i="8"/>
  <c r="D360" i="8"/>
  <c r="A360" i="8"/>
  <c r="AX359" i="8"/>
  <c r="AW359" i="8"/>
  <c r="AV359" i="8"/>
  <c r="AU359" i="8"/>
  <c r="AT359" i="8"/>
  <c r="AS359" i="8"/>
  <c r="AR359" i="8"/>
  <c r="AQ359" i="8"/>
  <c r="AP359" i="8"/>
  <c r="AO359" i="8"/>
  <c r="AN359" i="8"/>
  <c r="AM359" i="8"/>
  <c r="AL359" i="8"/>
  <c r="AK359" i="8"/>
  <c r="AJ359" i="8"/>
  <c r="AI359" i="8"/>
  <c r="AH359" i="8"/>
  <c r="AG359" i="8"/>
  <c r="AF359" i="8"/>
  <c r="AE359" i="8"/>
  <c r="AD359" i="8"/>
  <c r="AC359" i="8"/>
  <c r="AB359" i="8"/>
  <c r="AA359" i="8"/>
  <c r="Z359" i="8"/>
  <c r="Y359" i="8"/>
  <c r="X359" i="8"/>
  <c r="W359" i="8"/>
  <c r="V359" i="8"/>
  <c r="U359" i="8"/>
  <c r="T359" i="8"/>
  <c r="S359" i="8"/>
  <c r="R359" i="8"/>
  <c r="Q359" i="8"/>
  <c r="P359" i="8"/>
  <c r="O359" i="8"/>
  <c r="N359" i="8"/>
  <c r="M359" i="8"/>
  <c r="L359" i="8"/>
  <c r="K359" i="8"/>
  <c r="J359" i="8"/>
  <c r="I359" i="8"/>
  <c r="H359" i="8"/>
  <c r="G359" i="8"/>
  <c r="F359" i="8"/>
  <c r="E359" i="8"/>
  <c r="D359" i="8"/>
  <c r="A359" i="8"/>
  <c r="AX358" i="8"/>
  <c r="AW358" i="8"/>
  <c r="AV358" i="8"/>
  <c r="AU358" i="8"/>
  <c r="AT358" i="8"/>
  <c r="AS358" i="8"/>
  <c r="AR358" i="8"/>
  <c r="AQ358" i="8"/>
  <c r="AP358" i="8"/>
  <c r="AO358" i="8"/>
  <c r="AN358" i="8"/>
  <c r="AM358" i="8"/>
  <c r="AL358" i="8"/>
  <c r="AK358" i="8"/>
  <c r="AJ358" i="8"/>
  <c r="AI358" i="8"/>
  <c r="AH358" i="8"/>
  <c r="AG358" i="8"/>
  <c r="AF358" i="8"/>
  <c r="AE358" i="8"/>
  <c r="AD358" i="8"/>
  <c r="AC358" i="8"/>
  <c r="AB358" i="8"/>
  <c r="AA358" i="8"/>
  <c r="Z358" i="8"/>
  <c r="Y358" i="8"/>
  <c r="X358" i="8"/>
  <c r="W358" i="8"/>
  <c r="V358" i="8"/>
  <c r="U358" i="8"/>
  <c r="T358" i="8"/>
  <c r="S358" i="8"/>
  <c r="R358" i="8"/>
  <c r="Q358" i="8"/>
  <c r="P358" i="8"/>
  <c r="O358" i="8"/>
  <c r="N358" i="8"/>
  <c r="M358" i="8"/>
  <c r="L358" i="8"/>
  <c r="K358" i="8"/>
  <c r="J358" i="8"/>
  <c r="I358" i="8"/>
  <c r="H358" i="8"/>
  <c r="G358" i="8"/>
  <c r="F358" i="8"/>
  <c r="E358" i="8"/>
  <c r="D358" i="8"/>
  <c r="A358" i="8"/>
  <c r="AX357" i="8"/>
  <c r="AW357" i="8"/>
  <c r="AV357" i="8"/>
  <c r="AU357" i="8"/>
  <c r="AT357" i="8"/>
  <c r="AS357" i="8"/>
  <c r="AR357" i="8"/>
  <c r="AQ357" i="8"/>
  <c r="AP357" i="8"/>
  <c r="AO357" i="8"/>
  <c r="AN357" i="8"/>
  <c r="AM357" i="8"/>
  <c r="AL357" i="8"/>
  <c r="AK357" i="8"/>
  <c r="AJ357" i="8"/>
  <c r="AI357" i="8"/>
  <c r="AH357" i="8"/>
  <c r="AG357" i="8"/>
  <c r="AF357" i="8"/>
  <c r="AE357" i="8"/>
  <c r="AD357" i="8"/>
  <c r="AC357" i="8"/>
  <c r="AB357" i="8"/>
  <c r="AA357" i="8"/>
  <c r="Z357" i="8"/>
  <c r="Y357" i="8"/>
  <c r="X357" i="8"/>
  <c r="W357" i="8"/>
  <c r="V357" i="8"/>
  <c r="U357" i="8"/>
  <c r="T357" i="8"/>
  <c r="S357" i="8"/>
  <c r="R357" i="8"/>
  <c r="Q357" i="8"/>
  <c r="P357" i="8"/>
  <c r="O357" i="8"/>
  <c r="N357" i="8"/>
  <c r="M357" i="8"/>
  <c r="L357" i="8"/>
  <c r="K357" i="8"/>
  <c r="J357" i="8"/>
  <c r="I357" i="8"/>
  <c r="H357" i="8"/>
  <c r="G357" i="8"/>
  <c r="F357" i="8"/>
  <c r="E357" i="8"/>
  <c r="D357" i="8"/>
  <c r="A357" i="8"/>
  <c r="AX356" i="8"/>
  <c r="AW356" i="8"/>
  <c r="AV356" i="8"/>
  <c r="AU356" i="8"/>
  <c r="AT356" i="8"/>
  <c r="AS356" i="8"/>
  <c r="AR356" i="8"/>
  <c r="AQ356" i="8"/>
  <c r="AP356" i="8"/>
  <c r="AO356" i="8"/>
  <c r="AN356" i="8"/>
  <c r="AM356" i="8"/>
  <c r="AL356" i="8"/>
  <c r="AK356" i="8"/>
  <c r="AJ356" i="8"/>
  <c r="AI356" i="8"/>
  <c r="AH356" i="8"/>
  <c r="AG356" i="8"/>
  <c r="AF356" i="8"/>
  <c r="AE356" i="8"/>
  <c r="AD356" i="8"/>
  <c r="AC356" i="8"/>
  <c r="AB356" i="8"/>
  <c r="AA356" i="8"/>
  <c r="Z356" i="8"/>
  <c r="Y356" i="8"/>
  <c r="X356" i="8"/>
  <c r="W356" i="8"/>
  <c r="V356" i="8"/>
  <c r="U356" i="8"/>
  <c r="T356" i="8"/>
  <c r="S356" i="8"/>
  <c r="R356" i="8"/>
  <c r="Q356" i="8"/>
  <c r="P356" i="8"/>
  <c r="O356" i="8"/>
  <c r="N356" i="8"/>
  <c r="M356" i="8"/>
  <c r="L356" i="8"/>
  <c r="K356" i="8"/>
  <c r="J356" i="8"/>
  <c r="I356" i="8"/>
  <c r="H356" i="8"/>
  <c r="G356" i="8"/>
  <c r="F356" i="8"/>
  <c r="E356" i="8"/>
  <c r="D356" i="8"/>
  <c r="A356" i="8"/>
  <c r="AX355" i="8"/>
  <c r="AW355" i="8"/>
  <c r="AV355" i="8"/>
  <c r="AU355" i="8"/>
  <c r="AT355" i="8"/>
  <c r="AS355" i="8"/>
  <c r="AR355" i="8"/>
  <c r="AQ355" i="8"/>
  <c r="AP355" i="8"/>
  <c r="AO355" i="8"/>
  <c r="AN355" i="8"/>
  <c r="AM355" i="8"/>
  <c r="AL355" i="8"/>
  <c r="AK355" i="8"/>
  <c r="AJ355" i="8"/>
  <c r="AI355" i="8"/>
  <c r="AH355" i="8"/>
  <c r="AG355" i="8"/>
  <c r="AF355" i="8"/>
  <c r="AE355" i="8"/>
  <c r="AD355" i="8"/>
  <c r="AC355" i="8"/>
  <c r="AB355" i="8"/>
  <c r="AA355" i="8"/>
  <c r="Z355" i="8"/>
  <c r="Y355" i="8"/>
  <c r="X355" i="8"/>
  <c r="W355" i="8"/>
  <c r="V355" i="8"/>
  <c r="U355" i="8"/>
  <c r="T355" i="8"/>
  <c r="S355" i="8"/>
  <c r="R355" i="8"/>
  <c r="Q355" i="8"/>
  <c r="P355" i="8"/>
  <c r="O355" i="8"/>
  <c r="N355" i="8"/>
  <c r="M355" i="8"/>
  <c r="L355" i="8"/>
  <c r="K355" i="8"/>
  <c r="J355" i="8"/>
  <c r="I355" i="8"/>
  <c r="H355" i="8"/>
  <c r="G355" i="8"/>
  <c r="F355" i="8"/>
  <c r="E355" i="8"/>
  <c r="D355" i="8"/>
  <c r="A355" i="8"/>
  <c r="AX354" i="8"/>
  <c r="AW354" i="8"/>
  <c r="AV354" i="8"/>
  <c r="AU354" i="8"/>
  <c r="AT354" i="8"/>
  <c r="AS354" i="8"/>
  <c r="AR354" i="8"/>
  <c r="AQ354" i="8"/>
  <c r="AP354" i="8"/>
  <c r="AO354" i="8"/>
  <c r="AN354" i="8"/>
  <c r="AM354" i="8"/>
  <c r="AL354" i="8"/>
  <c r="AK354" i="8"/>
  <c r="AJ354" i="8"/>
  <c r="AI354" i="8"/>
  <c r="AH354" i="8"/>
  <c r="AG354" i="8"/>
  <c r="AF354" i="8"/>
  <c r="AE354" i="8"/>
  <c r="AD354" i="8"/>
  <c r="AC354" i="8"/>
  <c r="AB354" i="8"/>
  <c r="AA354" i="8"/>
  <c r="Z354" i="8"/>
  <c r="Y354" i="8"/>
  <c r="X354" i="8"/>
  <c r="W354" i="8"/>
  <c r="V354" i="8"/>
  <c r="U354" i="8"/>
  <c r="T354" i="8"/>
  <c r="S354" i="8"/>
  <c r="R354" i="8"/>
  <c r="Q354" i="8"/>
  <c r="P354" i="8"/>
  <c r="O354" i="8"/>
  <c r="N354" i="8"/>
  <c r="M354" i="8"/>
  <c r="L354" i="8"/>
  <c r="K354" i="8"/>
  <c r="J354" i="8"/>
  <c r="I354" i="8"/>
  <c r="H354" i="8"/>
  <c r="G354" i="8"/>
  <c r="F354" i="8"/>
  <c r="E354" i="8"/>
  <c r="D354" i="8"/>
  <c r="A354" i="8"/>
  <c r="AX353" i="8"/>
  <c r="AW353" i="8"/>
  <c r="AV353" i="8"/>
  <c r="AU353" i="8"/>
  <c r="AT353" i="8"/>
  <c r="AS353" i="8"/>
  <c r="AR353" i="8"/>
  <c r="AQ353" i="8"/>
  <c r="AP353" i="8"/>
  <c r="AO353" i="8"/>
  <c r="AN353" i="8"/>
  <c r="AM353" i="8"/>
  <c r="AL353" i="8"/>
  <c r="AK353" i="8"/>
  <c r="AJ353" i="8"/>
  <c r="AI353" i="8"/>
  <c r="AH353" i="8"/>
  <c r="AG353" i="8"/>
  <c r="AF353" i="8"/>
  <c r="AE353" i="8"/>
  <c r="AD353" i="8"/>
  <c r="AC353" i="8"/>
  <c r="AB353" i="8"/>
  <c r="AA353" i="8"/>
  <c r="Z353" i="8"/>
  <c r="Y353" i="8"/>
  <c r="X353" i="8"/>
  <c r="W353" i="8"/>
  <c r="V353" i="8"/>
  <c r="U353" i="8"/>
  <c r="T353" i="8"/>
  <c r="S353" i="8"/>
  <c r="R353" i="8"/>
  <c r="Q353" i="8"/>
  <c r="P353" i="8"/>
  <c r="O353" i="8"/>
  <c r="N353" i="8"/>
  <c r="M353" i="8"/>
  <c r="L353" i="8"/>
  <c r="K353" i="8"/>
  <c r="J353" i="8"/>
  <c r="I353" i="8"/>
  <c r="H353" i="8"/>
  <c r="G353" i="8"/>
  <c r="F353" i="8"/>
  <c r="E353" i="8"/>
  <c r="D353" i="8"/>
  <c r="A353" i="8"/>
  <c r="AX352" i="8"/>
  <c r="AW352" i="8"/>
  <c r="AV352" i="8"/>
  <c r="AU352" i="8"/>
  <c r="AT352" i="8"/>
  <c r="AS352" i="8"/>
  <c r="AR352" i="8"/>
  <c r="AQ352" i="8"/>
  <c r="AP352" i="8"/>
  <c r="AO352" i="8"/>
  <c r="AN352" i="8"/>
  <c r="AM352" i="8"/>
  <c r="AL352" i="8"/>
  <c r="AK352" i="8"/>
  <c r="AJ352" i="8"/>
  <c r="AI352" i="8"/>
  <c r="AH352" i="8"/>
  <c r="AG352" i="8"/>
  <c r="AF352" i="8"/>
  <c r="AE352" i="8"/>
  <c r="AD352" i="8"/>
  <c r="AC352" i="8"/>
  <c r="AB352" i="8"/>
  <c r="AA352" i="8"/>
  <c r="Z352" i="8"/>
  <c r="Y352" i="8"/>
  <c r="X352" i="8"/>
  <c r="W352" i="8"/>
  <c r="V352" i="8"/>
  <c r="U352" i="8"/>
  <c r="T352" i="8"/>
  <c r="S352" i="8"/>
  <c r="R352" i="8"/>
  <c r="Q352" i="8"/>
  <c r="P352" i="8"/>
  <c r="O352" i="8"/>
  <c r="N352" i="8"/>
  <c r="M352" i="8"/>
  <c r="L352" i="8"/>
  <c r="K352" i="8"/>
  <c r="J352" i="8"/>
  <c r="I352" i="8"/>
  <c r="H352" i="8"/>
  <c r="G352" i="8"/>
  <c r="F352" i="8"/>
  <c r="E352" i="8"/>
  <c r="D352" i="8"/>
  <c r="A352" i="8"/>
  <c r="AX351" i="8"/>
  <c r="AW351" i="8"/>
  <c r="AV351" i="8"/>
  <c r="AU351" i="8"/>
  <c r="AT351" i="8"/>
  <c r="AS351" i="8"/>
  <c r="AR351" i="8"/>
  <c r="AQ351" i="8"/>
  <c r="AP351" i="8"/>
  <c r="AO351" i="8"/>
  <c r="AN351" i="8"/>
  <c r="AM351" i="8"/>
  <c r="AL351" i="8"/>
  <c r="AK351" i="8"/>
  <c r="AJ351" i="8"/>
  <c r="AI351" i="8"/>
  <c r="AH351" i="8"/>
  <c r="AG351" i="8"/>
  <c r="AF351" i="8"/>
  <c r="AE351" i="8"/>
  <c r="AD351" i="8"/>
  <c r="AC351" i="8"/>
  <c r="AB351" i="8"/>
  <c r="AA351" i="8"/>
  <c r="Z351" i="8"/>
  <c r="Y351" i="8"/>
  <c r="X351" i="8"/>
  <c r="W351" i="8"/>
  <c r="V351" i="8"/>
  <c r="U351" i="8"/>
  <c r="T351" i="8"/>
  <c r="S351" i="8"/>
  <c r="R351" i="8"/>
  <c r="Q351" i="8"/>
  <c r="P351" i="8"/>
  <c r="O351" i="8"/>
  <c r="N351" i="8"/>
  <c r="M351" i="8"/>
  <c r="L351" i="8"/>
  <c r="K351" i="8"/>
  <c r="J351" i="8"/>
  <c r="I351" i="8"/>
  <c r="H351" i="8"/>
  <c r="G351" i="8"/>
  <c r="F351" i="8"/>
  <c r="E351" i="8"/>
  <c r="D351" i="8"/>
  <c r="A351" i="8"/>
  <c r="AX350" i="8"/>
  <c r="AW350" i="8"/>
  <c r="AV350" i="8"/>
  <c r="AU350" i="8"/>
  <c r="AT350" i="8"/>
  <c r="AS350" i="8"/>
  <c r="AR350" i="8"/>
  <c r="AQ350" i="8"/>
  <c r="AP350" i="8"/>
  <c r="AO350" i="8"/>
  <c r="AN350" i="8"/>
  <c r="AM350" i="8"/>
  <c r="AL350" i="8"/>
  <c r="AK350" i="8"/>
  <c r="AJ350" i="8"/>
  <c r="AI350" i="8"/>
  <c r="AH350" i="8"/>
  <c r="AG350" i="8"/>
  <c r="AF350" i="8"/>
  <c r="AE350" i="8"/>
  <c r="AD350" i="8"/>
  <c r="AC350" i="8"/>
  <c r="AB350" i="8"/>
  <c r="AA350" i="8"/>
  <c r="Z350" i="8"/>
  <c r="Y350" i="8"/>
  <c r="X350" i="8"/>
  <c r="W350" i="8"/>
  <c r="V350" i="8"/>
  <c r="U350" i="8"/>
  <c r="T350" i="8"/>
  <c r="S350" i="8"/>
  <c r="R350" i="8"/>
  <c r="Q350" i="8"/>
  <c r="P350" i="8"/>
  <c r="O350" i="8"/>
  <c r="N350" i="8"/>
  <c r="M350" i="8"/>
  <c r="L350" i="8"/>
  <c r="K350" i="8"/>
  <c r="J350" i="8"/>
  <c r="I350" i="8"/>
  <c r="H350" i="8"/>
  <c r="G350" i="8"/>
  <c r="F350" i="8"/>
  <c r="E350" i="8"/>
  <c r="D350" i="8"/>
  <c r="A350" i="8"/>
  <c r="AX349" i="8"/>
  <c r="AW349" i="8"/>
  <c r="AV349" i="8"/>
  <c r="AU349" i="8"/>
  <c r="AT349" i="8"/>
  <c r="AS349" i="8"/>
  <c r="AR349" i="8"/>
  <c r="AQ349" i="8"/>
  <c r="AP349" i="8"/>
  <c r="AO349" i="8"/>
  <c r="AN349" i="8"/>
  <c r="AM349" i="8"/>
  <c r="AL349" i="8"/>
  <c r="AK349" i="8"/>
  <c r="AJ349" i="8"/>
  <c r="AI349" i="8"/>
  <c r="AH349" i="8"/>
  <c r="AG349" i="8"/>
  <c r="AF349" i="8"/>
  <c r="AE349" i="8"/>
  <c r="AD349" i="8"/>
  <c r="AC349" i="8"/>
  <c r="AB349" i="8"/>
  <c r="AA349" i="8"/>
  <c r="Z349" i="8"/>
  <c r="Y349" i="8"/>
  <c r="X349" i="8"/>
  <c r="W349" i="8"/>
  <c r="V349" i="8"/>
  <c r="U349" i="8"/>
  <c r="T349" i="8"/>
  <c r="S349" i="8"/>
  <c r="R349" i="8"/>
  <c r="Q349" i="8"/>
  <c r="P349" i="8"/>
  <c r="O349" i="8"/>
  <c r="N349" i="8"/>
  <c r="M349" i="8"/>
  <c r="L349" i="8"/>
  <c r="K349" i="8"/>
  <c r="J349" i="8"/>
  <c r="I349" i="8"/>
  <c r="H349" i="8"/>
  <c r="G349" i="8"/>
  <c r="F349" i="8"/>
  <c r="E349" i="8"/>
  <c r="D349" i="8"/>
  <c r="A349" i="8"/>
  <c r="AX348" i="8"/>
  <c r="AW348" i="8"/>
  <c r="AV348" i="8"/>
  <c r="AU348" i="8"/>
  <c r="AT348" i="8"/>
  <c r="AS348" i="8"/>
  <c r="AR348" i="8"/>
  <c r="AQ348" i="8"/>
  <c r="AP348" i="8"/>
  <c r="AO348" i="8"/>
  <c r="AN348" i="8"/>
  <c r="AM348" i="8"/>
  <c r="AL348" i="8"/>
  <c r="AK348" i="8"/>
  <c r="AJ348" i="8"/>
  <c r="AI348" i="8"/>
  <c r="AH348" i="8"/>
  <c r="AG348" i="8"/>
  <c r="AF348" i="8"/>
  <c r="AE348" i="8"/>
  <c r="AD348" i="8"/>
  <c r="AC348" i="8"/>
  <c r="AB348" i="8"/>
  <c r="AA348" i="8"/>
  <c r="Z348" i="8"/>
  <c r="Y348" i="8"/>
  <c r="X348" i="8"/>
  <c r="W348" i="8"/>
  <c r="V348" i="8"/>
  <c r="U348" i="8"/>
  <c r="T348" i="8"/>
  <c r="S348" i="8"/>
  <c r="R348" i="8"/>
  <c r="Q348" i="8"/>
  <c r="P348" i="8"/>
  <c r="O348" i="8"/>
  <c r="N348" i="8"/>
  <c r="M348" i="8"/>
  <c r="L348" i="8"/>
  <c r="K348" i="8"/>
  <c r="J348" i="8"/>
  <c r="I348" i="8"/>
  <c r="H348" i="8"/>
  <c r="G348" i="8"/>
  <c r="F348" i="8"/>
  <c r="E348" i="8"/>
  <c r="D348" i="8"/>
  <c r="B348" i="8"/>
  <c r="A348" i="8"/>
  <c r="AX347" i="8"/>
  <c r="AW347" i="8"/>
  <c r="AV347" i="8"/>
  <c r="AU347" i="8"/>
  <c r="AT347" i="8"/>
  <c r="AS347" i="8"/>
  <c r="AR347" i="8"/>
  <c r="AQ347" i="8"/>
  <c r="AP347" i="8"/>
  <c r="AO347" i="8"/>
  <c r="AN347" i="8"/>
  <c r="AM347" i="8"/>
  <c r="AL347" i="8"/>
  <c r="AK347" i="8"/>
  <c r="AJ347" i="8"/>
  <c r="AI347" i="8"/>
  <c r="AH347" i="8"/>
  <c r="AG347" i="8"/>
  <c r="AF347" i="8"/>
  <c r="AE347" i="8"/>
  <c r="AD347" i="8"/>
  <c r="AC347" i="8"/>
  <c r="AB347" i="8"/>
  <c r="AA347" i="8"/>
  <c r="Z347" i="8"/>
  <c r="Y347" i="8"/>
  <c r="X347" i="8"/>
  <c r="W347" i="8"/>
  <c r="V347" i="8"/>
  <c r="U347" i="8"/>
  <c r="T347" i="8"/>
  <c r="S347" i="8"/>
  <c r="R347" i="8"/>
  <c r="Q347" i="8"/>
  <c r="P347" i="8"/>
  <c r="O347" i="8"/>
  <c r="N347" i="8"/>
  <c r="M347" i="8"/>
  <c r="L347" i="8"/>
  <c r="K347" i="8"/>
  <c r="J347" i="8"/>
  <c r="I347" i="8"/>
  <c r="H347" i="8"/>
  <c r="G347" i="8"/>
  <c r="F347" i="8"/>
  <c r="E347" i="8"/>
  <c r="D347" i="8"/>
  <c r="A347" i="8"/>
  <c r="B347" i="8" s="1"/>
  <c r="AX346" i="8"/>
  <c r="AW346" i="8"/>
  <c r="AV346" i="8"/>
  <c r="AU346" i="8"/>
  <c r="AT346" i="8"/>
  <c r="AS346" i="8"/>
  <c r="AR346" i="8"/>
  <c r="AQ346" i="8"/>
  <c r="AP346" i="8"/>
  <c r="AO346" i="8"/>
  <c r="AN346" i="8"/>
  <c r="AM346" i="8"/>
  <c r="AL346" i="8"/>
  <c r="AK346" i="8"/>
  <c r="AJ346" i="8"/>
  <c r="AI346" i="8"/>
  <c r="AH346" i="8"/>
  <c r="AG346" i="8"/>
  <c r="AF346" i="8"/>
  <c r="AE346" i="8"/>
  <c r="AD346" i="8"/>
  <c r="AC346" i="8"/>
  <c r="AB346" i="8"/>
  <c r="AA346" i="8"/>
  <c r="Z346" i="8"/>
  <c r="Y346" i="8"/>
  <c r="X346" i="8"/>
  <c r="W346" i="8"/>
  <c r="V346" i="8"/>
  <c r="U346" i="8"/>
  <c r="T346" i="8"/>
  <c r="S346" i="8"/>
  <c r="R346" i="8"/>
  <c r="Q346" i="8"/>
  <c r="P346" i="8"/>
  <c r="O346" i="8"/>
  <c r="N346" i="8"/>
  <c r="M346" i="8"/>
  <c r="L346" i="8"/>
  <c r="K346" i="8"/>
  <c r="J346" i="8"/>
  <c r="I346" i="8"/>
  <c r="H346" i="8"/>
  <c r="G346" i="8"/>
  <c r="F346" i="8"/>
  <c r="E346" i="8"/>
  <c r="D346" i="8"/>
  <c r="B346" i="8"/>
  <c r="A346" i="8"/>
  <c r="AX345" i="8"/>
  <c r="AW345" i="8"/>
  <c r="AV345" i="8"/>
  <c r="AU345" i="8"/>
  <c r="AT345" i="8"/>
  <c r="AS345" i="8"/>
  <c r="AR345" i="8"/>
  <c r="AQ345" i="8"/>
  <c r="AP345" i="8"/>
  <c r="AO345" i="8"/>
  <c r="AN345" i="8"/>
  <c r="AM345" i="8"/>
  <c r="AL345" i="8"/>
  <c r="AK345" i="8"/>
  <c r="AJ345" i="8"/>
  <c r="AI345" i="8"/>
  <c r="AH345" i="8"/>
  <c r="AG345" i="8"/>
  <c r="AF345" i="8"/>
  <c r="AE345" i="8"/>
  <c r="AD345" i="8"/>
  <c r="AC345" i="8"/>
  <c r="AB345" i="8"/>
  <c r="AA345" i="8"/>
  <c r="Z345" i="8"/>
  <c r="Y345" i="8"/>
  <c r="X345" i="8"/>
  <c r="W345" i="8"/>
  <c r="V345" i="8"/>
  <c r="U345" i="8"/>
  <c r="T345" i="8"/>
  <c r="S345" i="8"/>
  <c r="R345" i="8"/>
  <c r="Q345" i="8"/>
  <c r="P345" i="8"/>
  <c r="O345" i="8"/>
  <c r="N345" i="8"/>
  <c r="M345" i="8"/>
  <c r="L345" i="8"/>
  <c r="K345" i="8"/>
  <c r="J345" i="8"/>
  <c r="I345" i="8"/>
  <c r="H345" i="8"/>
  <c r="G345" i="8"/>
  <c r="F345" i="8"/>
  <c r="E345" i="8"/>
  <c r="D345" i="8"/>
  <c r="B345" i="8"/>
  <c r="A345" i="8"/>
  <c r="AX344" i="8"/>
  <c r="AW344" i="8"/>
  <c r="AV344" i="8"/>
  <c r="AU344" i="8"/>
  <c r="AT344" i="8"/>
  <c r="AS344" i="8"/>
  <c r="AR344" i="8"/>
  <c r="AQ344" i="8"/>
  <c r="AP344" i="8"/>
  <c r="AO344" i="8"/>
  <c r="AN344" i="8"/>
  <c r="AM344" i="8"/>
  <c r="AL344" i="8"/>
  <c r="AK344" i="8"/>
  <c r="AJ344" i="8"/>
  <c r="AI344" i="8"/>
  <c r="AH344" i="8"/>
  <c r="AG344" i="8"/>
  <c r="AF344" i="8"/>
  <c r="AE344" i="8"/>
  <c r="AD344" i="8"/>
  <c r="AC344" i="8"/>
  <c r="AB344" i="8"/>
  <c r="AA344" i="8"/>
  <c r="Z344" i="8"/>
  <c r="Y344" i="8"/>
  <c r="X344" i="8"/>
  <c r="W344" i="8"/>
  <c r="V344" i="8"/>
  <c r="U344" i="8"/>
  <c r="T344" i="8"/>
  <c r="S344" i="8"/>
  <c r="R344" i="8"/>
  <c r="Q344" i="8"/>
  <c r="P344" i="8"/>
  <c r="O344" i="8"/>
  <c r="N344" i="8"/>
  <c r="M344" i="8"/>
  <c r="L344" i="8"/>
  <c r="K344" i="8"/>
  <c r="J344" i="8"/>
  <c r="I344" i="8"/>
  <c r="H344" i="8"/>
  <c r="G344" i="8"/>
  <c r="F344" i="8"/>
  <c r="E344" i="8"/>
  <c r="D344" i="8"/>
  <c r="B344" i="8"/>
  <c r="A344" i="8"/>
  <c r="AX343" i="8"/>
  <c r="AW343" i="8"/>
  <c r="AV343" i="8"/>
  <c r="AU343" i="8"/>
  <c r="AT343" i="8"/>
  <c r="AS343" i="8"/>
  <c r="AR343" i="8"/>
  <c r="AQ343" i="8"/>
  <c r="AP343" i="8"/>
  <c r="AO343" i="8"/>
  <c r="AN343" i="8"/>
  <c r="AM343" i="8"/>
  <c r="AL343" i="8"/>
  <c r="AK343" i="8"/>
  <c r="AJ343" i="8"/>
  <c r="AI343" i="8"/>
  <c r="AH343" i="8"/>
  <c r="AG343" i="8"/>
  <c r="AF343" i="8"/>
  <c r="AE343" i="8"/>
  <c r="AD343" i="8"/>
  <c r="AC343" i="8"/>
  <c r="AB343" i="8"/>
  <c r="AA343" i="8"/>
  <c r="Z343" i="8"/>
  <c r="Y343" i="8"/>
  <c r="X343" i="8"/>
  <c r="W343" i="8"/>
  <c r="V343" i="8"/>
  <c r="U343" i="8"/>
  <c r="T343" i="8"/>
  <c r="S343" i="8"/>
  <c r="R343" i="8"/>
  <c r="Q343" i="8"/>
  <c r="P343" i="8"/>
  <c r="O343" i="8"/>
  <c r="N343" i="8"/>
  <c r="M343" i="8"/>
  <c r="L343" i="8"/>
  <c r="K343" i="8"/>
  <c r="J343" i="8"/>
  <c r="I343" i="8"/>
  <c r="H343" i="8"/>
  <c r="G343" i="8"/>
  <c r="F343" i="8"/>
  <c r="E343" i="8"/>
  <c r="D343" i="8"/>
  <c r="B343" i="8"/>
  <c r="A343" i="8"/>
  <c r="AX342" i="8"/>
  <c r="AW342" i="8"/>
  <c r="AV342" i="8"/>
  <c r="AU342" i="8"/>
  <c r="AT342" i="8"/>
  <c r="AS342" i="8"/>
  <c r="AR342" i="8"/>
  <c r="AQ342" i="8"/>
  <c r="AP342" i="8"/>
  <c r="AO342" i="8"/>
  <c r="AN342" i="8"/>
  <c r="AM342" i="8"/>
  <c r="AL342" i="8"/>
  <c r="AK342" i="8"/>
  <c r="AJ342" i="8"/>
  <c r="AI342" i="8"/>
  <c r="AH342" i="8"/>
  <c r="AG342" i="8"/>
  <c r="AF342" i="8"/>
  <c r="AE342" i="8"/>
  <c r="AD342" i="8"/>
  <c r="AC342" i="8"/>
  <c r="AB342" i="8"/>
  <c r="AA342" i="8"/>
  <c r="Z342" i="8"/>
  <c r="Y342" i="8"/>
  <c r="X342" i="8"/>
  <c r="W342" i="8"/>
  <c r="V342" i="8"/>
  <c r="U342" i="8"/>
  <c r="T342" i="8"/>
  <c r="S342" i="8"/>
  <c r="R342" i="8"/>
  <c r="Q342" i="8"/>
  <c r="P342" i="8"/>
  <c r="O342" i="8"/>
  <c r="N342" i="8"/>
  <c r="M342" i="8"/>
  <c r="L342" i="8"/>
  <c r="K342" i="8"/>
  <c r="J342" i="8"/>
  <c r="I342" i="8"/>
  <c r="H342" i="8"/>
  <c r="G342" i="8"/>
  <c r="F342" i="8"/>
  <c r="E342" i="8"/>
  <c r="D342" i="8"/>
  <c r="A342" i="8"/>
  <c r="B342" i="8" s="1"/>
  <c r="AX341" i="8"/>
  <c r="AW341" i="8"/>
  <c r="AV341" i="8"/>
  <c r="AU341" i="8"/>
  <c r="AT341" i="8"/>
  <c r="AS341" i="8"/>
  <c r="AR341" i="8"/>
  <c r="AQ341" i="8"/>
  <c r="AP341" i="8"/>
  <c r="AO341" i="8"/>
  <c r="AN341" i="8"/>
  <c r="AM341" i="8"/>
  <c r="AL341" i="8"/>
  <c r="AK341" i="8"/>
  <c r="AJ341" i="8"/>
  <c r="AI341" i="8"/>
  <c r="AH341" i="8"/>
  <c r="AG341" i="8"/>
  <c r="AF341" i="8"/>
  <c r="AE341" i="8"/>
  <c r="AD341" i="8"/>
  <c r="AC341" i="8"/>
  <c r="AB341" i="8"/>
  <c r="AA341" i="8"/>
  <c r="Z341" i="8"/>
  <c r="Y341" i="8"/>
  <c r="X341" i="8"/>
  <c r="W341" i="8"/>
  <c r="V341" i="8"/>
  <c r="U341" i="8"/>
  <c r="T341" i="8"/>
  <c r="S341" i="8"/>
  <c r="R341" i="8"/>
  <c r="Q341" i="8"/>
  <c r="P341" i="8"/>
  <c r="O341" i="8"/>
  <c r="N341" i="8"/>
  <c r="M341" i="8"/>
  <c r="L341" i="8"/>
  <c r="K341" i="8"/>
  <c r="J341" i="8"/>
  <c r="I341" i="8"/>
  <c r="H341" i="8"/>
  <c r="G341" i="8"/>
  <c r="F341" i="8"/>
  <c r="E341" i="8"/>
  <c r="D341" i="8"/>
  <c r="A341" i="8"/>
  <c r="B341" i="8" s="1"/>
  <c r="AX340" i="8"/>
  <c r="AW340" i="8"/>
  <c r="AV340" i="8"/>
  <c r="AU340" i="8"/>
  <c r="AT340" i="8"/>
  <c r="AS340" i="8"/>
  <c r="AR340" i="8"/>
  <c r="AQ340" i="8"/>
  <c r="AP340" i="8"/>
  <c r="AO340" i="8"/>
  <c r="AN340" i="8"/>
  <c r="AM340" i="8"/>
  <c r="AL340" i="8"/>
  <c r="AK340" i="8"/>
  <c r="AJ340" i="8"/>
  <c r="AI340" i="8"/>
  <c r="AH340" i="8"/>
  <c r="AG340" i="8"/>
  <c r="AF340" i="8"/>
  <c r="AE340" i="8"/>
  <c r="AD340" i="8"/>
  <c r="AC340" i="8"/>
  <c r="AB340" i="8"/>
  <c r="AA340" i="8"/>
  <c r="Z340" i="8"/>
  <c r="Y340" i="8"/>
  <c r="X340" i="8"/>
  <c r="W340" i="8"/>
  <c r="V340" i="8"/>
  <c r="U340" i="8"/>
  <c r="T340" i="8"/>
  <c r="S340" i="8"/>
  <c r="R340" i="8"/>
  <c r="Q340" i="8"/>
  <c r="P340" i="8"/>
  <c r="O340" i="8"/>
  <c r="N340" i="8"/>
  <c r="M340" i="8"/>
  <c r="L340" i="8"/>
  <c r="K340" i="8"/>
  <c r="J340" i="8"/>
  <c r="I340" i="8"/>
  <c r="H340" i="8"/>
  <c r="G340" i="8"/>
  <c r="F340" i="8"/>
  <c r="E340" i="8"/>
  <c r="D340" i="8"/>
  <c r="B340" i="8"/>
  <c r="A340" i="8"/>
  <c r="AX339" i="8"/>
  <c r="AW339" i="8"/>
  <c r="AV339" i="8"/>
  <c r="AU339" i="8"/>
  <c r="AT339" i="8"/>
  <c r="AS339" i="8"/>
  <c r="AR339" i="8"/>
  <c r="AQ339" i="8"/>
  <c r="AP339" i="8"/>
  <c r="AO339" i="8"/>
  <c r="AN339" i="8"/>
  <c r="AM339" i="8"/>
  <c r="AL339" i="8"/>
  <c r="AK339" i="8"/>
  <c r="AJ339" i="8"/>
  <c r="AI339" i="8"/>
  <c r="AH339" i="8"/>
  <c r="AG339" i="8"/>
  <c r="AF339" i="8"/>
  <c r="AE339" i="8"/>
  <c r="AD339" i="8"/>
  <c r="AC339" i="8"/>
  <c r="AB339" i="8"/>
  <c r="AA339" i="8"/>
  <c r="Z339" i="8"/>
  <c r="Y339" i="8"/>
  <c r="X339" i="8"/>
  <c r="W339" i="8"/>
  <c r="V339" i="8"/>
  <c r="U339" i="8"/>
  <c r="T339" i="8"/>
  <c r="S339" i="8"/>
  <c r="R339" i="8"/>
  <c r="Q339" i="8"/>
  <c r="P339" i="8"/>
  <c r="O339" i="8"/>
  <c r="N339" i="8"/>
  <c r="M339" i="8"/>
  <c r="L339" i="8"/>
  <c r="K339" i="8"/>
  <c r="J339" i="8"/>
  <c r="I339" i="8"/>
  <c r="H339" i="8"/>
  <c r="G339" i="8"/>
  <c r="F339" i="8"/>
  <c r="E339" i="8"/>
  <c r="D339" i="8"/>
  <c r="A339" i="8"/>
  <c r="B339" i="8" s="1"/>
  <c r="AX338" i="8"/>
  <c r="AW338" i="8"/>
  <c r="AV338" i="8"/>
  <c r="AU338" i="8"/>
  <c r="AT338" i="8"/>
  <c r="AS338" i="8"/>
  <c r="AR338" i="8"/>
  <c r="AQ338" i="8"/>
  <c r="AP338" i="8"/>
  <c r="AO338" i="8"/>
  <c r="AN338" i="8"/>
  <c r="AM338" i="8"/>
  <c r="AL338" i="8"/>
  <c r="AK338" i="8"/>
  <c r="AJ338" i="8"/>
  <c r="AI338" i="8"/>
  <c r="AH338" i="8"/>
  <c r="AG338" i="8"/>
  <c r="AF338" i="8"/>
  <c r="AE338" i="8"/>
  <c r="AD338" i="8"/>
  <c r="AC338" i="8"/>
  <c r="AB338" i="8"/>
  <c r="AA338" i="8"/>
  <c r="Z338" i="8"/>
  <c r="Y338" i="8"/>
  <c r="X338" i="8"/>
  <c r="W338" i="8"/>
  <c r="V338" i="8"/>
  <c r="U338" i="8"/>
  <c r="T338" i="8"/>
  <c r="S338" i="8"/>
  <c r="R338" i="8"/>
  <c r="Q338" i="8"/>
  <c r="P338" i="8"/>
  <c r="O338" i="8"/>
  <c r="N338" i="8"/>
  <c r="M338" i="8"/>
  <c r="L338" i="8"/>
  <c r="K338" i="8"/>
  <c r="J338" i="8"/>
  <c r="I338" i="8"/>
  <c r="H338" i="8"/>
  <c r="G338" i="8"/>
  <c r="F338" i="8"/>
  <c r="E338" i="8"/>
  <c r="D338" i="8"/>
  <c r="B338" i="8"/>
  <c r="A338" i="8"/>
  <c r="AX337" i="8"/>
  <c r="AW337" i="8"/>
  <c r="AV337" i="8"/>
  <c r="AU337" i="8"/>
  <c r="AT337" i="8"/>
  <c r="AS337" i="8"/>
  <c r="AR337" i="8"/>
  <c r="AQ337" i="8"/>
  <c r="AP337" i="8"/>
  <c r="AO337" i="8"/>
  <c r="AN337" i="8"/>
  <c r="AM337" i="8"/>
  <c r="AL337" i="8"/>
  <c r="AK337" i="8"/>
  <c r="AJ337" i="8"/>
  <c r="AI337" i="8"/>
  <c r="AH337" i="8"/>
  <c r="AG337" i="8"/>
  <c r="AF337" i="8"/>
  <c r="AE337" i="8"/>
  <c r="AD337" i="8"/>
  <c r="AC337" i="8"/>
  <c r="AB337" i="8"/>
  <c r="AA337" i="8"/>
  <c r="Z337" i="8"/>
  <c r="Y337" i="8"/>
  <c r="X337" i="8"/>
  <c r="W337" i="8"/>
  <c r="V337" i="8"/>
  <c r="U337" i="8"/>
  <c r="T337" i="8"/>
  <c r="S337" i="8"/>
  <c r="R337" i="8"/>
  <c r="Q337" i="8"/>
  <c r="P337" i="8"/>
  <c r="O337" i="8"/>
  <c r="N337" i="8"/>
  <c r="M337" i="8"/>
  <c r="L337" i="8"/>
  <c r="K337" i="8"/>
  <c r="J337" i="8"/>
  <c r="I337" i="8"/>
  <c r="H337" i="8"/>
  <c r="G337" i="8"/>
  <c r="F337" i="8"/>
  <c r="E337" i="8"/>
  <c r="D337" i="8"/>
  <c r="A337" i="8"/>
  <c r="B337" i="8" s="1"/>
  <c r="AX336" i="8"/>
  <c r="AW336" i="8"/>
  <c r="AV336" i="8"/>
  <c r="AU336" i="8"/>
  <c r="AT336" i="8"/>
  <c r="AS336" i="8"/>
  <c r="AR336" i="8"/>
  <c r="AQ336" i="8"/>
  <c r="AP336" i="8"/>
  <c r="AO336" i="8"/>
  <c r="AN336" i="8"/>
  <c r="AM336" i="8"/>
  <c r="AL336" i="8"/>
  <c r="AK336" i="8"/>
  <c r="AJ336" i="8"/>
  <c r="AI336" i="8"/>
  <c r="AH336" i="8"/>
  <c r="AG336" i="8"/>
  <c r="AF336" i="8"/>
  <c r="AE336" i="8"/>
  <c r="AD336" i="8"/>
  <c r="AC336" i="8"/>
  <c r="AB336" i="8"/>
  <c r="AA336" i="8"/>
  <c r="Z336" i="8"/>
  <c r="Y336" i="8"/>
  <c r="X336" i="8"/>
  <c r="W336" i="8"/>
  <c r="V336" i="8"/>
  <c r="U336" i="8"/>
  <c r="T336" i="8"/>
  <c r="S336" i="8"/>
  <c r="R336" i="8"/>
  <c r="Q336" i="8"/>
  <c r="P336" i="8"/>
  <c r="O336" i="8"/>
  <c r="N336" i="8"/>
  <c r="M336" i="8"/>
  <c r="L336" i="8"/>
  <c r="K336" i="8"/>
  <c r="J336" i="8"/>
  <c r="I336" i="8"/>
  <c r="H336" i="8"/>
  <c r="G336" i="8"/>
  <c r="F336" i="8"/>
  <c r="E336" i="8"/>
  <c r="D336" i="8"/>
  <c r="A336" i="8"/>
  <c r="B336" i="8" s="1"/>
  <c r="AX335" i="8"/>
  <c r="AW335" i="8"/>
  <c r="AV335" i="8"/>
  <c r="AU335" i="8"/>
  <c r="AT335" i="8"/>
  <c r="AS335" i="8"/>
  <c r="AR335" i="8"/>
  <c r="AQ335" i="8"/>
  <c r="AP335" i="8"/>
  <c r="AO335" i="8"/>
  <c r="AN335" i="8"/>
  <c r="AM335" i="8"/>
  <c r="AL335" i="8"/>
  <c r="AK335" i="8"/>
  <c r="AJ335" i="8"/>
  <c r="AI335" i="8"/>
  <c r="AH335" i="8"/>
  <c r="AG335" i="8"/>
  <c r="AF335" i="8"/>
  <c r="AE335" i="8"/>
  <c r="AD335" i="8"/>
  <c r="AC335" i="8"/>
  <c r="AB335" i="8"/>
  <c r="AA335" i="8"/>
  <c r="Z335" i="8"/>
  <c r="Y335" i="8"/>
  <c r="X335" i="8"/>
  <c r="W335" i="8"/>
  <c r="V335" i="8"/>
  <c r="U335" i="8"/>
  <c r="T335" i="8"/>
  <c r="S335" i="8"/>
  <c r="R335" i="8"/>
  <c r="Q335" i="8"/>
  <c r="P335" i="8"/>
  <c r="O335" i="8"/>
  <c r="N335" i="8"/>
  <c r="M335" i="8"/>
  <c r="L335" i="8"/>
  <c r="K335" i="8"/>
  <c r="J335" i="8"/>
  <c r="I335" i="8"/>
  <c r="H335" i="8"/>
  <c r="G335" i="8"/>
  <c r="F335" i="8"/>
  <c r="E335" i="8"/>
  <c r="D335" i="8"/>
  <c r="B335" i="8"/>
  <c r="A335" i="8"/>
  <c r="AX334" i="8"/>
  <c r="AW334" i="8"/>
  <c r="AV334" i="8"/>
  <c r="AU334" i="8"/>
  <c r="AT334" i="8"/>
  <c r="AS334" i="8"/>
  <c r="AR334" i="8"/>
  <c r="AQ334" i="8"/>
  <c r="AP334" i="8"/>
  <c r="AO334" i="8"/>
  <c r="AN334" i="8"/>
  <c r="AM334" i="8"/>
  <c r="AL334" i="8"/>
  <c r="AK334" i="8"/>
  <c r="AJ334" i="8"/>
  <c r="AI334" i="8"/>
  <c r="AH334" i="8"/>
  <c r="AG334" i="8"/>
  <c r="AF334" i="8"/>
  <c r="AE334" i="8"/>
  <c r="AD334" i="8"/>
  <c r="AC334" i="8"/>
  <c r="AB334" i="8"/>
  <c r="AA334" i="8"/>
  <c r="Z334" i="8"/>
  <c r="Y334" i="8"/>
  <c r="X334" i="8"/>
  <c r="W334" i="8"/>
  <c r="V334" i="8"/>
  <c r="U334" i="8"/>
  <c r="T334" i="8"/>
  <c r="S334" i="8"/>
  <c r="R334" i="8"/>
  <c r="Q334" i="8"/>
  <c r="P334" i="8"/>
  <c r="O334" i="8"/>
  <c r="N334" i="8"/>
  <c r="M334" i="8"/>
  <c r="L334" i="8"/>
  <c r="K334" i="8"/>
  <c r="J334" i="8"/>
  <c r="I334" i="8"/>
  <c r="H334" i="8"/>
  <c r="G334" i="8"/>
  <c r="F334" i="8"/>
  <c r="E334" i="8"/>
  <c r="D334" i="8"/>
  <c r="A334" i="8"/>
  <c r="B334" i="8" s="1"/>
  <c r="AX333" i="8"/>
  <c r="AW333" i="8"/>
  <c r="AV333" i="8"/>
  <c r="AU333" i="8"/>
  <c r="AT333" i="8"/>
  <c r="AS333" i="8"/>
  <c r="AR333" i="8"/>
  <c r="AQ333" i="8"/>
  <c r="AP333" i="8"/>
  <c r="AO333" i="8"/>
  <c r="AN333" i="8"/>
  <c r="AM333" i="8"/>
  <c r="AL333" i="8"/>
  <c r="AK333" i="8"/>
  <c r="AJ333" i="8"/>
  <c r="AI333" i="8"/>
  <c r="AH333" i="8"/>
  <c r="AG333" i="8"/>
  <c r="AF333" i="8"/>
  <c r="AE333" i="8"/>
  <c r="AD333" i="8"/>
  <c r="AC333" i="8"/>
  <c r="AB333" i="8"/>
  <c r="AA333" i="8"/>
  <c r="Z333" i="8"/>
  <c r="Y333" i="8"/>
  <c r="X333" i="8"/>
  <c r="W333" i="8"/>
  <c r="V333" i="8"/>
  <c r="U333" i="8"/>
  <c r="T333" i="8"/>
  <c r="S333" i="8"/>
  <c r="R333" i="8"/>
  <c r="Q333" i="8"/>
  <c r="P333" i="8"/>
  <c r="O333" i="8"/>
  <c r="N333" i="8"/>
  <c r="M333" i="8"/>
  <c r="L333" i="8"/>
  <c r="K333" i="8"/>
  <c r="J333" i="8"/>
  <c r="I333" i="8"/>
  <c r="H333" i="8"/>
  <c r="G333" i="8"/>
  <c r="F333" i="8"/>
  <c r="E333" i="8"/>
  <c r="D333" i="8"/>
  <c r="A333" i="8"/>
  <c r="B333" i="8" s="1"/>
  <c r="AX332" i="8"/>
  <c r="AW332" i="8"/>
  <c r="AV332" i="8"/>
  <c r="AU332" i="8"/>
  <c r="AT332" i="8"/>
  <c r="AS332" i="8"/>
  <c r="AR332" i="8"/>
  <c r="AQ332" i="8"/>
  <c r="AP332" i="8"/>
  <c r="AO332" i="8"/>
  <c r="AN332" i="8"/>
  <c r="AM332" i="8"/>
  <c r="AL332" i="8"/>
  <c r="AK332" i="8"/>
  <c r="AJ332" i="8"/>
  <c r="AI332" i="8"/>
  <c r="AH332" i="8"/>
  <c r="AG332" i="8"/>
  <c r="AF332" i="8"/>
  <c r="AE332" i="8"/>
  <c r="AD332" i="8"/>
  <c r="AC332" i="8"/>
  <c r="AB332" i="8"/>
  <c r="AA332" i="8"/>
  <c r="Z332" i="8"/>
  <c r="Y332" i="8"/>
  <c r="X332" i="8"/>
  <c r="W332" i="8"/>
  <c r="V332" i="8"/>
  <c r="U332" i="8"/>
  <c r="T332" i="8"/>
  <c r="S332" i="8"/>
  <c r="R332" i="8"/>
  <c r="Q332" i="8"/>
  <c r="P332" i="8"/>
  <c r="O332" i="8"/>
  <c r="N332" i="8"/>
  <c r="M332" i="8"/>
  <c r="L332" i="8"/>
  <c r="K332" i="8"/>
  <c r="J332" i="8"/>
  <c r="I332" i="8"/>
  <c r="H332" i="8"/>
  <c r="G332" i="8"/>
  <c r="F332" i="8"/>
  <c r="E332" i="8"/>
  <c r="D332" i="8"/>
  <c r="A332" i="8"/>
  <c r="B332" i="8" s="1"/>
  <c r="AX331" i="8"/>
  <c r="AW331" i="8"/>
  <c r="AV331" i="8"/>
  <c r="AU331" i="8"/>
  <c r="AT331" i="8"/>
  <c r="AS331" i="8"/>
  <c r="AR331" i="8"/>
  <c r="AQ331" i="8"/>
  <c r="AP331" i="8"/>
  <c r="AO331" i="8"/>
  <c r="AN331" i="8"/>
  <c r="AM331" i="8"/>
  <c r="AL331" i="8"/>
  <c r="AK331" i="8"/>
  <c r="AJ331" i="8"/>
  <c r="AI331" i="8"/>
  <c r="AH331" i="8"/>
  <c r="AG331" i="8"/>
  <c r="AF331" i="8"/>
  <c r="AE331" i="8"/>
  <c r="AD331" i="8"/>
  <c r="AC331" i="8"/>
  <c r="AB331" i="8"/>
  <c r="AA331" i="8"/>
  <c r="Z331" i="8"/>
  <c r="Y331" i="8"/>
  <c r="X331" i="8"/>
  <c r="W331" i="8"/>
  <c r="V331" i="8"/>
  <c r="U331" i="8"/>
  <c r="T331" i="8"/>
  <c r="S331" i="8"/>
  <c r="R331" i="8"/>
  <c r="Q331" i="8"/>
  <c r="P331" i="8"/>
  <c r="O331" i="8"/>
  <c r="N331" i="8"/>
  <c r="M331" i="8"/>
  <c r="L331" i="8"/>
  <c r="K331" i="8"/>
  <c r="J331" i="8"/>
  <c r="I331" i="8"/>
  <c r="H331" i="8"/>
  <c r="G331" i="8"/>
  <c r="F331" i="8"/>
  <c r="E331" i="8"/>
  <c r="D331" i="8"/>
  <c r="B331" i="8"/>
  <c r="A331" i="8"/>
  <c r="AX330" i="8"/>
  <c r="AW330" i="8"/>
  <c r="AV330" i="8"/>
  <c r="AU330" i="8"/>
  <c r="AT330" i="8"/>
  <c r="AS330" i="8"/>
  <c r="AR330" i="8"/>
  <c r="AQ330" i="8"/>
  <c r="AP330" i="8"/>
  <c r="AO330" i="8"/>
  <c r="AN330" i="8"/>
  <c r="AM330" i="8"/>
  <c r="AL330" i="8"/>
  <c r="AK330" i="8"/>
  <c r="AJ330" i="8"/>
  <c r="AI330" i="8"/>
  <c r="AH330" i="8"/>
  <c r="AG330" i="8"/>
  <c r="AF330" i="8"/>
  <c r="AE330" i="8"/>
  <c r="AD330" i="8"/>
  <c r="AC330" i="8"/>
  <c r="AB330" i="8"/>
  <c r="AA330" i="8"/>
  <c r="Z330" i="8"/>
  <c r="Y330" i="8"/>
  <c r="X330" i="8"/>
  <c r="W330" i="8"/>
  <c r="V330" i="8"/>
  <c r="U330" i="8"/>
  <c r="T330" i="8"/>
  <c r="S330" i="8"/>
  <c r="R330" i="8"/>
  <c r="Q330" i="8"/>
  <c r="P330" i="8"/>
  <c r="O330" i="8"/>
  <c r="N330" i="8"/>
  <c r="M330" i="8"/>
  <c r="L330" i="8"/>
  <c r="K330" i="8"/>
  <c r="J330" i="8"/>
  <c r="I330" i="8"/>
  <c r="H330" i="8"/>
  <c r="G330" i="8"/>
  <c r="F330" i="8"/>
  <c r="E330" i="8"/>
  <c r="D330" i="8"/>
  <c r="B330" i="8"/>
  <c r="A330" i="8"/>
  <c r="AX329" i="8"/>
  <c r="AW329" i="8"/>
  <c r="AV329" i="8"/>
  <c r="AU329" i="8"/>
  <c r="AT329" i="8"/>
  <c r="AS329" i="8"/>
  <c r="AR329" i="8"/>
  <c r="AQ329" i="8"/>
  <c r="AP329" i="8"/>
  <c r="AO329" i="8"/>
  <c r="AN329" i="8"/>
  <c r="AM329" i="8"/>
  <c r="AL329" i="8"/>
  <c r="AK329" i="8"/>
  <c r="AJ329" i="8"/>
  <c r="AI329" i="8"/>
  <c r="AH329" i="8"/>
  <c r="AG329" i="8"/>
  <c r="AF329" i="8"/>
  <c r="AE329" i="8"/>
  <c r="AD329" i="8"/>
  <c r="AC329" i="8"/>
  <c r="AB329" i="8"/>
  <c r="AA329" i="8"/>
  <c r="Z329" i="8"/>
  <c r="Y329" i="8"/>
  <c r="X329" i="8"/>
  <c r="W329" i="8"/>
  <c r="V329" i="8"/>
  <c r="U329" i="8"/>
  <c r="T329" i="8"/>
  <c r="S329" i="8"/>
  <c r="R329" i="8"/>
  <c r="Q329" i="8"/>
  <c r="P329" i="8"/>
  <c r="O329" i="8"/>
  <c r="N329" i="8"/>
  <c r="M329" i="8"/>
  <c r="L329" i="8"/>
  <c r="K329" i="8"/>
  <c r="J329" i="8"/>
  <c r="I329" i="8"/>
  <c r="H329" i="8"/>
  <c r="G329" i="8"/>
  <c r="F329" i="8"/>
  <c r="E329" i="8"/>
  <c r="D329" i="8"/>
  <c r="A329" i="8"/>
  <c r="B329" i="8" s="1"/>
  <c r="AX328" i="8"/>
  <c r="AW328" i="8"/>
  <c r="AV328" i="8"/>
  <c r="AU328" i="8"/>
  <c r="AT328" i="8"/>
  <c r="AS328" i="8"/>
  <c r="AR328" i="8"/>
  <c r="AQ328" i="8"/>
  <c r="AP328" i="8"/>
  <c r="AO328" i="8"/>
  <c r="AN328" i="8"/>
  <c r="AM328" i="8"/>
  <c r="AL328" i="8"/>
  <c r="AK328" i="8"/>
  <c r="AJ328" i="8"/>
  <c r="AI328" i="8"/>
  <c r="AH328" i="8"/>
  <c r="AG328" i="8"/>
  <c r="AF328" i="8"/>
  <c r="AE328" i="8"/>
  <c r="AD328" i="8"/>
  <c r="AC328" i="8"/>
  <c r="AB328" i="8"/>
  <c r="AA328" i="8"/>
  <c r="Z328" i="8"/>
  <c r="Y328" i="8"/>
  <c r="X328" i="8"/>
  <c r="W328" i="8"/>
  <c r="V328" i="8"/>
  <c r="U328" i="8"/>
  <c r="T328" i="8"/>
  <c r="S328" i="8"/>
  <c r="R328" i="8"/>
  <c r="Q328" i="8"/>
  <c r="P328" i="8"/>
  <c r="O328" i="8"/>
  <c r="N328" i="8"/>
  <c r="M328" i="8"/>
  <c r="L328" i="8"/>
  <c r="K328" i="8"/>
  <c r="J328" i="8"/>
  <c r="I328" i="8"/>
  <c r="H328" i="8"/>
  <c r="G328" i="8"/>
  <c r="F328" i="8"/>
  <c r="E328" i="8"/>
  <c r="D328" i="8"/>
  <c r="A328" i="8"/>
  <c r="B328" i="8" s="1"/>
  <c r="AX327" i="8"/>
  <c r="AW327" i="8"/>
  <c r="AV327" i="8"/>
  <c r="AU327" i="8"/>
  <c r="AT327" i="8"/>
  <c r="AS327" i="8"/>
  <c r="AR327" i="8"/>
  <c r="AQ327" i="8"/>
  <c r="AP327" i="8"/>
  <c r="AO327" i="8"/>
  <c r="AN327" i="8"/>
  <c r="AM327" i="8"/>
  <c r="AL327" i="8"/>
  <c r="AK327" i="8"/>
  <c r="AJ327" i="8"/>
  <c r="AI327" i="8"/>
  <c r="AH327" i="8"/>
  <c r="AG327" i="8"/>
  <c r="AF327" i="8"/>
  <c r="AE327" i="8"/>
  <c r="AD327" i="8"/>
  <c r="AC327" i="8"/>
  <c r="AB327" i="8"/>
  <c r="AA327" i="8"/>
  <c r="Z327" i="8"/>
  <c r="Y327" i="8"/>
  <c r="X327" i="8"/>
  <c r="W327" i="8"/>
  <c r="V327" i="8"/>
  <c r="U327" i="8"/>
  <c r="T327" i="8"/>
  <c r="S327" i="8"/>
  <c r="R327" i="8"/>
  <c r="Q327" i="8"/>
  <c r="P327" i="8"/>
  <c r="O327" i="8"/>
  <c r="N327" i="8"/>
  <c r="M327" i="8"/>
  <c r="L327" i="8"/>
  <c r="K327" i="8"/>
  <c r="J327" i="8"/>
  <c r="I327" i="8"/>
  <c r="H327" i="8"/>
  <c r="G327" i="8"/>
  <c r="F327" i="8"/>
  <c r="E327" i="8"/>
  <c r="D327" i="8"/>
  <c r="B327" i="8"/>
  <c r="A327" i="8"/>
  <c r="AX326" i="8"/>
  <c r="AW326" i="8"/>
  <c r="AV326" i="8"/>
  <c r="AU326" i="8"/>
  <c r="AT326" i="8"/>
  <c r="AS326" i="8"/>
  <c r="AR326" i="8"/>
  <c r="AQ326" i="8"/>
  <c r="AP326" i="8"/>
  <c r="AO326" i="8"/>
  <c r="AN326" i="8"/>
  <c r="AM326" i="8"/>
  <c r="AL326" i="8"/>
  <c r="AK326" i="8"/>
  <c r="AJ326" i="8"/>
  <c r="AI326" i="8"/>
  <c r="AH326" i="8"/>
  <c r="AG326" i="8"/>
  <c r="AF326" i="8"/>
  <c r="AE326" i="8"/>
  <c r="AD326" i="8"/>
  <c r="AC326" i="8"/>
  <c r="AB326" i="8"/>
  <c r="AA326" i="8"/>
  <c r="Z326" i="8"/>
  <c r="Y326" i="8"/>
  <c r="X326" i="8"/>
  <c r="W326" i="8"/>
  <c r="V326" i="8"/>
  <c r="U326" i="8"/>
  <c r="T326" i="8"/>
  <c r="S326" i="8"/>
  <c r="R326" i="8"/>
  <c r="Q326" i="8"/>
  <c r="P326" i="8"/>
  <c r="O326" i="8"/>
  <c r="N326" i="8"/>
  <c r="M326" i="8"/>
  <c r="L326" i="8"/>
  <c r="K326" i="8"/>
  <c r="J326" i="8"/>
  <c r="I326" i="8"/>
  <c r="H326" i="8"/>
  <c r="G326" i="8"/>
  <c r="F326" i="8"/>
  <c r="E326" i="8"/>
  <c r="D326" i="8"/>
  <c r="A326" i="8"/>
  <c r="B326" i="8" s="1"/>
  <c r="AX325" i="8"/>
  <c r="AW325" i="8"/>
  <c r="AV325" i="8"/>
  <c r="AU325" i="8"/>
  <c r="AT325" i="8"/>
  <c r="AS325" i="8"/>
  <c r="AR325" i="8"/>
  <c r="AQ325" i="8"/>
  <c r="AP325" i="8"/>
  <c r="AO325" i="8"/>
  <c r="AN325" i="8"/>
  <c r="AM325" i="8"/>
  <c r="AL325" i="8"/>
  <c r="AK325" i="8"/>
  <c r="AJ325" i="8"/>
  <c r="AI325" i="8"/>
  <c r="AH325" i="8"/>
  <c r="AG325" i="8"/>
  <c r="AF325" i="8"/>
  <c r="AE325" i="8"/>
  <c r="AD325" i="8"/>
  <c r="AC325" i="8"/>
  <c r="AB325" i="8"/>
  <c r="AA325" i="8"/>
  <c r="Z325" i="8"/>
  <c r="Y325" i="8"/>
  <c r="X325" i="8"/>
  <c r="W325" i="8"/>
  <c r="V325" i="8"/>
  <c r="U325" i="8"/>
  <c r="T325" i="8"/>
  <c r="S325" i="8"/>
  <c r="R325" i="8"/>
  <c r="Q325" i="8"/>
  <c r="P325" i="8"/>
  <c r="O325" i="8"/>
  <c r="N325" i="8"/>
  <c r="M325" i="8"/>
  <c r="L325" i="8"/>
  <c r="K325" i="8"/>
  <c r="J325" i="8"/>
  <c r="I325" i="8"/>
  <c r="H325" i="8"/>
  <c r="G325" i="8"/>
  <c r="F325" i="8"/>
  <c r="E325" i="8"/>
  <c r="D325" i="8"/>
  <c r="A325" i="8"/>
  <c r="B325" i="8" s="1"/>
  <c r="AX324" i="8"/>
  <c r="AW324" i="8"/>
  <c r="AV324" i="8"/>
  <c r="AU324" i="8"/>
  <c r="AT324" i="8"/>
  <c r="AS324" i="8"/>
  <c r="AR324" i="8"/>
  <c r="AQ324" i="8"/>
  <c r="AP324" i="8"/>
  <c r="AO324" i="8"/>
  <c r="AN324" i="8"/>
  <c r="AM324" i="8"/>
  <c r="AL324" i="8"/>
  <c r="AK324" i="8"/>
  <c r="AJ324" i="8"/>
  <c r="AI324" i="8"/>
  <c r="AH324" i="8"/>
  <c r="AG324" i="8"/>
  <c r="AF324" i="8"/>
  <c r="AE324" i="8"/>
  <c r="AD324" i="8"/>
  <c r="AC324" i="8"/>
  <c r="AB324" i="8"/>
  <c r="AA324" i="8"/>
  <c r="Z324" i="8"/>
  <c r="Y324" i="8"/>
  <c r="X324" i="8"/>
  <c r="W324" i="8"/>
  <c r="V324" i="8"/>
  <c r="U324" i="8"/>
  <c r="T324" i="8"/>
  <c r="S324" i="8"/>
  <c r="R324" i="8"/>
  <c r="Q324" i="8"/>
  <c r="P324" i="8"/>
  <c r="O324" i="8"/>
  <c r="N324" i="8"/>
  <c r="M324" i="8"/>
  <c r="L324" i="8"/>
  <c r="K324" i="8"/>
  <c r="J324" i="8"/>
  <c r="I324" i="8"/>
  <c r="H324" i="8"/>
  <c r="G324" i="8"/>
  <c r="F324" i="8"/>
  <c r="E324" i="8"/>
  <c r="D324" i="8"/>
  <c r="A324" i="8"/>
  <c r="B324" i="8" s="1"/>
  <c r="AX323" i="8"/>
  <c r="AW323" i="8"/>
  <c r="AV323" i="8"/>
  <c r="AU323" i="8"/>
  <c r="AT323" i="8"/>
  <c r="AS323" i="8"/>
  <c r="AR323" i="8"/>
  <c r="AQ323" i="8"/>
  <c r="AP323" i="8"/>
  <c r="AO323" i="8"/>
  <c r="AN323" i="8"/>
  <c r="AM323" i="8"/>
  <c r="AL323" i="8"/>
  <c r="AK323" i="8"/>
  <c r="AJ323" i="8"/>
  <c r="AI323" i="8"/>
  <c r="AH323" i="8"/>
  <c r="AG323" i="8"/>
  <c r="AF323" i="8"/>
  <c r="AE323" i="8"/>
  <c r="AD323" i="8"/>
  <c r="AC323" i="8"/>
  <c r="AB323" i="8"/>
  <c r="AA323" i="8"/>
  <c r="Z323" i="8"/>
  <c r="Y323" i="8"/>
  <c r="X323" i="8"/>
  <c r="W323" i="8"/>
  <c r="V323" i="8"/>
  <c r="U323" i="8"/>
  <c r="T323" i="8"/>
  <c r="S323" i="8"/>
  <c r="R323" i="8"/>
  <c r="Q323" i="8"/>
  <c r="P323" i="8"/>
  <c r="O323" i="8"/>
  <c r="N323" i="8"/>
  <c r="M323" i="8"/>
  <c r="L323" i="8"/>
  <c r="K323" i="8"/>
  <c r="J323" i="8"/>
  <c r="I323" i="8"/>
  <c r="H323" i="8"/>
  <c r="G323" i="8"/>
  <c r="F323" i="8"/>
  <c r="E323" i="8"/>
  <c r="D323" i="8"/>
  <c r="B323" i="8"/>
  <c r="A323" i="8"/>
  <c r="AX322" i="8"/>
  <c r="AW322" i="8"/>
  <c r="AV322" i="8"/>
  <c r="AU322" i="8"/>
  <c r="AT322" i="8"/>
  <c r="AS322" i="8"/>
  <c r="AR322" i="8"/>
  <c r="AQ322" i="8"/>
  <c r="AP322" i="8"/>
  <c r="AO322" i="8"/>
  <c r="AN322" i="8"/>
  <c r="AM322" i="8"/>
  <c r="AL322" i="8"/>
  <c r="AK322" i="8"/>
  <c r="AJ322" i="8"/>
  <c r="AI322" i="8"/>
  <c r="AH322" i="8"/>
  <c r="AG322" i="8"/>
  <c r="AF322" i="8"/>
  <c r="AE322" i="8"/>
  <c r="AD322" i="8"/>
  <c r="AC322" i="8"/>
  <c r="AB322" i="8"/>
  <c r="AA322" i="8"/>
  <c r="Z322" i="8"/>
  <c r="Y322" i="8"/>
  <c r="X322" i="8"/>
  <c r="W322" i="8"/>
  <c r="V322" i="8"/>
  <c r="U322" i="8"/>
  <c r="T322" i="8"/>
  <c r="S322" i="8"/>
  <c r="R322" i="8"/>
  <c r="Q322" i="8"/>
  <c r="P322" i="8"/>
  <c r="O322" i="8"/>
  <c r="N322" i="8"/>
  <c r="M322" i="8"/>
  <c r="L322" i="8"/>
  <c r="K322" i="8"/>
  <c r="J322" i="8"/>
  <c r="I322" i="8"/>
  <c r="H322" i="8"/>
  <c r="G322" i="8"/>
  <c r="F322" i="8"/>
  <c r="E322" i="8"/>
  <c r="D322" i="8"/>
  <c r="B322" i="8"/>
  <c r="A322" i="8"/>
  <c r="AX321" i="8"/>
  <c r="AW321" i="8"/>
  <c r="AV321" i="8"/>
  <c r="AU321" i="8"/>
  <c r="AT321" i="8"/>
  <c r="AS321" i="8"/>
  <c r="AR321" i="8"/>
  <c r="AQ321" i="8"/>
  <c r="AP321" i="8"/>
  <c r="AO321" i="8"/>
  <c r="AN321" i="8"/>
  <c r="AM321" i="8"/>
  <c r="AL321" i="8"/>
  <c r="AK321" i="8"/>
  <c r="AJ321" i="8"/>
  <c r="AI321" i="8"/>
  <c r="AH321" i="8"/>
  <c r="AG321" i="8"/>
  <c r="AF321" i="8"/>
  <c r="AE321" i="8"/>
  <c r="AD321" i="8"/>
  <c r="AC321" i="8"/>
  <c r="AB321" i="8"/>
  <c r="AA321" i="8"/>
  <c r="Z321" i="8"/>
  <c r="Y321" i="8"/>
  <c r="X321" i="8"/>
  <c r="W321" i="8"/>
  <c r="V321" i="8"/>
  <c r="U321" i="8"/>
  <c r="T321" i="8"/>
  <c r="S321" i="8"/>
  <c r="R321" i="8"/>
  <c r="Q321" i="8"/>
  <c r="P321" i="8"/>
  <c r="O321" i="8"/>
  <c r="N321" i="8"/>
  <c r="M321" i="8"/>
  <c r="L321" i="8"/>
  <c r="K321" i="8"/>
  <c r="J321" i="8"/>
  <c r="I321" i="8"/>
  <c r="H321" i="8"/>
  <c r="G321" i="8"/>
  <c r="F321" i="8"/>
  <c r="E321" i="8"/>
  <c r="D321" i="8"/>
  <c r="A321" i="8"/>
  <c r="B321" i="8" s="1"/>
  <c r="AX320" i="8"/>
  <c r="AW320" i="8"/>
  <c r="AV320" i="8"/>
  <c r="AU320" i="8"/>
  <c r="AT320" i="8"/>
  <c r="AS320" i="8"/>
  <c r="AR320" i="8"/>
  <c r="AQ320" i="8"/>
  <c r="AP320" i="8"/>
  <c r="AO320" i="8"/>
  <c r="AN320" i="8"/>
  <c r="AM320" i="8"/>
  <c r="AL320" i="8"/>
  <c r="AK320" i="8"/>
  <c r="AJ320" i="8"/>
  <c r="AI320" i="8"/>
  <c r="AH320" i="8"/>
  <c r="AG320" i="8"/>
  <c r="AF320" i="8"/>
  <c r="AE320" i="8"/>
  <c r="AD320" i="8"/>
  <c r="AC320" i="8"/>
  <c r="AB320" i="8"/>
  <c r="AA320" i="8"/>
  <c r="Z320" i="8"/>
  <c r="Y320" i="8"/>
  <c r="X320" i="8"/>
  <c r="W320" i="8"/>
  <c r="V320" i="8"/>
  <c r="U320" i="8"/>
  <c r="T320" i="8"/>
  <c r="S320" i="8"/>
  <c r="R320" i="8"/>
  <c r="Q320" i="8"/>
  <c r="P320" i="8"/>
  <c r="O320" i="8"/>
  <c r="N320" i="8"/>
  <c r="M320" i="8"/>
  <c r="L320" i="8"/>
  <c r="K320" i="8"/>
  <c r="J320" i="8"/>
  <c r="I320" i="8"/>
  <c r="H320" i="8"/>
  <c r="G320" i="8"/>
  <c r="F320" i="8"/>
  <c r="E320" i="8"/>
  <c r="D320" i="8"/>
  <c r="A320" i="8"/>
  <c r="B320" i="8" s="1"/>
  <c r="AX319" i="8"/>
  <c r="AW319" i="8"/>
  <c r="AV319" i="8"/>
  <c r="AU319" i="8"/>
  <c r="AT319" i="8"/>
  <c r="AS319" i="8"/>
  <c r="AR319" i="8"/>
  <c r="AQ319" i="8"/>
  <c r="AP319" i="8"/>
  <c r="AO319" i="8"/>
  <c r="AN319" i="8"/>
  <c r="AM319" i="8"/>
  <c r="AL319" i="8"/>
  <c r="AK319" i="8"/>
  <c r="AJ319" i="8"/>
  <c r="AI319" i="8"/>
  <c r="AH319" i="8"/>
  <c r="AG319" i="8"/>
  <c r="AF319" i="8"/>
  <c r="AE319" i="8"/>
  <c r="AD319" i="8"/>
  <c r="AC319" i="8"/>
  <c r="AB319" i="8"/>
  <c r="AA319" i="8"/>
  <c r="Z319" i="8"/>
  <c r="Y319" i="8"/>
  <c r="X319" i="8"/>
  <c r="W319" i="8"/>
  <c r="V319" i="8"/>
  <c r="U319" i="8"/>
  <c r="T319" i="8"/>
  <c r="S319" i="8"/>
  <c r="R319" i="8"/>
  <c r="Q319" i="8"/>
  <c r="P319" i="8"/>
  <c r="O319" i="8"/>
  <c r="N319" i="8"/>
  <c r="M319" i="8"/>
  <c r="L319" i="8"/>
  <c r="K319" i="8"/>
  <c r="J319" i="8"/>
  <c r="I319" i="8"/>
  <c r="H319" i="8"/>
  <c r="G319" i="8"/>
  <c r="F319" i="8"/>
  <c r="E319" i="8"/>
  <c r="D319" i="8"/>
  <c r="B319" i="8"/>
  <c r="A319" i="8"/>
  <c r="AX318" i="8"/>
  <c r="AW318" i="8"/>
  <c r="AV318" i="8"/>
  <c r="AU318" i="8"/>
  <c r="AT318" i="8"/>
  <c r="AS318" i="8"/>
  <c r="AR318" i="8"/>
  <c r="AQ318" i="8"/>
  <c r="AP318" i="8"/>
  <c r="AO318" i="8"/>
  <c r="AN318" i="8"/>
  <c r="AM318" i="8"/>
  <c r="AL318" i="8"/>
  <c r="AK318" i="8"/>
  <c r="AJ318" i="8"/>
  <c r="AI318" i="8"/>
  <c r="AH318" i="8"/>
  <c r="AG318" i="8"/>
  <c r="AF318" i="8"/>
  <c r="AE318" i="8"/>
  <c r="AD318" i="8"/>
  <c r="AC318" i="8"/>
  <c r="AB318" i="8"/>
  <c r="AA318" i="8"/>
  <c r="Z318" i="8"/>
  <c r="Y318" i="8"/>
  <c r="X318" i="8"/>
  <c r="W318" i="8"/>
  <c r="V318" i="8"/>
  <c r="U318" i="8"/>
  <c r="T318" i="8"/>
  <c r="S318" i="8"/>
  <c r="R318" i="8"/>
  <c r="Q318" i="8"/>
  <c r="P318" i="8"/>
  <c r="O318" i="8"/>
  <c r="N318" i="8"/>
  <c r="M318" i="8"/>
  <c r="L318" i="8"/>
  <c r="K318" i="8"/>
  <c r="J318" i="8"/>
  <c r="I318" i="8"/>
  <c r="H318" i="8"/>
  <c r="G318" i="8"/>
  <c r="F318" i="8"/>
  <c r="E318" i="8"/>
  <c r="D318" i="8"/>
  <c r="A318" i="8"/>
  <c r="B318" i="8" s="1"/>
  <c r="AX317" i="8"/>
  <c r="AW317" i="8"/>
  <c r="AV317" i="8"/>
  <c r="AU317" i="8"/>
  <c r="AT317" i="8"/>
  <c r="AS317" i="8"/>
  <c r="AR317" i="8"/>
  <c r="AQ317" i="8"/>
  <c r="AP317" i="8"/>
  <c r="AO317" i="8"/>
  <c r="AN317" i="8"/>
  <c r="AM317" i="8"/>
  <c r="AL317" i="8"/>
  <c r="AK317" i="8"/>
  <c r="AJ317" i="8"/>
  <c r="AI317" i="8"/>
  <c r="AH317" i="8"/>
  <c r="AG317" i="8"/>
  <c r="AF317" i="8"/>
  <c r="AE317" i="8"/>
  <c r="AD317" i="8"/>
  <c r="AC317" i="8"/>
  <c r="AB317" i="8"/>
  <c r="AA317" i="8"/>
  <c r="Z317" i="8"/>
  <c r="Y317" i="8"/>
  <c r="X317" i="8"/>
  <c r="W317" i="8"/>
  <c r="V317" i="8"/>
  <c r="U317" i="8"/>
  <c r="T317" i="8"/>
  <c r="S317" i="8"/>
  <c r="R317" i="8"/>
  <c r="Q317" i="8"/>
  <c r="P317" i="8"/>
  <c r="O317" i="8"/>
  <c r="N317" i="8"/>
  <c r="M317" i="8"/>
  <c r="L317" i="8"/>
  <c r="K317" i="8"/>
  <c r="J317" i="8"/>
  <c r="I317" i="8"/>
  <c r="H317" i="8"/>
  <c r="G317" i="8"/>
  <c r="F317" i="8"/>
  <c r="E317" i="8"/>
  <c r="D317" i="8"/>
  <c r="A317" i="8"/>
  <c r="B317" i="8" s="1"/>
  <c r="AX316" i="8"/>
  <c r="AW316" i="8"/>
  <c r="AV316" i="8"/>
  <c r="AU316" i="8"/>
  <c r="AT316" i="8"/>
  <c r="AS316" i="8"/>
  <c r="AR316" i="8"/>
  <c r="AQ316" i="8"/>
  <c r="AP316" i="8"/>
  <c r="AO316" i="8"/>
  <c r="AN316" i="8"/>
  <c r="AM316" i="8"/>
  <c r="AL316" i="8"/>
  <c r="AK316" i="8"/>
  <c r="AJ316" i="8"/>
  <c r="AI316" i="8"/>
  <c r="AH316" i="8"/>
  <c r="AG316" i="8"/>
  <c r="AF316" i="8"/>
  <c r="AE316" i="8"/>
  <c r="AD316" i="8"/>
  <c r="AC316" i="8"/>
  <c r="AB316" i="8"/>
  <c r="AA316" i="8"/>
  <c r="Z316" i="8"/>
  <c r="Y316" i="8"/>
  <c r="X316" i="8"/>
  <c r="W316" i="8"/>
  <c r="V316" i="8"/>
  <c r="U316" i="8"/>
  <c r="T316" i="8"/>
  <c r="S316" i="8"/>
  <c r="R316" i="8"/>
  <c r="Q316" i="8"/>
  <c r="P316" i="8"/>
  <c r="O316" i="8"/>
  <c r="N316" i="8"/>
  <c r="M316" i="8"/>
  <c r="L316" i="8"/>
  <c r="K316" i="8"/>
  <c r="J316" i="8"/>
  <c r="I316" i="8"/>
  <c r="H316" i="8"/>
  <c r="G316" i="8"/>
  <c r="F316" i="8"/>
  <c r="E316" i="8"/>
  <c r="D316" i="8"/>
  <c r="A316" i="8"/>
  <c r="B316" i="8" s="1"/>
  <c r="AX315" i="8"/>
  <c r="AW315" i="8"/>
  <c r="AV315" i="8"/>
  <c r="AU315" i="8"/>
  <c r="AT315" i="8"/>
  <c r="AS315" i="8"/>
  <c r="AR315" i="8"/>
  <c r="AQ315" i="8"/>
  <c r="AP315" i="8"/>
  <c r="AO315" i="8"/>
  <c r="AN315" i="8"/>
  <c r="AM315" i="8"/>
  <c r="AL315" i="8"/>
  <c r="AK315" i="8"/>
  <c r="AJ315" i="8"/>
  <c r="AI315" i="8"/>
  <c r="AH315" i="8"/>
  <c r="AG315" i="8"/>
  <c r="AF315" i="8"/>
  <c r="AE315" i="8"/>
  <c r="AD315" i="8"/>
  <c r="AC315" i="8"/>
  <c r="AB315" i="8"/>
  <c r="AA315" i="8"/>
  <c r="Z315" i="8"/>
  <c r="Y315" i="8"/>
  <c r="X315" i="8"/>
  <c r="W315" i="8"/>
  <c r="V315" i="8"/>
  <c r="U315" i="8"/>
  <c r="T315" i="8"/>
  <c r="S315" i="8"/>
  <c r="R315" i="8"/>
  <c r="Q315" i="8"/>
  <c r="P315" i="8"/>
  <c r="O315" i="8"/>
  <c r="N315" i="8"/>
  <c r="M315" i="8"/>
  <c r="L315" i="8"/>
  <c r="K315" i="8"/>
  <c r="J315" i="8"/>
  <c r="I315" i="8"/>
  <c r="H315" i="8"/>
  <c r="G315" i="8"/>
  <c r="F315" i="8"/>
  <c r="E315" i="8"/>
  <c r="D315" i="8"/>
  <c r="B315" i="8"/>
  <c r="A315" i="8"/>
  <c r="AX314" i="8"/>
  <c r="AW314" i="8"/>
  <c r="AV314" i="8"/>
  <c r="AU314" i="8"/>
  <c r="AT314" i="8"/>
  <c r="AS314" i="8"/>
  <c r="AR314" i="8"/>
  <c r="AQ314" i="8"/>
  <c r="AP314" i="8"/>
  <c r="AO314" i="8"/>
  <c r="AN314" i="8"/>
  <c r="AM314" i="8"/>
  <c r="AL314" i="8"/>
  <c r="AK314" i="8"/>
  <c r="AJ314" i="8"/>
  <c r="AI314" i="8"/>
  <c r="AH314" i="8"/>
  <c r="AG314" i="8"/>
  <c r="AF314" i="8"/>
  <c r="AE314" i="8"/>
  <c r="AD314" i="8"/>
  <c r="AC314" i="8"/>
  <c r="AB314" i="8"/>
  <c r="AA314" i="8"/>
  <c r="Z314" i="8"/>
  <c r="Y314" i="8"/>
  <c r="X314" i="8"/>
  <c r="W314" i="8"/>
  <c r="V314" i="8"/>
  <c r="U314" i="8"/>
  <c r="T314" i="8"/>
  <c r="S314" i="8"/>
  <c r="R314" i="8"/>
  <c r="Q314" i="8"/>
  <c r="P314" i="8"/>
  <c r="O314" i="8"/>
  <c r="N314" i="8"/>
  <c r="M314" i="8"/>
  <c r="L314" i="8"/>
  <c r="K314" i="8"/>
  <c r="J314" i="8"/>
  <c r="I314" i="8"/>
  <c r="H314" i="8"/>
  <c r="G314" i="8"/>
  <c r="F314" i="8"/>
  <c r="E314" i="8"/>
  <c r="D314" i="8"/>
  <c r="B314" i="8"/>
  <c r="A314" i="8"/>
  <c r="AX313" i="8"/>
  <c r="AW313" i="8"/>
  <c r="AV313" i="8"/>
  <c r="AU313" i="8"/>
  <c r="AT313" i="8"/>
  <c r="AS313" i="8"/>
  <c r="AR313" i="8"/>
  <c r="AQ313" i="8"/>
  <c r="AP313" i="8"/>
  <c r="AO313" i="8"/>
  <c r="AN313" i="8"/>
  <c r="AM313" i="8"/>
  <c r="AL313" i="8"/>
  <c r="AK313" i="8"/>
  <c r="AJ313" i="8"/>
  <c r="AI313" i="8"/>
  <c r="AH313" i="8"/>
  <c r="AG313" i="8"/>
  <c r="AF313" i="8"/>
  <c r="AE313" i="8"/>
  <c r="AD313" i="8"/>
  <c r="AC313" i="8"/>
  <c r="AB313" i="8"/>
  <c r="AA313" i="8"/>
  <c r="Z313" i="8"/>
  <c r="Y313" i="8"/>
  <c r="X313" i="8"/>
  <c r="W313" i="8"/>
  <c r="V313" i="8"/>
  <c r="U313" i="8"/>
  <c r="T313" i="8"/>
  <c r="S313" i="8"/>
  <c r="R313" i="8"/>
  <c r="Q313" i="8"/>
  <c r="P313" i="8"/>
  <c r="O313" i="8"/>
  <c r="N313" i="8"/>
  <c r="M313" i="8"/>
  <c r="L313" i="8"/>
  <c r="K313" i="8"/>
  <c r="J313" i="8"/>
  <c r="I313" i="8"/>
  <c r="H313" i="8"/>
  <c r="G313" i="8"/>
  <c r="F313" i="8"/>
  <c r="E313" i="8"/>
  <c r="D313" i="8"/>
  <c r="A313" i="8"/>
  <c r="B313" i="8" s="1"/>
  <c r="AX312" i="8"/>
  <c r="AW312" i="8"/>
  <c r="AV312" i="8"/>
  <c r="AU312" i="8"/>
  <c r="AT312" i="8"/>
  <c r="AS312" i="8"/>
  <c r="AR312" i="8"/>
  <c r="AQ312" i="8"/>
  <c r="AP312" i="8"/>
  <c r="AO312" i="8"/>
  <c r="AN312" i="8"/>
  <c r="AM312" i="8"/>
  <c r="AL312" i="8"/>
  <c r="AK312" i="8"/>
  <c r="AJ312" i="8"/>
  <c r="AI312" i="8"/>
  <c r="AH312" i="8"/>
  <c r="AG312" i="8"/>
  <c r="AF312" i="8"/>
  <c r="AE312" i="8"/>
  <c r="AD312" i="8"/>
  <c r="AC312" i="8"/>
  <c r="AB312" i="8"/>
  <c r="AA312" i="8"/>
  <c r="Z312" i="8"/>
  <c r="Y312" i="8"/>
  <c r="X312" i="8"/>
  <c r="W312" i="8"/>
  <c r="V312" i="8"/>
  <c r="U312" i="8"/>
  <c r="T312" i="8"/>
  <c r="S312" i="8"/>
  <c r="R312" i="8"/>
  <c r="Q312" i="8"/>
  <c r="P312" i="8"/>
  <c r="O312" i="8"/>
  <c r="N312" i="8"/>
  <c r="M312" i="8"/>
  <c r="L312" i="8"/>
  <c r="K312" i="8"/>
  <c r="J312" i="8"/>
  <c r="I312" i="8"/>
  <c r="H312" i="8"/>
  <c r="G312" i="8"/>
  <c r="F312" i="8"/>
  <c r="E312" i="8"/>
  <c r="D312" i="8"/>
  <c r="A312" i="8"/>
  <c r="B312" i="8" s="1"/>
  <c r="AX311" i="8"/>
  <c r="AW311" i="8"/>
  <c r="AV311" i="8"/>
  <c r="AU311" i="8"/>
  <c r="AT311" i="8"/>
  <c r="AS311" i="8"/>
  <c r="AR311" i="8"/>
  <c r="AQ311" i="8"/>
  <c r="AP311" i="8"/>
  <c r="AO311" i="8"/>
  <c r="AN311" i="8"/>
  <c r="AM311" i="8"/>
  <c r="AL311" i="8"/>
  <c r="AK311" i="8"/>
  <c r="AJ311" i="8"/>
  <c r="AI311" i="8"/>
  <c r="AH311" i="8"/>
  <c r="AG311" i="8"/>
  <c r="AF311" i="8"/>
  <c r="AE311" i="8"/>
  <c r="AD311" i="8"/>
  <c r="AC311" i="8"/>
  <c r="AB311" i="8"/>
  <c r="AA311" i="8"/>
  <c r="Z311" i="8"/>
  <c r="Y311" i="8"/>
  <c r="X311" i="8"/>
  <c r="W311" i="8"/>
  <c r="V311" i="8"/>
  <c r="U311" i="8"/>
  <c r="T311" i="8"/>
  <c r="S311" i="8"/>
  <c r="R311" i="8"/>
  <c r="Q311" i="8"/>
  <c r="P311" i="8"/>
  <c r="O311" i="8"/>
  <c r="N311" i="8"/>
  <c r="M311" i="8"/>
  <c r="L311" i="8"/>
  <c r="K311" i="8"/>
  <c r="J311" i="8"/>
  <c r="I311" i="8"/>
  <c r="H311" i="8"/>
  <c r="G311" i="8"/>
  <c r="F311" i="8"/>
  <c r="E311" i="8"/>
  <c r="D311" i="8"/>
  <c r="B311" i="8"/>
  <c r="A311" i="8"/>
  <c r="AX310" i="8"/>
  <c r="AW310" i="8"/>
  <c r="AV310" i="8"/>
  <c r="AU310" i="8"/>
  <c r="AT310" i="8"/>
  <c r="AS310" i="8"/>
  <c r="AR310" i="8"/>
  <c r="AQ310" i="8"/>
  <c r="AP310" i="8"/>
  <c r="AO310" i="8"/>
  <c r="AN310" i="8"/>
  <c r="AM310" i="8"/>
  <c r="AL310" i="8"/>
  <c r="AK310" i="8"/>
  <c r="AJ310" i="8"/>
  <c r="AI310" i="8"/>
  <c r="AH310" i="8"/>
  <c r="AG310" i="8"/>
  <c r="AF310" i="8"/>
  <c r="AE310" i="8"/>
  <c r="AD310" i="8"/>
  <c r="AC310" i="8"/>
  <c r="AB310" i="8"/>
  <c r="AA310" i="8"/>
  <c r="Z310" i="8"/>
  <c r="Y310" i="8"/>
  <c r="X310" i="8"/>
  <c r="W310" i="8"/>
  <c r="V310" i="8"/>
  <c r="U310" i="8"/>
  <c r="T310" i="8"/>
  <c r="S310" i="8"/>
  <c r="R310" i="8"/>
  <c r="Q310" i="8"/>
  <c r="P310" i="8"/>
  <c r="O310" i="8"/>
  <c r="N310" i="8"/>
  <c r="M310" i="8"/>
  <c r="L310" i="8"/>
  <c r="K310" i="8"/>
  <c r="J310" i="8"/>
  <c r="I310" i="8"/>
  <c r="H310" i="8"/>
  <c r="G310" i="8"/>
  <c r="F310" i="8"/>
  <c r="E310" i="8"/>
  <c r="D310" i="8"/>
  <c r="A310" i="8"/>
  <c r="B310" i="8" s="1"/>
  <c r="AX309" i="8"/>
  <c r="AW309" i="8"/>
  <c r="AV309" i="8"/>
  <c r="AU309" i="8"/>
  <c r="AT309" i="8"/>
  <c r="AS309" i="8"/>
  <c r="AR309" i="8"/>
  <c r="AQ309" i="8"/>
  <c r="AP309" i="8"/>
  <c r="AO309" i="8"/>
  <c r="AN309" i="8"/>
  <c r="AM309" i="8"/>
  <c r="AL309" i="8"/>
  <c r="AK309" i="8"/>
  <c r="AJ309" i="8"/>
  <c r="AI309" i="8"/>
  <c r="AH309" i="8"/>
  <c r="AG309" i="8"/>
  <c r="AF309" i="8"/>
  <c r="AE309" i="8"/>
  <c r="AD309" i="8"/>
  <c r="AC309" i="8"/>
  <c r="AB309" i="8"/>
  <c r="AA309" i="8"/>
  <c r="Z309" i="8"/>
  <c r="Y309" i="8"/>
  <c r="X309" i="8"/>
  <c r="W309" i="8"/>
  <c r="V309" i="8"/>
  <c r="U309" i="8"/>
  <c r="T309" i="8"/>
  <c r="S309" i="8"/>
  <c r="R309" i="8"/>
  <c r="Q309" i="8"/>
  <c r="P309" i="8"/>
  <c r="O309" i="8"/>
  <c r="N309" i="8"/>
  <c r="M309" i="8"/>
  <c r="L309" i="8"/>
  <c r="K309" i="8"/>
  <c r="J309" i="8"/>
  <c r="I309" i="8"/>
  <c r="H309" i="8"/>
  <c r="G309" i="8"/>
  <c r="F309" i="8"/>
  <c r="E309" i="8"/>
  <c r="D309" i="8"/>
  <c r="A309" i="8"/>
  <c r="B309" i="8" s="1"/>
  <c r="AX308" i="8"/>
  <c r="AW308" i="8"/>
  <c r="AV308" i="8"/>
  <c r="AU308" i="8"/>
  <c r="AT308" i="8"/>
  <c r="AS308" i="8"/>
  <c r="AR308" i="8"/>
  <c r="AQ308" i="8"/>
  <c r="AP308" i="8"/>
  <c r="AO308" i="8"/>
  <c r="AN308" i="8"/>
  <c r="AM308" i="8"/>
  <c r="AL308" i="8"/>
  <c r="AK308" i="8"/>
  <c r="AJ308" i="8"/>
  <c r="AI308" i="8"/>
  <c r="AH308" i="8"/>
  <c r="AG308" i="8"/>
  <c r="AF308" i="8"/>
  <c r="AE308" i="8"/>
  <c r="AD308" i="8"/>
  <c r="AC308" i="8"/>
  <c r="AB308" i="8"/>
  <c r="AA308" i="8"/>
  <c r="Z308" i="8"/>
  <c r="Y308" i="8"/>
  <c r="X308" i="8"/>
  <c r="W308" i="8"/>
  <c r="V308" i="8"/>
  <c r="U308" i="8"/>
  <c r="T308" i="8"/>
  <c r="S308" i="8"/>
  <c r="R308" i="8"/>
  <c r="Q308" i="8"/>
  <c r="P308" i="8"/>
  <c r="O308" i="8"/>
  <c r="N308" i="8"/>
  <c r="M308" i="8"/>
  <c r="L308" i="8"/>
  <c r="K308" i="8"/>
  <c r="J308" i="8"/>
  <c r="I308" i="8"/>
  <c r="H308" i="8"/>
  <c r="G308" i="8"/>
  <c r="F308" i="8"/>
  <c r="E308" i="8"/>
  <c r="D308" i="8"/>
  <c r="A308" i="8"/>
  <c r="B308" i="8" s="1"/>
  <c r="AX307" i="8"/>
  <c r="AW307" i="8"/>
  <c r="AV307" i="8"/>
  <c r="AU307" i="8"/>
  <c r="AT307" i="8"/>
  <c r="AS307" i="8"/>
  <c r="AR307" i="8"/>
  <c r="AQ307" i="8"/>
  <c r="AP307" i="8"/>
  <c r="AO307" i="8"/>
  <c r="AN307" i="8"/>
  <c r="AM307" i="8"/>
  <c r="AL307" i="8"/>
  <c r="AK307" i="8"/>
  <c r="AJ307" i="8"/>
  <c r="AI307" i="8"/>
  <c r="AH307" i="8"/>
  <c r="AG307" i="8"/>
  <c r="AF307" i="8"/>
  <c r="AE307" i="8"/>
  <c r="AD307" i="8"/>
  <c r="AC307" i="8"/>
  <c r="AB307" i="8"/>
  <c r="AA307" i="8"/>
  <c r="Z307" i="8"/>
  <c r="Y307" i="8"/>
  <c r="X307" i="8"/>
  <c r="W307" i="8"/>
  <c r="V307" i="8"/>
  <c r="U307" i="8"/>
  <c r="T307" i="8"/>
  <c r="S307" i="8"/>
  <c r="R307" i="8"/>
  <c r="Q307" i="8"/>
  <c r="P307" i="8"/>
  <c r="O307" i="8"/>
  <c r="N307" i="8"/>
  <c r="M307" i="8"/>
  <c r="L307" i="8"/>
  <c r="K307" i="8"/>
  <c r="J307" i="8"/>
  <c r="I307" i="8"/>
  <c r="H307" i="8"/>
  <c r="G307" i="8"/>
  <c r="F307" i="8"/>
  <c r="E307" i="8"/>
  <c r="D307" i="8"/>
  <c r="B307" i="8"/>
  <c r="A307" i="8"/>
  <c r="AX306" i="8"/>
  <c r="AW306" i="8"/>
  <c r="AV306" i="8"/>
  <c r="AU306" i="8"/>
  <c r="AT306" i="8"/>
  <c r="AS306" i="8"/>
  <c r="AR306" i="8"/>
  <c r="AQ306" i="8"/>
  <c r="AP306" i="8"/>
  <c r="AO306" i="8"/>
  <c r="AN306" i="8"/>
  <c r="AM306" i="8"/>
  <c r="AL306" i="8"/>
  <c r="AK306" i="8"/>
  <c r="AJ306" i="8"/>
  <c r="AI306" i="8"/>
  <c r="AH306" i="8"/>
  <c r="AG306" i="8"/>
  <c r="AF306" i="8"/>
  <c r="AE306" i="8"/>
  <c r="AD306" i="8"/>
  <c r="AC306" i="8"/>
  <c r="AB306" i="8"/>
  <c r="AA306" i="8"/>
  <c r="Z306" i="8"/>
  <c r="Y306" i="8"/>
  <c r="X306" i="8"/>
  <c r="W306" i="8"/>
  <c r="V306" i="8"/>
  <c r="U306" i="8"/>
  <c r="T306" i="8"/>
  <c r="S306" i="8"/>
  <c r="R306" i="8"/>
  <c r="Q306" i="8"/>
  <c r="P306" i="8"/>
  <c r="O306" i="8"/>
  <c r="N306" i="8"/>
  <c r="M306" i="8"/>
  <c r="L306" i="8"/>
  <c r="K306" i="8"/>
  <c r="J306" i="8"/>
  <c r="I306" i="8"/>
  <c r="H306" i="8"/>
  <c r="G306" i="8"/>
  <c r="F306" i="8"/>
  <c r="E306" i="8"/>
  <c r="D306" i="8"/>
  <c r="B306" i="8"/>
  <c r="A306" i="8"/>
  <c r="AX305" i="8"/>
  <c r="AW305" i="8"/>
  <c r="AV305" i="8"/>
  <c r="AU305" i="8"/>
  <c r="AT305" i="8"/>
  <c r="AS305" i="8"/>
  <c r="AR305" i="8"/>
  <c r="AQ305" i="8"/>
  <c r="AP305" i="8"/>
  <c r="AO305" i="8"/>
  <c r="AN305" i="8"/>
  <c r="AM305" i="8"/>
  <c r="AL305" i="8"/>
  <c r="AK305" i="8"/>
  <c r="AJ305" i="8"/>
  <c r="AI305" i="8"/>
  <c r="AH305" i="8"/>
  <c r="AG305" i="8"/>
  <c r="AF305" i="8"/>
  <c r="AE305" i="8"/>
  <c r="AD305" i="8"/>
  <c r="AC305" i="8"/>
  <c r="AB305" i="8"/>
  <c r="AA305" i="8"/>
  <c r="Z305" i="8"/>
  <c r="Y305" i="8"/>
  <c r="X305" i="8"/>
  <c r="W305" i="8"/>
  <c r="V305" i="8"/>
  <c r="U305" i="8"/>
  <c r="T305" i="8"/>
  <c r="S305" i="8"/>
  <c r="R305" i="8"/>
  <c r="Q305" i="8"/>
  <c r="P305" i="8"/>
  <c r="O305" i="8"/>
  <c r="N305" i="8"/>
  <c r="M305" i="8"/>
  <c r="L305" i="8"/>
  <c r="K305" i="8"/>
  <c r="J305" i="8"/>
  <c r="I305" i="8"/>
  <c r="H305" i="8"/>
  <c r="G305" i="8"/>
  <c r="F305" i="8"/>
  <c r="E305" i="8"/>
  <c r="D305" i="8"/>
  <c r="A305" i="8"/>
  <c r="B305" i="8" s="1"/>
  <c r="AX304" i="8"/>
  <c r="AW304" i="8"/>
  <c r="AV304" i="8"/>
  <c r="AU304" i="8"/>
  <c r="AT304" i="8"/>
  <c r="AS304" i="8"/>
  <c r="AR304" i="8"/>
  <c r="AQ304" i="8"/>
  <c r="AP304" i="8"/>
  <c r="AO304" i="8"/>
  <c r="AN304" i="8"/>
  <c r="AM304" i="8"/>
  <c r="AL304" i="8"/>
  <c r="AK304" i="8"/>
  <c r="AJ304" i="8"/>
  <c r="AI304" i="8"/>
  <c r="AH304" i="8"/>
  <c r="AG304" i="8"/>
  <c r="AF304" i="8"/>
  <c r="AE304" i="8"/>
  <c r="AD304" i="8"/>
  <c r="AC304" i="8"/>
  <c r="AB304" i="8"/>
  <c r="AA304" i="8"/>
  <c r="Z304" i="8"/>
  <c r="Y304" i="8"/>
  <c r="X304" i="8"/>
  <c r="W304" i="8"/>
  <c r="V304" i="8"/>
  <c r="U304" i="8"/>
  <c r="T304" i="8"/>
  <c r="S304" i="8"/>
  <c r="R304" i="8"/>
  <c r="Q304" i="8"/>
  <c r="P304" i="8"/>
  <c r="O304" i="8"/>
  <c r="N304" i="8"/>
  <c r="M304" i="8"/>
  <c r="L304" i="8"/>
  <c r="K304" i="8"/>
  <c r="J304" i="8"/>
  <c r="I304" i="8"/>
  <c r="H304" i="8"/>
  <c r="G304" i="8"/>
  <c r="F304" i="8"/>
  <c r="E304" i="8"/>
  <c r="D304" i="8"/>
  <c r="A304" i="8"/>
  <c r="B304" i="8" s="1"/>
  <c r="AX303" i="8"/>
  <c r="AW303" i="8"/>
  <c r="AV303" i="8"/>
  <c r="AU303" i="8"/>
  <c r="AT303" i="8"/>
  <c r="AS303" i="8"/>
  <c r="AR303" i="8"/>
  <c r="AQ303" i="8"/>
  <c r="AP303" i="8"/>
  <c r="AO303" i="8"/>
  <c r="AN303" i="8"/>
  <c r="AM303" i="8"/>
  <c r="AL303" i="8"/>
  <c r="AK303" i="8"/>
  <c r="AJ303" i="8"/>
  <c r="AI303" i="8"/>
  <c r="AH303" i="8"/>
  <c r="AG303" i="8"/>
  <c r="AF303" i="8"/>
  <c r="AE303" i="8"/>
  <c r="AD303" i="8"/>
  <c r="AC303" i="8"/>
  <c r="AB303" i="8"/>
  <c r="AA303" i="8"/>
  <c r="Z303" i="8"/>
  <c r="Y303" i="8"/>
  <c r="X303" i="8"/>
  <c r="W303" i="8"/>
  <c r="V303" i="8"/>
  <c r="U303" i="8"/>
  <c r="T303" i="8"/>
  <c r="S303" i="8"/>
  <c r="R303" i="8"/>
  <c r="Q303" i="8"/>
  <c r="P303" i="8"/>
  <c r="O303" i="8"/>
  <c r="N303" i="8"/>
  <c r="M303" i="8"/>
  <c r="L303" i="8"/>
  <c r="K303" i="8"/>
  <c r="J303" i="8"/>
  <c r="I303" i="8"/>
  <c r="H303" i="8"/>
  <c r="G303" i="8"/>
  <c r="F303" i="8"/>
  <c r="E303" i="8"/>
  <c r="D303" i="8"/>
  <c r="B303" i="8"/>
  <c r="A303" i="8"/>
  <c r="AX302" i="8"/>
  <c r="AW302" i="8"/>
  <c r="AV302" i="8"/>
  <c r="AU302" i="8"/>
  <c r="AT302" i="8"/>
  <c r="AS302" i="8"/>
  <c r="AR302" i="8"/>
  <c r="AQ302" i="8"/>
  <c r="AP302" i="8"/>
  <c r="AO302" i="8"/>
  <c r="AN302" i="8"/>
  <c r="AM302" i="8"/>
  <c r="AL302" i="8"/>
  <c r="AK302" i="8"/>
  <c r="AJ302" i="8"/>
  <c r="AI302" i="8"/>
  <c r="AH302" i="8"/>
  <c r="AG302" i="8"/>
  <c r="AF302" i="8"/>
  <c r="AE302" i="8"/>
  <c r="AD302" i="8"/>
  <c r="AC302" i="8"/>
  <c r="AB302" i="8"/>
  <c r="AA302" i="8"/>
  <c r="Z302" i="8"/>
  <c r="Y302" i="8"/>
  <c r="X302" i="8"/>
  <c r="W302" i="8"/>
  <c r="V302" i="8"/>
  <c r="U302" i="8"/>
  <c r="T302" i="8"/>
  <c r="S302" i="8"/>
  <c r="R302" i="8"/>
  <c r="Q302" i="8"/>
  <c r="P302" i="8"/>
  <c r="O302" i="8"/>
  <c r="N302" i="8"/>
  <c r="M302" i="8"/>
  <c r="L302" i="8"/>
  <c r="K302" i="8"/>
  <c r="J302" i="8"/>
  <c r="I302" i="8"/>
  <c r="H302" i="8"/>
  <c r="G302" i="8"/>
  <c r="F302" i="8"/>
  <c r="E302" i="8"/>
  <c r="D302" i="8"/>
  <c r="B302" i="8"/>
  <c r="A302" i="8"/>
  <c r="AX301" i="8"/>
  <c r="AW301" i="8"/>
  <c r="AV301" i="8"/>
  <c r="AU301" i="8"/>
  <c r="AT301" i="8"/>
  <c r="AS301" i="8"/>
  <c r="AR301" i="8"/>
  <c r="AQ301" i="8"/>
  <c r="AP301" i="8"/>
  <c r="AO301" i="8"/>
  <c r="AN301" i="8"/>
  <c r="AM301" i="8"/>
  <c r="AL301" i="8"/>
  <c r="AK301" i="8"/>
  <c r="AJ301" i="8"/>
  <c r="AI301" i="8"/>
  <c r="AH301" i="8"/>
  <c r="AG301" i="8"/>
  <c r="AF301" i="8"/>
  <c r="AE301" i="8"/>
  <c r="AD301" i="8"/>
  <c r="AC301" i="8"/>
  <c r="AB301" i="8"/>
  <c r="AA301" i="8"/>
  <c r="Z301" i="8"/>
  <c r="Y301" i="8"/>
  <c r="X301" i="8"/>
  <c r="W301" i="8"/>
  <c r="V301" i="8"/>
  <c r="U301" i="8"/>
  <c r="T301" i="8"/>
  <c r="S301" i="8"/>
  <c r="R301" i="8"/>
  <c r="Q301" i="8"/>
  <c r="P301" i="8"/>
  <c r="O301" i="8"/>
  <c r="N301" i="8"/>
  <c r="M301" i="8"/>
  <c r="L301" i="8"/>
  <c r="K301" i="8"/>
  <c r="J301" i="8"/>
  <c r="I301" i="8"/>
  <c r="H301" i="8"/>
  <c r="G301" i="8"/>
  <c r="F301" i="8"/>
  <c r="E301" i="8"/>
  <c r="D301" i="8"/>
  <c r="A301" i="8"/>
  <c r="B301" i="8" s="1"/>
  <c r="AX300" i="8"/>
  <c r="AW300" i="8"/>
  <c r="AV300" i="8"/>
  <c r="AU300" i="8"/>
  <c r="AT300" i="8"/>
  <c r="AS300" i="8"/>
  <c r="AR300" i="8"/>
  <c r="AQ300" i="8"/>
  <c r="AP300" i="8"/>
  <c r="AO300" i="8"/>
  <c r="AN300" i="8"/>
  <c r="AM300" i="8"/>
  <c r="AL300" i="8"/>
  <c r="AK300" i="8"/>
  <c r="AJ300" i="8"/>
  <c r="AI300" i="8"/>
  <c r="AH300" i="8"/>
  <c r="AG300" i="8"/>
  <c r="AF300" i="8"/>
  <c r="AE300" i="8"/>
  <c r="AD300" i="8"/>
  <c r="AC300" i="8"/>
  <c r="AB300" i="8"/>
  <c r="AA300" i="8"/>
  <c r="Z300" i="8"/>
  <c r="Y300" i="8"/>
  <c r="X300" i="8"/>
  <c r="W300" i="8"/>
  <c r="V300" i="8"/>
  <c r="U300" i="8"/>
  <c r="T300" i="8"/>
  <c r="S300" i="8"/>
  <c r="R300" i="8"/>
  <c r="Q300" i="8"/>
  <c r="P300" i="8"/>
  <c r="O300" i="8"/>
  <c r="N300" i="8"/>
  <c r="M300" i="8"/>
  <c r="L300" i="8"/>
  <c r="K300" i="8"/>
  <c r="J300" i="8"/>
  <c r="I300" i="8"/>
  <c r="H300" i="8"/>
  <c r="G300" i="8"/>
  <c r="F300" i="8"/>
  <c r="E300" i="8"/>
  <c r="D300" i="8"/>
  <c r="A300" i="8"/>
  <c r="B300" i="8" s="1"/>
  <c r="AX299" i="8"/>
  <c r="AW299" i="8"/>
  <c r="AV299" i="8"/>
  <c r="AU299" i="8"/>
  <c r="AT299" i="8"/>
  <c r="AS299" i="8"/>
  <c r="AR299" i="8"/>
  <c r="AQ299" i="8"/>
  <c r="AP299" i="8"/>
  <c r="AO299" i="8"/>
  <c r="AN299" i="8"/>
  <c r="AM299" i="8"/>
  <c r="AL299" i="8"/>
  <c r="AK299" i="8"/>
  <c r="AJ299" i="8"/>
  <c r="AI299" i="8"/>
  <c r="AH299" i="8"/>
  <c r="AG299" i="8"/>
  <c r="AF299" i="8"/>
  <c r="AE299" i="8"/>
  <c r="AD299" i="8"/>
  <c r="AC299" i="8"/>
  <c r="AB299" i="8"/>
  <c r="AA299" i="8"/>
  <c r="Z299" i="8"/>
  <c r="Y299" i="8"/>
  <c r="X299" i="8"/>
  <c r="W299" i="8"/>
  <c r="V299" i="8"/>
  <c r="U299" i="8"/>
  <c r="T299" i="8"/>
  <c r="S299" i="8"/>
  <c r="R299" i="8"/>
  <c r="Q299" i="8"/>
  <c r="P299" i="8"/>
  <c r="O299" i="8"/>
  <c r="N299" i="8"/>
  <c r="M299" i="8"/>
  <c r="L299" i="8"/>
  <c r="K299" i="8"/>
  <c r="J299" i="8"/>
  <c r="I299" i="8"/>
  <c r="H299" i="8"/>
  <c r="G299" i="8"/>
  <c r="F299" i="8"/>
  <c r="E299" i="8"/>
  <c r="D299" i="8"/>
  <c r="B299" i="8"/>
  <c r="A299" i="8"/>
  <c r="AX298" i="8"/>
  <c r="AW298" i="8"/>
  <c r="AV298" i="8"/>
  <c r="AU298" i="8"/>
  <c r="AT298" i="8"/>
  <c r="AS298" i="8"/>
  <c r="AR298" i="8"/>
  <c r="AQ298" i="8"/>
  <c r="AP298" i="8"/>
  <c r="AO298" i="8"/>
  <c r="AN298" i="8"/>
  <c r="AM298" i="8"/>
  <c r="AL298" i="8"/>
  <c r="AK298" i="8"/>
  <c r="AJ298" i="8"/>
  <c r="AI298" i="8"/>
  <c r="AH298" i="8"/>
  <c r="AG298" i="8"/>
  <c r="AF298" i="8"/>
  <c r="AE298" i="8"/>
  <c r="AD298" i="8"/>
  <c r="AC298" i="8"/>
  <c r="AB298" i="8"/>
  <c r="AA298" i="8"/>
  <c r="Z298" i="8"/>
  <c r="Y298" i="8"/>
  <c r="X298" i="8"/>
  <c r="W298" i="8"/>
  <c r="V298" i="8"/>
  <c r="U298" i="8"/>
  <c r="T298" i="8"/>
  <c r="S298" i="8"/>
  <c r="R298" i="8"/>
  <c r="Q298" i="8"/>
  <c r="P298" i="8"/>
  <c r="O298" i="8"/>
  <c r="N298" i="8"/>
  <c r="M298" i="8"/>
  <c r="L298" i="8"/>
  <c r="K298" i="8"/>
  <c r="J298" i="8"/>
  <c r="I298" i="8"/>
  <c r="H298" i="8"/>
  <c r="G298" i="8"/>
  <c r="F298" i="8"/>
  <c r="E298" i="8"/>
  <c r="D298" i="8"/>
  <c r="B298" i="8"/>
  <c r="A298" i="8"/>
  <c r="AX297" i="8"/>
  <c r="AW297" i="8"/>
  <c r="AV297" i="8"/>
  <c r="AU297" i="8"/>
  <c r="AT297" i="8"/>
  <c r="AS297" i="8"/>
  <c r="AR297" i="8"/>
  <c r="AQ297" i="8"/>
  <c r="AP297" i="8"/>
  <c r="AO297" i="8"/>
  <c r="AN297" i="8"/>
  <c r="AM297" i="8"/>
  <c r="AL297" i="8"/>
  <c r="AK297" i="8"/>
  <c r="AJ297" i="8"/>
  <c r="AI297" i="8"/>
  <c r="AH297" i="8"/>
  <c r="AG297" i="8"/>
  <c r="AF297" i="8"/>
  <c r="AE297" i="8"/>
  <c r="AD297" i="8"/>
  <c r="AC297" i="8"/>
  <c r="AB297" i="8"/>
  <c r="AA297" i="8"/>
  <c r="Z297" i="8"/>
  <c r="Y297" i="8"/>
  <c r="X297" i="8"/>
  <c r="W297" i="8"/>
  <c r="V297" i="8"/>
  <c r="U297" i="8"/>
  <c r="T297" i="8"/>
  <c r="S297" i="8"/>
  <c r="R297" i="8"/>
  <c r="Q297" i="8"/>
  <c r="P297" i="8"/>
  <c r="O297" i="8"/>
  <c r="N297" i="8"/>
  <c r="M297" i="8"/>
  <c r="L297" i="8"/>
  <c r="K297" i="8"/>
  <c r="J297" i="8"/>
  <c r="I297" i="8"/>
  <c r="H297" i="8"/>
  <c r="G297" i="8"/>
  <c r="F297" i="8"/>
  <c r="E297" i="8"/>
  <c r="D297" i="8"/>
  <c r="A297" i="8"/>
  <c r="B297" i="8" s="1"/>
  <c r="AX296" i="8"/>
  <c r="AW296" i="8"/>
  <c r="AV296" i="8"/>
  <c r="AU296" i="8"/>
  <c r="AT296" i="8"/>
  <c r="AS296" i="8"/>
  <c r="AR296" i="8"/>
  <c r="AQ296" i="8"/>
  <c r="AP296" i="8"/>
  <c r="AO296" i="8"/>
  <c r="AN296" i="8"/>
  <c r="AM296" i="8"/>
  <c r="AL296" i="8"/>
  <c r="AK296" i="8"/>
  <c r="AJ296" i="8"/>
  <c r="AI296" i="8"/>
  <c r="AH296" i="8"/>
  <c r="AG296" i="8"/>
  <c r="AF296" i="8"/>
  <c r="AE296" i="8"/>
  <c r="AD296" i="8"/>
  <c r="AC296" i="8"/>
  <c r="AB296" i="8"/>
  <c r="AA296" i="8"/>
  <c r="Z296" i="8"/>
  <c r="Y296" i="8"/>
  <c r="X296" i="8"/>
  <c r="W296" i="8"/>
  <c r="V296" i="8"/>
  <c r="U296" i="8"/>
  <c r="T296" i="8"/>
  <c r="S296" i="8"/>
  <c r="R296" i="8"/>
  <c r="Q296" i="8"/>
  <c r="P296" i="8"/>
  <c r="O296" i="8"/>
  <c r="N296" i="8"/>
  <c r="M296" i="8"/>
  <c r="L296" i="8"/>
  <c r="K296" i="8"/>
  <c r="J296" i="8"/>
  <c r="I296" i="8"/>
  <c r="H296" i="8"/>
  <c r="G296" i="8"/>
  <c r="F296" i="8"/>
  <c r="E296" i="8"/>
  <c r="D296" i="8"/>
  <c r="A296" i="8"/>
  <c r="B296" i="8" s="1"/>
  <c r="AX295" i="8"/>
  <c r="AW295" i="8"/>
  <c r="AV295" i="8"/>
  <c r="AU295" i="8"/>
  <c r="AT295" i="8"/>
  <c r="AS295" i="8"/>
  <c r="AR295" i="8"/>
  <c r="AQ295" i="8"/>
  <c r="AP295" i="8"/>
  <c r="AO295" i="8"/>
  <c r="AN295" i="8"/>
  <c r="AM295" i="8"/>
  <c r="AL295" i="8"/>
  <c r="AK295" i="8"/>
  <c r="AJ295" i="8"/>
  <c r="AI295" i="8"/>
  <c r="AH295" i="8"/>
  <c r="AG295" i="8"/>
  <c r="AF295" i="8"/>
  <c r="AE295" i="8"/>
  <c r="AD295" i="8"/>
  <c r="AC295" i="8"/>
  <c r="AB295" i="8"/>
  <c r="AA295" i="8"/>
  <c r="Z295" i="8"/>
  <c r="Y295" i="8"/>
  <c r="X295" i="8"/>
  <c r="W295" i="8"/>
  <c r="V295" i="8"/>
  <c r="U295" i="8"/>
  <c r="T295" i="8"/>
  <c r="S295" i="8"/>
  <c r="R295" i="8"/>
  <c r="Q295" i="8"/>
  <c r="P295" i="8"/>
  <c r="O295" i="8"/>
  <c r="N295" i="8"/>
  <c r="M295" i="8"/>
  <c r="L295" i="8"/>
  <c r="K295" i="8"/>
  <c r="J295" i="8"/>
  <c r="I295" i="8"/>
  <c r="H295" i="8"/>
  <c r="G295" i="8"/>
  <c r="F295" i="8"/>
  <c r="E295" i="8"/>
  <c r="D295" i="8"/>
  <c r="B295" i="8"/>
  <c r="A295" i="8"/>
  <c r="AX294" i="8"/>
  <c r="AW294" i="8"/>
  <c r="AV294" i="8"/>
  <c r="AU294" i="8"/>
  <c r="AT294" i="8"/>
  <c r="AS294" i="8"/>
  <c r="AR294" i="8"/>
  <c r="AQ294" i="8"/>
  <c r="AP294" i="8"/>
  <c r="AO294" i="8"/>
  <c r="AN294" i="8"/>
  <c r="AM294" i="8"/>
  <c r="AL294" i="8"/>
  <c r="AK294" i="8"/>
  <c r="AJ294" i="8"/>
  <c r="AI294" i="8"/>
  <c r="AH294" i="8"/>
  <c r="AG294" i="8"/>
  <c r="AF294" i="8"/>
  <c r="AE294" i="8"/>
  <c r="AD294" i="8"/>
  <c r="AC294" i="8"/>
  <c r="AB294" i="8"/>
  <c r="AA294" i="8"/>
  <c r="Z294" i="8"/>
  <c r="Y294" i="8"/>
  <c r="X294" i="8"/>
  <c r="W294" i="8"/>
  <c r="V294" i="8"/>
  <c r="U294" i="8"/>
  <c r="T294" i="8"/>
  <c r="S294" i="8"/>
  <c r="R294" i="8"/>
  <c r="Q294" i="8"/>
  <c r="P294" i="8"/>
  <c r="O294" i="8"/>
  <c r="N294" i="8"/>
  <c r="M294" i="8"/>
  <c r="L294" i="8"/>
  <c r="K294" i="8"/>
  <c r="J294" i="8"/>
  <c r="I294" i="8"/>
  <c r="H294" i="8"/>
  <c r="G294" i="8"/>
  <c r="F294" i="8"/>
  <c r="E294" i="8"/>
  <c r="D294" i="8"/>
  <c r="B294" i="8"/>
  <c r="A294" i="8"/>
  <c r="AX293" i="8"/>
  <c r="AW293" i="8"/>
  <c r="AV293" i="8"/>
  <c r="AU293" i="8"/>
  <c r="AT293" i="8"/>
  <c r="AS293" i="8"/>
  <c r="AR293" i="8"/>
  <c r="AQ293" i="8"/>
  <c r="AP293" i="8"/>
  <c r="AO293" i="8"/>
  <c r="AN293" i="8"/>
  <c r="AM293" i="8"/>
  <c r="AL293" i="8"/>
  <c r="AK293" i="8"/>
  <c r="AJ293" i="8"/>
  <c r="AI293" i="8"/>
  <c r="AH293" i="8"/>
  <c r="AG293" i="8"/>
  <c r="AF293" i="8"/>
  <c r="AE293" i="8"/>
  <c r="AD293" i="8"/>
  <c r="AC293" i="8"/>
  <c r="AB293" i="8"/>
  <c r="AA293" i="8"/>
  <c r="Z293" i="8"/>
  <c r="Y293" i="8"/>
  <c r="X293" i="8"/>
  <c r="W293" i="8"/>
  <c r="V293" i="8"/>
  <c r="U293" i="8"/>
  <c r="T293" i="8"/>
  <c r="S293" i="8"/>
  <c r="R293" i="8"/>
  <c r="Q293" i="8"/>
  <c r="P293" i="8"/>
  <c r="O293" i="8"/>
  <c r="N293" i="8"/>
  <c r="M293" i="8"/>
  <c r="L293" i="8"/>
  <c r="K293" i="8"/>
  <c r="J293" i="8"/>
  <c r="I293" i="8"/>
  <c r="H293" i="8"/>
  <c r="G293" i="8"/>
  <c r="F293" i="8"/>
  <c r="E293" i="8"/>
  <c r="D293" i="8"/>
  <c r="A293" i="8"/>
  <c r="B293" i="8" s="1"/>
  <c r="AX292" i="8"/>
  <c r="AW292" i="8"/>
  <c r="AV292" i="8"/>
  <c r="AU292" i="8"/>
  <c r="AT292" i="8"/>
  <c r="AS292" i="8"/>
  <c r="AR292" i="8"/>
  <c r="AQ292" i="8"/>
  <c r="AP292" i="8"/>
  <c r="AO292" i="8"/>
  <c r="AN292" i="8"/>
  <c r="AM292" i="8"/>
  <c r="AL292" i="8"/>
  <c r="AK292" i="8"/>
  <c r="AJ292" i="8"/>
  <c r="AI292" i="8"/>
  <c r="AH292" i="8"/>
  <c r="AG292" i="8"/>
  <c r="AF292" i="8"/>
  <c r="AE292" i="8"/>
  <c r="AD292" i="8"/>
  <c r="AC292" i="8"/>
  <c r="AB292" i="8"/>
  <c r="AA292" i="8"/>
  <c r="Z292" i="8"/>
  <c r="Y292" i="8"/>
  <c r="X292" i="8"/>
  <c r="W292" i="8"/>
  <c r="V292" i="8"/>
  <c r="U292" i="8"/>
  <c r="T292" i="8"/>
  <c r="S292" i="8"/>
  <c r="R292" i="8"/>
  <c r="Q292" i="8"/>
  <c r="P292" i="8"/>
  <c r="O292" i="8"/>
  <c r="N292" i="8"/>
  <c r="M292" i="8"/>
  <c r="L292" i="8"/>
  <c r="K292" i="8"/>
  <c r="J292" i="8"/>
  <c r="I292" i="8"/>
  <c r="H292" i="8"/>
  <c r="G292" i="8"/>
  <c r="F292" i="8"/>
  <c r="E292" i="8"/>
  <c r="D292" i="8"/>
  <c r="A292" i="8"/>
  <c r="B292" i="8" s="1"/>
  <c r="AX291" i="8"/>
  <c r="AW291" i="8"/>
  <c r="AV291" i="8"/>
  <c r="AU291" i="8"/>
  <c r="AT291" i="8"/>
  <c r="AS291" i="8"/>
  <c r="AR291" i="8"/>
  <c r="AQ291" i="8"/>
  <c r="AP291" i="8"/>
  <c r="AO291" i="8"/>
  <c r="AN291" i="8"/>
  <c r="AM291" i="8"/>
  <c r="AL291" i="8"/>
  <c r="AK291" i="8"/>
  <c r="AJ291" i="8"/>
  <c r="AI291" i="8"/>
  <c r="AH291" i="8"/>
  <c r="AG291" i="8"/>
  <c r="AF291" i="8"/>
  <c r="AE291" i="8"/>
  <c r="AD291" i="8"/>
  <c r="AC291" i="8"/>
  <c r="AB291" i="8"/>
  <c r="AA291" i="8"/>
  <c r="Z291" i="8"/>
  <c r="Y291" i="8"/>
  <c r="X291" i="8"/>
  <c r="W291" i="8"/>
  <c r="V291" i="8"/>
  <c r="U291" i="8"/>
  <c r="T291" i="8"/>
  <c r="S291" i="8"/>
  <c r="R291" i="8"/>
  <c r="Q291" i="8"/>
  <c r="P291" i="8"/>
  <c r="O291" i="8"/>
  <c r="N291" i="8"/>
  <c r="M291" i="8"/>
  <c r="L291" i="8"/>
  <c r="K291" i="8"/>
  <c r="J291" i="8"/>
  <c r="I291" i="8"/>
  <c r="H291" i="8"/>
  <c r="G291" i="8"/>
  <c r="F291" i="8"/>
  <c r="E291" i="8"/>
  <c r="D291" i="8"/>
  <c r="B291" i="8"/>
  <c r="A291" i="8"/>
  <c r="AX290" i="8"/>
  <c r="AW290" i="8"/>
  <c r="AV290" i="8"/>
  <c r="AU290" i="8"/>
  <c r="AT290" i="8"/>
  <c r="AS290" i="8"/>
  <c r="AR290" i="8"/>
  <c r="AQ290" i="8"/>
  <c r="AP290" i="8"/>
  <c r="AO290" i="8"/>
  <c r="AN290" i="8"/>
  <c r="AM290" i="8"/>
  <c r="AL290" i="8"/>
  <c r="AK290" i="8"/>
  <c r="AJ290" i="8"/>
  <c r="AI290" i="8"/>
  <c r="AH290" i="8"/>
  <c r="AG290" i="8"/>
  <c r="AF290" i="8"/>
  <c r="AE290" i="8"/>
  <c r="AD290" i="8"/>
  <c r="AC290" i="8"/>
  <c r="AB290" i="8"/>
  <c r="AA290" i="8"/>
  <c r="Z290" i="8"/>
  <c r="Y290" i="8"/>
  <c r="X290" i="8"/>
  <c r="W290" i="8"/>
  <c r="V290" i="8"/>
  <c r="U290" i="8"/>
  <c r="T290" i="8"/>
  <c r="S290" i="8"/>
  <c r="R290" i="8"/>
  <c r="Q290" i="8"/>
  <c r="P290" i="8"/>
  <c r="O290" i="8"/>
  <c r="N290" i="8"/>
  <c r="M290" i="8"/>
  <c r="L290" i="8"/>
  <c r="K290" i="8"/>
  <c r="J290" i="8"/>
  <c r="I290" i="8"/>
  <c r="H290" i="8"/>
  <c r="G290" i="8"/>
  <c r="F290" i="8"/>
  <c r="E290" i="8"/>
  <c r="D290" i="8"/>
  <c r="B290" i="8"/>
  <c r="A290" i="8"/>
  <c r="AX289" i="8"/>
  <c r="AW289" i="8"/>
  <c r="AV289" i="8"/>
  <c r="AU289" i="8"/>
  <c r="AT289" i="8"/>
  <c r="AS289" i="8"/>
  <c r="AR289" i="8"/>
  <c r="AQ289" i="8"/>
  <c r="AP289" i="8"/>
  <c r="AO289" i="8"/>
  <c r="AN289" i="8"/>
  <c r="AM289" i="8"/>
  <c r="AL289" i="8"/>
  <c r="AK289" i="8"/>
  <c r="AJ289" i="8"/>
  <c r="AI289" i="8"/>
  <c r="AH289" i="8"/>
  <c r="AG289" i="8"/>
  <c r="AF289" i="8"/>
  <c r="AE289" i="8"/>
  <c r="AD289" i="8"/>
  <c r="AC289" i="8"/>
  <c r="AB289" i="8"/>
  <c r="AA289" i="8"/>
  <c r="Z289" i="8"/>
  <c r="Y289" i="8"/>
  <c r="X289" i="8"/>
  <c r="W289" i="8"/>
  <c r="V289" i="8"/>
  <c r="U289" i="8"/>
  <c r="T289" i="8"/>
  <c r="S289" i="8"/>
  <c r="R289" i="8"/>
  <c r="Q289" i="8"/>
  <c r="P289" i="8"/>
  <c r="O289" i="8"/>
  <c r="N289" i="8"/>
  <c r="M289" i="8"/>
  <c r="L289" i="8"/>
  <c r="K289" i="8"/>
  <c r="J289" i="8"/>
  <c r="I289" i="8"/>
  <c r="H289" i="8"/>
  <c r="G289" i="8"/>
  <c r="F289" i="8"/>
  <c r="E289" i="8"/>
  <c r="D289" i="8"/>
  <c r="A289" i="8"/>
  <c r="B289" i="8" s="1"/>
  <c r="AX288" i="8"/>
  <c r="AW288" i="8"/>
  <c r="AV288" i="8"/>
  <c r="AU288" i="8"/>
  <c r="AT288" i="8"/>
  <c r="AS288" i="8"/>
  <c r="AR288" i="8"/>
  <c r="AQ288" i="8"/>
  <c r="AP288" i="8"/>
  <c r="AO288" i="8"/>
  <c r="AN288" i="8"/>
  <c r="AM288" i="8"/>
  <c r="AL288" i="8"/>
  <c r="AK288" i="8"/>
  <c r="AJ288" i="8"/>
  <c r="AI288" i="8"/>
  <c r="AH288" i="8"/>
  <c r="AG288" i="8"/>
  <c r="AF288" i="8"/>
  <c r="AE288" i="8"/>
  <c r="AD288" i="8"/>
  <c r="AC288" i="8"/>
  <c r="AB288" i="8"/>
  <c r="AA288" i="8"/>
  <c r="Z288" i="8"/>
  <c r="Y288" i="8"/>
  <c r="X288" i="8"/>
  <c r="W288" i="8"/>
  <c r="V288" i="8"/>
  <c r="U288" i="8"/>
  <c r="T288" i="8"/>
  <c r="S288" i="8"/>
  <c r="R288" i="8"/>
  <c r="Q288" i="8"/>
  <c r="P288" i="8"/>
  <c r="O288" i="8"/>
  <c r="N288" i="8"/>
  <c r="M288" i="8"/>
  <c r="L288" i="8"/>
  <c r="K288" i="8"/>
  <c r="J288" i="8"/>
  <c r="I288" i="8"/>
  <c r="H288" i="8"/>
  <c r="G288" i="8"/>
  <c r="F288" i="8"/>
  <c r="E288" i="8"/>
  <c r="D288" i="8"/>
  <c r="A288" i="8"/>
  <c r="B288" i="8" s="1"/>
  <c r="AX287" i="8"/>
  <c r="AW287" i="8"/>
  <c r="AV287" i="8"/>
  <c r="AU287" i="8"/>
  <c r="AT287" i="8"/>
  <c r="AS287" i="8"/>
  <c r="AR287" i="8"/>
  <c r="AQ287" i="8"/>
  <c r="AP287" i="8"/>
  <c r="AO287" i="8"/>
  <c r="AN287" i="8"/>
  <c r="AM287" i="8"/>
  <c r="AL287" i="8"/>
  <c r="AK287" i="8"/>
  <c r="AJ287" i="8"/>
  <c r="AI287" i="8"/>
  <c r="AH287" i="8"/>
  <c r="AG287" i="8"/>
  <c r="AF287" i="8"/>
  <c r="AE287" i="8"/>
  <c r="AD287" i="8"/>
  <c r="AC287" i="8"/>
  <c r="AB287" i="8"/>
  <c r="AA287" i="8"/>
  <c r="Z287" i="8"/>
  <c r="Y287" i="8"/>
  <c r="X287" i="8"/>
  <c r="W287" i="8"/>
  <c r="V287" i="8"/>
  <c r="U287" i="8"/>
  <c r="T287" i="8"/>
  <c r="S287" i="8"/>
  <c r="R287" i="8"/>
  <c r="Q287" i="8"/>
  <c r="P287" i="8"/>
  <c r="O287" i="8"/>
  <c r="N287" i="8"/>
  <c r="M287" i="8"/>
  <c r="L287" i="8"/>
  <c r="K287" i="8"/>
  <c r="J287" i="8"/>
  <c r="I287" i="8"/>
  <c r="H287" i="8"/>
  <c r="G287" i="8"/>
  <c r="F287" i="8"/>
  <c r="E287" i="8"/>
  <c r="D287" i="8"/>
  <c r="B287" i="8"/>
  <c r="A287" i="8"/>
  <c r="AX286" i="8"/>
  <c r="AW286" i="8"/>
  <c r="AV286" i="8"/>
  <c r="AU286" i="8"/>
  <c r="AT286" i="8"/>
  <c r="AS286" i="8"/>
  <c r="AR286" i="8"/>
  <c r="AQ286" i="8"/>
  <c r="AP286" i="8"/>
  <c r="AO286" i="8"/>
  <c r="AN286" i="8"/>
  <c r="AM286" i="8"/>
  <c r="AL286" i="8"/>
  <c r="AK286" i="8"/>
  <c r="AJ286" i="8"/>
  <c r="AI286" i="8"/>
  <c r="AH286" i="8"/>
  <c r="AG286" i="8"/>
  <c r="AF286" i="8"/>
  <c r="AE286" i="8"/>
  <c r="AD286" i="8"/>
  <c r="AC286" i="8"/>
  <c r="AB286" i="8"/>
  <c r="AA286" i="8"/>
  <c r="Z286" i="8"/>
  <c r="Y286" i="8"/>
  <c r="X286" i="8"/>
  <c r="W286" i="8"/>
  <c r="V286" i="8"/>
  <c r="U286" i="8"/>
  <c r="T286" i="8"/>
  <c r="S286" i="8"/>
  <c r="R286" i="8"/>
  <c r="Q286" i="8"/>
  <c r="P286" i="8"/>
  <c r="O286" i="8"/>
  <c r="N286" i="8"/>
  <c r="M286" i="8"/>
  <c r="L286" i="8"/>
  <c r="K286" i="8"/>
  <c r="J286" i="8"/>
  <c r="I286" i="8"/>
  <c r="H286" i="8"/>
  <c r="G286" i="8"/>
  <c r="F286" i="8"/>
  <c r="E286" i="8"/>
  <c r="D286" i="8"/>
  <c r="B286" i="8"/>
  <c r="A286" i="8"/>
  <c r="AX285" i="8"/>
  <c r="AW285" i="8"/>
  <c r="AV285" i="8"/>
  <c r="AU285" i="8"/>
  <c r="AT285" i="8"/>
  <c r="AS285" i="8"/>
  <c r="AR285" i="8"/>
  <c r="AQ285" i="8"/>
  <c r="AP285" i="8"/>
  <c r="AO285" i="8"/>
  <c r="AN285" i="8"/>
  <c r="AM285" i="8"/>
  <c r="AL285" i="8"/>
  <c r="AK285" i="8"/>
  <c r="AJ285" i="8"/>
  <c r="AI285" i="8"/>
  <c r="AH285" i="8"/>
  <c r="AG285" i="8"/>
  <c r="AF285" i="8"/>
  <c r="AE285" i="8"/>
  <c r="AD285" i="8"/>
  <c r="AC285" i="8"/>
  <c r="AB285" i="8"/>
  <c r="AA285" i="8"/>
  <c r="Z285" i="8"/>
  <c r="Y285" i="8"/>
  <c r="X285" i="8"/>
  <c r="W285" i="8"/>
  <c r="V285" i="8"/>
  <c r="U285" i="8"/>
  <c r="T285" i="8"/>
  <c r="S285" i="8"/>
  <c r="R285" i="8"/>
  <c r="Q285" i="8"/>
  <c r="P285" i="8"/>
  <c r="O285" i="8"/>
  <c r="N285" i="8"/>
  <c r="M285" i="8"/>
  <c r="L285" i="8"/>
  <c r="K285" i="8"/>
  <c r="J285" i="8"/>
  <c r="I285" i="8"/>
  <c r="H285" i="8"/>
  <c r="G285" i="8"/>
  <c r="F285" i="8"/>
  <c r="E285" i="8"/>
  <c r="D285" i="8"/>
  <c r="A285" i="8"/>
  <c r="B285" i="8" s="1"/>
  <c r="AX284" i="8"/>
  <c r="AW284" i="8"/>
  <c r="AV284" i="8"/>
  <c r="AU284" i="8"/>
  <c r="AT284" i="8"/>
  <c r="AS284" i="8"/>
  <c r="AR284" i="8"/>
  <c r="AQ284" i="8"/>
  <c r="AP284" i="8"/>
  <c r="AO284" i="8"/>
  <c r="AN284" i="8"/>
  <c r="AM284" i="8"/>
  <c r="AL284" i="8"/>
  <c r="AK284" i="8"/>
  <c r="AJ284" i="8"/>
  <c r="AI284" i="8"/>
  <c r="AH284" i="8"/>
  <c r="AG284" i="8"/>
  <c r="AF284" i="8"/>
  <c r="AE284" i="8"/>
  <c r="AD284" i="8"/>
  <c r="AC284" i="8"/>
  <c r="AB284" i="8"/>
  <c r="AA284" i="8"/>
  <c r="Z284" i="8"/>
  <c r="Y284" i="8"/>
  <c r="X284" i="8"/>
  <c r="W284" i="8"/>
  <c r="V284" i="8"/>
  <c r="U284" i="8"/>
  <c r="T284" i="8"/>
  <c r="S284" i="8"/>
  <c r="R284" i="8"/>
  <c r="Q284" i="8"/>
  <c r="P284" i="8"/>
  <c r="O284" i="8"/>
  <c r="N284" i="8"/>
  <c r="M284" i="8"/>
  <c r="L284" i="8"/>
  <c r="K284" i="8"/>
  <c r="J284" i="8"/>
  <c r="I284" i="8"/>
  <c r="H284" i="8"/>
  <c r="G284" i="8"/>
  <c r="F284" i="8"/>
  <c r="E284" i="8"/>
  <c r="D284" i="8"/>
  <c r="A284" i="8"/>
  <c r="B284" i="8" s="1"/>
  <c r="AX283" i="8"/>
  <c r="AW283" i="8"/>
  <c r="AV283" i="8"/>
  <c r="AU283" i="8"/>
  <c r="AT283" i="8"/>
  <c r="AS283" i="8"/>
  <c r="AR283" i="8"/>
  <c r="AQ283" i="8"/>
  <c r="AP283" i="8"/>
  <c r="AO283" i="8"/>
  <c r="AN283" i="8"/>
  <c r="AM283" i="8"/>
  <c r="AL283" i="8"/>
  <c r="AK283" i="8"/>
  <c r="AJ283" i="8"/>
  <c r="AI283" i="8"/>
  <c r="AH283" i="8"/>
  <c r="AG283" i="8"/>
  <c r="AF283" i="8"/>
  <c r="AE283" i="8"/>
  <c r="AD283" i="8"/>
  <c r="AC283" i="8"/>
  <c r="AB283" i="8"/>
  <c r="AA283" i="8"/>
  <c r="Z283" i="8"/>
  <c r="Y283" i="8"/>
  <c r="X283" i="8"/>
  <c r="W283" i="8"/>
  <c r="V283" i="8"/>
  <c r="U283" i="8"/>
  <c r="T283" i="8"/>
  <c r="S283" i="8"/>
  <c r="R283" i="8"/>
  <c r="Q283" i="8"/>
  <c r="P283" i="8"/>
  <c r="O283" i="8"/>
  <c r="N283" i="8"/>
  <c r="M283" i="8"/>
  <c r="L283" i="8"/>
  <c r="K283" i="8"/>
  <c r="J283" i="8"/>
  <c r="I283" i="8"/>
  <c r="H283" i="8"/>
  <c r="G283" i="8"/>
  <c r="F283" i="8"/>
  <c r="E283" i="8"/>
  <c r="D283" i="8"/>
  <c r="B283" i="8"/>
  <c r="A283" i="8"/>
  <c r="AX282" i="8"/>
  <c r="AW282" i="8"/>
  <c r="AV282" i="8"/>
  <c r="AU282" i="8"/>
  <c r="AT282" i="8"/>
  <c r="AS282" i="8"/>
  <c r="AR282" i="8"/>
  <c r="AQ282" i="8"/>
  <c r="AP282" i="8"/>
  <c r="AO282" i="8"/>
  <c r="AN282" i="8"/>
  <c r="AM282" i="8"/>
  <c r="AL282" i="8"/>
  <c r="AK282" i="8"/>
  <c r="AJ282" i="8"/>
  <c r="AI282" i="8"/>
  <c r="AH282" i="8"/>
  <c r="AG282" i="8"/>
  <c r="AF282" i="8"/>
  <c r="AE282" i="8"/>
  <c r="AD282" i="8"/>
  <c r="AC282" i="8"/>
  <c r="AB282" i="8"/>
  <c r="AA282" i="8"/>
  <c r="Z282" i="8"/>
  <c r="Y282" i="8"/>
  <c r="X282" i="8"/>
  <c r="W282" i="8"/>
  <c r="V282" i="8"/>
  <c r="U282" i="8"/>
  <c r="T282" i="8"/>
  <c r="S282" i="8"/>
  <c r="R282" i="8"/>
  <c r="Q282" i="8"/>
  <c r="P282" i="8"/>
  <c r="O282" i="8"/>
  <c r="N282" i="8"/>
  <c r="M282" i="8"/>
  <c r="L282" i="8"/>
  <c r="K282" i="8"/>
  <c r="J282" i="8"/>
  <c r="I282" i="8"/>
  <c r="H282" i="8"/>
  <c r="G282" i="8"/>
  <c r="F282" i="8"/>
  <c r="E282" i="8"/>
  <c r="D282" i="8"/>
  <c r="B282" i="8"/>
  <c r="A282" i="8"/>
  <c r="AX281" i="8"/>
  <c r="AW281" i="8"/>
  <c r="AV281" i="8"/>
  <c r="AU281" i="8"/>
  <c r="AT281" i="8"/>
  <c r="AS281" i="8"/>
  <c r="AR281" i="8"/>
  <c r="AQ281" i="8"/>
  <c r="AP281" i="8"/>
  <c r="AO281" i="8"/>
  <c r="AN281" i="8"/>
  <c r="AM281" i="8"/>
  <c r="AL281" i="8"/>
  <c r="AK281" i="8"/>
  <c r="AJ281" i="8"/>
  <c r="AI281" i="8"/>
  <c r="AH281" i="8"/>
  <c r="AG281" i="8"/>
  <c r="AF281" i="8"/>
  <c r="AE281" i="8"/>
  <c r="AD281" i="8"/>
  <c r="AC281" i="8"/>
  <c r="AB281" i="8"/>
  <c r="AA281" i="8"/>
  <c r="Z281" i="8"/>
  <c r="Y281" i="8"/>
  <c r="X281" i="8"/>
  <c r="W281" i="8"/>
  <c r="V281" i="8"/>
  <c r="U281" i="8"/>
  <c r="T281" i="8"/>
  <c r="S281" i="8"/>
  <c r="R281" i="8"/>
  <c r="Q281" i="8"/>
  <c r="P281" i="8"/>
  <c r="O281" i="8"/>
  <c r="N281" i="8"/>
  <c r="M281" i="8"/>
  <c r="L281" i="8"/>
  <c r="K281" i="8"/>
  <c r="J281" i="8"/>
  <c r="I281" i="8"/>
  <c r="H281" i="8"/>
  <c r="G281" i="8"/>
  <c r="F281" i="8"/>
  <c r="E281" i="8"/>
  <c r="D281" i="8"/>
  <c r="A281" i="8"/>
  <c r="B281" i="8" s="1"/>
  <c r="AX280" i="8"/>
  <c r="AW280" i="8"/>
  <c r="AV280" i="8"/>
  <c r="AU280" i="8"/>
  <c r="AT280" i="8"/>
  <c r="AS280" i="8"/>
  <c r="AR280" i="8"/>
  <c r="AQ280" i="8"/>
  <c r="AP280" i="8"/>
  <c r="AO280" i="8"/>
  <c r="AN280" i="8"/>
  <c r="AM280" i="8"/>
  <c r="AL280" i="8"/>
  <c r="AK280" i="8"/>
  <c r="AJ280" i="8"/>
  <c r="AI280" i="8"/>
  <c r="AH280" i="8"/>
  <c r="AG280" i="8"/>
  <c r="AF280" i="8"/>
  <c r="AE280" i="8"/>
  <c r="AD280" i="8"/>
  <c r="AC280" i="8"/>
  <c r="AB280" i="8"/>
  <c r="AA280" i="8"/>
  <c r="Z280" i="8"/>
  <c r="Y280" i="8"/>
  <c r="X280" i="8"/>
  <c r="W280" i="8"/>
  <c r="V280" i="8"/>
  <c r="U280" i="8"/>
  <c r="T280" i="8"/>
  <c r="S280" i="8"/>
  <c r="R280" i="8"/>
  <c r="Q280" i="8"/>
  <c r="P280" i="8"/>
  <c r="O280" i="8"/>
  <c r="N280" i="8"/>
  <c r="M280" i="8"/>
  <c r="L280" i="8"/>
  <c r="K280" i="8"/>
  <c r="J280" i="8"/>
  <c r="I280" i="8"/>
  <c r="H280" i="8"/>
  <c r="G280" i="8"/>
  <c r="F280" i="8"/>
  <c r="E280" i="8"/>
  <c r="D280" i="8"/>
  <c r="A280" i="8"/>
  <c r="B280" i="8" s="1"/>
  <c r="AX279" i="8"/>
  <c r="AW279" i="8"/>
  <c r="AV279" i="8"/>
  <c r="AU279" i="8"/>
  <c r="AT279" i="8"/>
  <c r="AS279" i="8"/>
  <c r="AR279" i="8"/>
  <c r="AQ279" i="8"/>
  <c r="AP279" i="8"/>
  <c r="AO279" i="8"/>
  <c r="AN279" i="8"/>
  <c r="AM279" i="8"/>
  <c r="AL279" i="8"/>
  <c r="AK279" i="8"/>
  <c r="AJ279" i="8"/>
  <c r="AI279" i="8"/>
  <c r="AH279" i="8"/>
  <c r="AG279" i="8"/>
  <c r="AF279" i="8"/>
  <c r="AE279" i="8"/>
  <c r="AD279" i="8"/>
  <c r="AC279" i="8"/>
  <c r="AB279" i="8"/>
  <c r="AA279" i="8"/>
  <c r="Z279" i="8"/>
  <c r="Y279" i="8"/>
  <c r="X279" i="8"/>
  <c r="W279" i="8"/>
  <c r="V279" i="8"/>
  <c r="U279" i="8"/>
  <c r="T279" i="8"/>
  <c r="S279" i="8"/>
  <c r="R279" i="8"/>
  <c r="Q279" i="8"/>
  <c r="P279" i="8"/>
  <c r="O279" i="8"/>
  <c r="N279" i="8"/>
  <c r="M279" i="8"/>
  <c r="L279" i="8"/>
  <c r="K279" i="8"/>
  <c r="J279" i="8"/>
  <c r="I279" i="8"/>
  <c r="H279" i="8"/>
  <c r="G279" i="8"/>
  <c r="F279" i="8"/>
  <c r="E279" i="8"/>
  <c r="D279" i="8"/>
  <c r="B279" i="8"/>
  <c r="A279" i="8"/>
  <c r="AX278" i="8"/>
  <c r="AW278" i="8"/>
  <c r="AV278" i="8"/>
  <c r="AU278" i="8"/>
  <c r="AT278" i="8"/>
  <c r="AS278" i="8"/>
  <c r="AR278" i="8"/>
  <c r="AQ278" i="8"/>
  <c r="AP278" i="8"/>
  <c r="AO278" i="8"/>
  <c r="AN278" i="8"/>
  <c r="AM278" i="8"/>
  <c r="AL278" i="8"/>
  <c r="AK278" i="8"/>
  <c r="AJ278" i="8"/>
  <c r="AI278" i="8"/>
  <c r="AH278" i="8"/>
  <c r="AG278" i="8"/>
  <c r="AF278" i="8"/>
  <c r="AE278" i="8"/>
  <c r="AD278" i="8"/>
  <c r="AC278" i="8"/>
  <c r="AB278" i="8"/>
  <c r="AA278" i="8"/>
  <c r="Z278" i="8"/>
  <c r="Y278" i="8"/>
  <c r="X278" i="8"/>
  <c r="W278" i="8"/>
  <c r="V278" i="8"/>
  <c r="U278" i="8"/>
  <c r="T278" i="8"/>
  <c r="S278" i="8"/>
  <c r="R278" i="8"/>
  <c r="Q278" i="8"/>
  <c r="P278" i="8"/>
  <c r="O278" i="8"/>
  <c r="N278" i="8"/>
  <c r="M278" i="8"/>
  <c r="L278" i="8"/>
  <c r="K278" i="8"/>
  <c r="J278" i="8"/>
  <c r="I278" i="8"/>
  <c r="H278" i="8"/>
  <c r="G278" i="8"/>
  <c r="F278" i="8"/>
  <c r="E278" i="8"/>
  <c r="D278" i="8"/>
  <c r="B278" i="8"/>
  <c r="A278" i="8"/>
  <c r="AX277" i="8"/>
  <c r="AW277" i="8"/>
  <c r="AV277" i="8"/>
  <c r="AU277" i="8"/>
  <c r="AT277" i="8"/>
  <c r="AS277" i="8"/>
  <c r="AR277" i="8"/>
  <c r="AQ277" i="8"/>
  <c r="AP277" i="8"/>
  <c r="AO277" i="8"/>
  <c r="AN277" i="8"/>
  <c r="AM277" i="8"/>
  <c r="AL277" i="8"/>
  <c r="AK277" i="8"/>
  <c r="AJ277" i="8"/>
  <c r="AI277" i="8"/>
  <c r="AH277" i="8"/>
  <c r="AG277" i="8"/>
  <c r="AF277" i="8"/>
  <c r="AE277" i="8"/>
  <c r="AD277" i="8"/>
  <c r="AC277" i="8"/>
  <c r="AB277" i="8"/>
  <c r="AA277" i="8"/>
  <c r="Z277" i="8"/>
  <c r="Y277" i="8"/>
  <c r="X277" i="8"/>
  <c r="W277" i="8"/>
  <c r="V277" i="8"/>
  <c r="U277" i="8"/>
  <c r="T277" i="8"/>
  <c r="S277" i="8"/>
  <c r="R277" i="8"/>
  <c r="Q277" i="8"/>
  <c r="P277" i="8"/>
  <c r="O277" i="8"/>
  <c r="N277" i="8"/>
  <c r="M277" i="8"/>
  <c r="L277" i="8"/>
  <c r="K277" i="8"/>
  <c r="J277" i="8"/>
  <c r="I277" i="8"/>
  <c r="H277" i="8"/>
  <c r="G277" i="8"/>
  <c r="F277" i="8"/>
  <c r="E277" i="8"/>
  <c r="D277" i="8"/>
  <c r="A277" i="8"/>
  <c r="B277" i="8" s="1"/>
  <c r="AX276" i="8"/>
  <c r="AW276" i="8"/>
  <c r="AV276" i="8"/>
  <c r="AU276" i="8"/>
  <c r="AT276" i="8"/>
  <c r="AS276" i="8"/>
  <c r="AR276" i="8"/>
  <c r="AQ276" i="8"/>
  <c r="AP276" i="8"/>
  <c r="AO276" i="8"/>
  <c r="AN276" i="8"/>
  <c r="AM276" i="8"/>
  <c r="AL276" i="8"/>
  <c r="AK276" i="8"/>
  <c r="AJ276" i="8"/>
  <c r="AI276" i="8"/>
  <c r="AH276" i="8"/>
  <c r="AG276" i="8"/>
  <c r="AF276" i="8"/>
  <c r="AE276" i="8"/>
  <c r="AD276" i="8"/>
  <c r="AC276" i="8"/>
  <c r="AB276" i="8"/>
  <c r="AA276" i="8"/>
  <c r="Z276" i="8"/>
  <c r="Y276" i="8"/>
  <c r="X276" i="8"/>
  <c r="W276" i="8"/>
  <c r="V276" i="8"/>
  <c r="U276" i="8"/>
  <c r="T276" i="8"/>
  <c r="S276" i="8"/>
  <c r="R276" i="8"/>
  <c r="Q276" i="8"/>
  <c r="P276" i="8"/>
  <c r="O276" i="8"/>
  <c r="N276" i="8"/>
  <c r="M276" i="8"/>
  <c r="L276" i="8"/>
  <c r="K276" i="8"/>
  <c r="J276" i="8"/>
  <c r="I276" i="8"/>
  <c r="H276" i="8"/>
  <c r="G276" i="8"/>
  <c r="F276" i="8"/>
  <c r="E276" i="8"/>
  <c r="D276" i="8"/>
  <c r="A276" i="8"/>
  <c r="B276" i="8" s="1"/>
  <c r="AX275" i="8"/>
  <c r="AW275" i="8"/>
  <c r="AV275" i="8"/>
  <c r="AU275" i="8"/>
  <c r="AT275" i="8"/>
  <c r="AS275" i="8"/>
  <c r="AR275" i="8"/>
  <c r="AQ275" i="8"/>
  <c r="AP275" i="8"/>
  <c r="AO275" i="8"/>
  <c r="AN275" i="8"/>
  <c r="AM275" i="8"/>
  <c r="AL275" i="8"/>
  <c r="AK275" i="8"/>
  <c r="AJ275" i="8"/>
  <c r="AI275" i="8"/>
  <c r="AH275" i="8"/>
  <c r="AG275" i="8"/>
  <c r="AF275" i="8"/>
  <c r="AE275" i="8"/>
  <c r="AD275" i="8"/>
  <c r="AC275" i="8"/>
  <c r="AB275" i="8"/>
  <c r="AA275" i="8"/>
  <c r="Z275" i="8"/>
  <c r="Y275" i="8"/>
  <c r="X275" i="8"/>
  <c r="W275" i="8"/>
  <c r="V275" i="8"/>
  <c r="U275" i="8"/>
  <c r="T275" i="8"/>
  <c r="S275" i="8"/>
  <c r="R275" i="8"/>
  <c r="Q275" i="8"/>
  <c r="P275" i="8"/>
  <c r="O275" i="8"/>
  <c r="N275" i="8"/>
  <c r="M275" i="8"/>
  <c r="L275" i="8"/>
  <c r="K275" i="8"/>
  <c r="J275" i="8"/>
  <c r="I275" i="8"/>
  <c r="H275" i="8"/>
  <c r="G275" i="8"/>
  <c r="F275" i="8"/>
  <c r="E275" i="8"/>
  <c r="D275" i="8"/>
  <c r="B275" i="8"/>
  <c r="A275" i="8"/>
  <c r="AX274" i="8"/>
  <c r="AW274" i="8"/>
  <c r="AV274" i="8"/>
  <c r="AU274" i="8"/>
  <c r="AT274" i="8"/>
  <c r="AS274" i="8"/>
  <c r="AR274" i="8"/>
  <c r="AQ274" i="8"/>
  <c r="AP274" i="8"/>
  <c r="AO274" i="8"/>
  <c r="AN274" i="8"/>
  <c r="AM274" i="8"/>
  <c r="AL274" i="8"/>
  <c r="AK274" i="8"/>
  <c r="AJ274" i="8"/>
  <c r="AI274" i="8"/>
  <c r="AH274" i="8"/>
  <c r="AG274" i="8"/>
  <c r="AF274" i="8"/>
  <c r="AE274" i="8"/>
  <c r="AD274" i="8"/>
  <c r="AC274" i="8"/>
  <c r="AB274" i="8"/>
  <c r="AA274" i="8"/>
  <c r="Z274" i="8"/>
  <c r="Y274" i="8"/>
  <c r="X274" i="8"/>
  <c r="W274" i="8"/>
  <c r="V274" i="8"/>
  <c r="U274" i="8"/>
  <c r="T274" i="8"/>
  <c r="S274" i="8"/>
  <c r="R274" i="8"/>
  <c r="Q274" i="8"/>
  <c r="P274" i="8"/>
  <c r="O274" i="8"/>
  <c r="N274" i="8"/>
  <c r="M274" i="8"/>
  <c r="L274" i="8"/>
  <c r="K274" i="8"/>
  <c r="J274" i="8"/>
  <c r="I274" i="8"/>
  <c r="H274" i="8"/>
  <c r="G274" i="8"/>
  <c r="F274" i="8"/>
  <c r="E274" i="8"/>
  <c r="D274" i="8"/>
  <c r="B274" i="8"/>
  <c r="A274" i="8"/>
  <c r="AX273" i="8"/>
  <c r="AW273" i="8"/>
  <c r="AV273" i="8"/>
  <c r="AU273" i="8"/>
  <c r="AT273" i="8"/>
  <c r="AS273" i="8"/>
  <c r="AR273" i="8"/>
  <c r="AQ273" i="8"/>
  <c r="AP273" i="8"/>
  <c r="AO273" i="8"/>
  <c r="AN273" i="8"/>
  <c r="AM273" i="8"/>
  <c r="AL273" i="8"/>
  <c r="AK273" i="8"/>
  <c r="AJ273" i="8"/>
  <c r="AI273" i="8"/>
  <c r="AH273" i="8"/>
  <c r="AG273" i="8"/>
  <c r="AF273" i="8"/>
  <c r="AE273" i="8"/>
  <c r="AD273" i="8"/>
  <c r="AC273" i="8"/>
  <c r="AB273" i="8"/>
  <c r="AA273" i="8"/>
  <c r="Z273" i="8"/>
  <c r="Y273" i="8"/>
  <c r="X273" i="8"/>
  <c r="W273" i="8"/>
  <c r="V273" i="8"/>
  <c r="U273" i="8"/>
  <c r="T273" i="8"/>
  <c r="S273" i="8"/>
  <c r="R273" i="8"/>
  <c r="Q273" i="8"/>
  <c r="P273" i="8"/>
  <c r="O273" i="8"/>
  <c r="N273" i="8"/>
  <c r="M273" i="8"/>
  <c r="L273" i="8"/>
  <c r="K273" i="8"/>
  <c r="J273" i="8"/>
  <c r="I273" i="8"/>
  <c r="H273" i="8"/>
  <c r="G273" i="8"/>
  <c r="F273" i="8"/>
  <c r="E273" i="8"/>
  <c r="D273" i="8"/>
  <c r="A273" i="8"/>
  <c r="B273" i="8" s="1"/>
  <c r="AX272" i="8"/>
  <c r="AW272" i="8"/>
  <c r="AV272" i="8"/>
  <c r="AU272" i="8"/>
  <c r="AT272" i="8"/>
  <c r="AS272" i="8"/>
  <c r="AR272" i="8"/>
  <c r="AQ272" i="8"/>
  <c r="AP272" i="8"/>
  <c r="AO272" i="8"/>
  <c r="AN272" i="8"/>
  <c r="AM272" i="8"/>
  <c r="AL272" i="8"/>
  <c r="AK272" i="8"/>
  <c r="AJ272" i="8"/>
  <c r="AI272" i="8"/>
  <c r="AH272" i="8"/>
  <c r="AG272" i="8"/>
  <c r="AF272" i="8"/>
  <c r="AE272" i="8"/>
  <c r="AD272" i="8"/>
  <c r="AC272" i="8"/>
  <c r="AB272" i="8"/>
  <c r="AA272" i="8"/>
  <c r="Z272" i="8"/>
  <c r="Y272" i="8"/>
  <c r="X272" i="8"/>
  <c r="W272" i="8"/>
  <c r="V272" i="8"/>
  <c r="U272" i="8"/>
  <c r="T272" i="8"/>
  <c r="S272" i="8"/>
  <c r="R272" i="8"/>
  <c r="Q272" i="8"/>
  <c r="P272" i="8"/>
  <c r="O272" i="8"/>
  <c r="N272" i="8"/>
  <c r="M272" i="8"/>
  <c r="L272" i="8"/>
  <c r="K272" i="8"/>
  <c r="J272" i="8"/>
  <c r="I272" i="8"/>
  <c r="H272" i="8"/>
  <c r="G272" i="8"/>
  <c r="F272" i="8"/>
  <c r="E272" i="8"/>
  <c r="D272" i="8"/>
  <c r="A272" i="8"/>
  <c r="B272" i="8" s="1"/>
  <c r="AX271" i="8"/>
  <c r="AW271" i="8"/>
  <c r="AV271" i="8"/>
  <c r="AU271" i="8"/>
  <c r="AT271" i="8"/>
  <c r="AS271" i="8"/>
  <c r="AR271" i="8"/>
  <c r="AQ271" i="8"/>
  <c r="AP271" i="8"/>
  <c r="AO271" i="8"/>
  <c r="AN271" i="8"/>
  <c r="AM271" i="8"/>
  <c r="AL271" i="8"/>
  <c r="AK271" i="8"/>
  <c r="AJ271" i="8"/>
  <c r="AI271" i="8"/>
  <c r="AH271" i="8"/>
  <c r="AG271" i="8"/>
  <c r="AF271" i="8"/>
  <c r="AE271" i="8"/>
  <c r="AD271" i="8"/>
  <c r="AC271" i="8"/>
  <c r="AB271" i="8"/>
  <c r="AA271" i="8"/>
  <c r="Z271" i="8"/>
  <c r="Y271" i="8"/>
  <c r="X271" i="8"/>
  <c r="W271" i="8"/>
  <c r="V271" i="8"/>
  <c r="U271" i="8"/>
  <c r="T271" i="8"/>
  <c r="S271" i="8"/>
  <c r="R271" i="8"/>
  <c r="Q271" i="8"/>
  <c r="P271" i="8"/>
  <c r="O271" i="8"/>
  <c r="N271" i="8"/>
  <c r="M271" i="8"/>
  <c r="L271" i="8"/>
  <c r="K271" i="8"/>
  <c r="J271" i="8"/>
  <c r="I271" i="8"/>
  <c r="H271" i="8"/>
  <c r="G271" i="8"/>
  <c r="F271" i="8"/>
  <c r="E271" i="8"/>
  <c r="D271" i="8"/>
  <c r="B271" i="8"/>
  <c r="A271" i="8"/>
  <c r="AX270" i="8"/>
  <c r="AW270" i="8"/>
  <c r="AV270" i="8"/>
  <c r="AU270" i="8"/>
  <c r="AT270" i="8"/>
  <c r="AS270" i="8"/>
  <c r="AR270" i="8"/>
  <c r="AQ270" i="8"/>
  <c r="AP270" i="8"/>
  <c r="AO270" i="8"/>
  <c r="AN270" i="8"/>
  <c r="AM270" i="8"/>
  <c r="AL270" i="8"/>
  <c r="AK270" i="8"/>
  <c r="AJ270" i="8"/>
  <c r="AI270" i="8"/>
  <c r="AH270" i="8"/>
  <c r="AG270" i="8"/>
  <c r="AF270" i="8"/>
  <c r="AE270" i="8"/>
  <c r="AD270" i="8"/>
  <c r="AC270" i="8"/>
  <c r="AB270" i="8"/>
  <c r="AA270" i="8"/>
  <c r="Z270" i="8"/>
  <c r="Y270" i="8"/>
  <c r="X270" i="8"/>
  <c r="W270" i="8"/>
  <c r="V270" i="8"/>
  <c r="U270" i="8"/>
  <c r="T270" i="8"/>
  <c r="S270" i="8"/>
  <c r="R270" i="8"/>
  <c r="Q270" i="8"/>
  <c r="P270" i="8"/>
  <c r="O270" i="8"/>
  <c r="N270" i="8"/>
  <c r="M270" i="8"/>
  <c r="L270" i="8"/>
  <c r="K270" i="8"/>
  <c r="J270" i="8"/>
  <c r="I270" i="8"/>
  <c r="H270" i="8"/>
  <c r="G270" i="8"/>
  <c r="F270" i="8"/>
  <c r="E270" i="8"/>
  <c r="D270" i="8"/>
  <c r="A270" i="8"/>
  <c r="B270" i="8" s="1"/>
  <c r="AX269" i="8"/>
  <c r="AW269" i="8"/>
  <c r="AV269" i="8"/>
  <c r="AU269" i="8"/>
  <c r="AT269" i="8"/>
  <c r="AS269" i="8"/>
  <c r="AR269" i="8"/>
  <c r="AQ269" i="8"/>
  <c r="AP269" i="8"/>
  <c r="AO269" i="8"/>
  <c r="AN269" i="8"/>
  <c r="AM269" i="8"/>
  <c r="AL269" i="8"/>
  <c r="AK269" i="8"/>
  <c r="AJ269" i="8"/>
  <c r="AI269" i="8"/>
  <c r="AH269" i="8"/>
  <c r="AG269" i="8"/>
  <c r="AF269" i="8"/>
  <c r="AE269" i="8"/>
  <c r="AD269" i="8"/>
  <c r="AC269" i="8"/>
  <c r="AB269" i="8"/>
  <c r="AA269" i="8"/>
  <c r="Z269" i="8"/>
  <c r="Y269" i="8"/>
  <c r="X269" i="8"/>
  <c r="W269" i="8"/>
  <c r="V269" i="8"/>
  <c r="U269" i="8"/>
  <c r="T269" i="8"/>
  <c r="S269" i="8"/>
  <c r="R269" i="8"/>
  <c r="Q269" i="8"/>
  <c r="P269" i="8"/>
  <c r="O269" i="8"/>
  <c r="N269" i="8"/>
  <c r="M269" i="8"/>
  <c r="L269" i="8"/>
  <c r="K269" i="8"/>
  <c r="J269" i="8"/>
  <c r="I269" i="8"/>
  <c r="H269" i="8"/>
  <c r="G269" i="8"/>
  <c r="F269" i="8"/>
  <c r="E269" i="8"/>
  <c r="D269" i="8"/>
  <c r="A269" i="8"/>
  <c r="B269" i="8" s="1"/>
  <c r="AX268" i="8"/>
  <c r="AW268" i="8"/>
  <c r="AV268" i="8"/>
  <c r="AU268" i="8"/>
  <c r="AT268" i="8"/>
  <c r="AS268" i="8"/>
  <c r="AR268" i="8"/>
  <c r="AQ268" i="8"/>
  <c r="AP268" i="8"/>
  <c r="AO268" i="8"/>
  <c r="AN268" i="8"/>
  <c r="AM268" i="8"/>
  <c r="AL268" i="8"/>
  <c r="AK268" i="8"/>
  <c r="AJ268" i="8"/>
  <c r="AI268" i="8"/>
  <c r="AH268" i="8"/>
  <c r="AG268" i="8"/>
  <c r="AF268" i="8"/>
  <c r="AE268" i="8"/>
  <c r="AD268" i="8"/>
  <c r="AC268" i="8"/>
  <c r="AB268" i="8"/>
  <c r="AA268" i="8"/>
  <c r="Z268" i="8"/>
  <c r="Y268" i="8"/>
  <c r="X268" i="8"/>
  <c r="W268" i="8"/>
  <c r="V268" i="8"/>
  <c r="U268" i="8"/>
  <c r="T268" i="8"/>
  <c r="S268" i="8"/>
  <c r="R268" i="8"/>
  <c r="Q268" i="8"/>
  <c r="P268" i="8"/>
  <c r="O268" i="8"/>
  <c r="N268" i="8"/>
  <c r="M268" i="8"/>
  <c r="L268" i="8"/>
  <c r="K268" i="8"/>
  <c r="J268" i="8"/>
  <c r="I268" i="8"/>
  <c r="H268" i="8"/>
  <c r="G268" i="8"/>
  <c r="F268" i="8"/>
  <c r="E268" i="8"/>
  <c r="D268" i="8"/>
  <c r="A268" i="8"/>
  <c r="B268" i="8" s="1"/>
  <c r="AX267" i="8"/>
  <c r="AW267" i="8"/>
  <c r="AV267" i="8"/>
  <c r="AU267" i="8"/>
  <c r="AT267" i="8"/>
  <c r="AS267" i="8"/>
  <c r="AR267" i="8"/>
  <c r="AQ267" i="8"/>
  <c r="AP267" i="8"/>
  <c r="AO267" i="8"/>
  <c r="AN267" i="8"/>
  <c r="AM267" i="8"/>
  <c r="AL267" i="8"/>
  <c r="AK267" i="8"/>
  <c r="AJ267" i="8"/>
  <c r="AI267" i="8"/>
  <c r="AH267" i="8"/>
  <c r="AG267" i="8"/>
  <c r="AF267" i="8"/>
  <c r="AE267" i="8"/>
  <c r="AD267" i="8"/>
  <c r="AC267" i="8"/>
  <c r="AB267" i="8"/>
  <c r="AA267" i="8"/>
  <c r="Z267" i="8"/>
  <c r="Y267" i="8"/>
  <c r="X267" i="8"/>
  <c r="W267" i="8"/>
  <c r="V267" i="8"/>
  <c r="U267" i="8"/>
  <c r="T267" i="8"/>
  <c r="S267" i="8"/>
  <c r="R267" i="8"/>
  <c r="Q267" i="8"/>
  <c r="P267" i="8"/>
  <c r="O267" i="8"/>
  <c r="N267" i="8"/>
  <c r="M267" i="8"/>
  <c r="L267" i="8"/>
  <c r="K267" i="8"/>
  <c r="J267" i="8"/>
  <c r="I267" i="8"/>
  <c r="H267" i="8"/>
  <c r="G267" i="8"/>
  <c r="F267" i="8"/>
  <c r="E267" i="8"/>
  <c r="D267" i="8"/>
  <c r="B267" i="8"/>
  <c r="A267" i="8"/>
  <c r="AX266" i="8"/>
  <c r="AW266" i="8"/>
  <c r="AV266" i="8"/>
  <c r="AU266" i="8"/>
  <c r="AT266" i="8"/>
  <c r="AS266" i="8"/>
  <c r="AR266" i="8"/>
  <c r="AQ266" i="8"/>
  <c r="AP266" i="8"/>
  <c r="AO266" i="8"/>
  <c r="AN266" i="8"/>
  <c r="AM266" i="8"/>
  <c r="AL266" i="8"/>
  <c r="AK266" i="8"/>
  <c r="AJ266" i="8"/>
  <c r="AI266" i="8"/>
  <c r="AH266" i="8"/>
  <c r="AG266" i="8"/>
  <c r="AF266" i="8"/>
  <c r="AE266" i="8"/>
  <c r="AD266" i="8"/>
  <c r="AC266" i="8"/>
  <c r="AB266" i="8"/>
  <c r="AA266" i="8"/>
  <c r="Z266" i="8"/>
  <c r="Y266" i="8"/>
  <c r="X266" i="8"/>
  <c r="W266" i="8"/>
  <c r="V266" i="8"/>
  <c r="U266" i="8"/>
  <c r="T266" i="8"/>
  <c r="S266" i="8"/>
  <c r="R266" i="8"/>
  <c r="Q266" i="8"/>
  <c r="P266" i="8"/>
  <c r="O266" i="8"/>
  <c r="N266" i="8"/>
  <c r="M266" i="8"/>
  <c r="L266" i="8"/>
  <c r="K266" i="8"/>
  <c r="J266" i="8"/>
  <c r="I266" i="8"/>
  <c r="H266" i="8"/>
  <c r="G266" i="8"/>
  <c r="F266" i="8"/>
  <c r="E266" i="8"/>
  <c r="D266" i="8"/>
  <c r="B266" i="8"/>
  <c r="A266" i="8"/>
  <c r="AX265" i="8"/>
  <c r="AW265" i="8"/>
  <c r="AV265" i="8"/>
  <c r="AU265" i="8"/>
  <c r="AT265" i="8"/>
  <c r="AS265" i="8"/>
  <c r="AR265" i="8"/>
  <c r="AQ265" i="8"/>
  <c r="AP265" i="8"/>
  <c r="AO265" i="8"/>
  <c r="AN265" i="8"/>
  <c r="AM265" i="8"/>
  <c r="AL265" i="8"/>
  <c r="AK265" i="8"/>
  <c r="AJ265" i="8"/>
  <c r="AI265" i="8"/>
  <c r="AH265" i="8"/>
  <c r="AG265" i="8"/>
  <c r="AF265" i="8"/>
  <c r="AE265" i="8"/>
  <c r="AD265" i="8"/>
  <c r="AC265" i="8"/>
  <c r="AB265" i="8"/>
  <c r="AA265" i="8"/>
  <c r="Z265" i="8"/>
  <c r="Y265" i="8"/>
  <c r="X265" i="8"/>
  <c r="W265" i="8"/>
  <c r="V265" i="8"/>
  <c r="U265" i="8"/>
  <c r="T265" i="8"/>
  <c r="S265" i="8"/>
  <c r="R265" i="8"/>
  <c r="Q265" i="8"/>
  <c r="P265" i="8"/>
  <c r="O265" i="8"/>
  <c r="N265" i="8"/>
  <c r="M265" i="8"/>
  <c r="L265" i="8"/>
  <c r="K265" i="8"/>
  <c r="J265" i="8"/>
  <c r="I265" i="8"/>
  <c r="H265" i="8"/>
  <c r="G265" i="8"/>
  <c r="F265" i="8"/>
  <c r="E265" i="8"/>
  <c r="D265" i="8"/>
  <c r="A265" i="8"/>
  <c r="B265" i="8" s="1"/>
  <c r="AX264" i="8"/>
  <c r="AW264" i="8"/>
  <c r="AV264" i="8"/>
  <c r="AU264" i="8"/>
  <c r="AT264" i="8"/>
  <c r="AS264" i="8"/>
  <c r="AR264" i="8"/>
  <c r="AQ264" i="8"/>
  <c r="AP264" i="8"/>
  <c r="AO264" i="8"/>
  <c r="AN264" i="8"/>
  <c r="AM264" i="8"/>
  <c r="AL264" i="8"/>
  <c r="AK264" i="8"/>
  <c r="AJ264" i="8"/>
  <c r="AI264" i="8"/>
  <c r="AH264" i="8"/>
  <c r="AG264" i="8"/>
  <c r="AF264" i="8"/>
  <c r="AE264" i="8"/>
  <c r="AD264" i="8"/>
  <c r="AC264" i="8"/>
  <c r="AB264" i="8"/>
  <c r="AA264" i="8"/>
  <c r="Z264" i="8"/>
  <c r="Y264" i="8"/>
  <c r="X264" i="8"/>
  <c r="W264" i="8"/>
  <c r="V264" i="8"/>
  <c r="U264" i="8"/>
  <c r="T264" i="8"/>
  <c r="S264" i="8"/>
  <c r="R264" i="8"/>
  <c r="Q264" i="8"/>
  <c r="P264" i="8"/>
  <c r="O264" i="8"/>
  <c r="N264" i="8"/>
  <c r="M264" i="8"/>
  <c r="L264" i="8"/>
  <c r="K264" i="8"/>
  <c r="J264" i="8"/>
  <c r="I264" i="8"/>
  <c r="H264" i="8"/>
  <c r="G264" i="8"/>
  <c r="F264" i="8"/>
  <c r="E264" i="8"/>
  <c r="D264" i="8"/>
  <c r="A264" i="8"/>
  <c r="B264" i="8" s="1"/>
  <c r="AX263" i="8"/>
  <c r="AW263" i="8"/>
  <c r="AV263" i="8"/>
  <c r="AU263" i="8"/>
  <c r="AT263" i="8"/>
  <c r="AS263" i="8"/>
  <c r="AR263" i="8"/>
  <c r="AQ263" i="8"/>
  <c r="AP263" i="8"/>
  <c r="AO263" i="8"/>
  <c r="AN263" i="8"/>
  <c r="AM263" i="8"/>
  <c r="AL263" i="8"/>
  <c r="AK263" i="8"/>
  <c r="AJ263" i="8"/>
  <c r="AI263" i="8"/>
  <c r="AH263" i="8"/>
  <c r="AG263" i="8"/>
  <c r="AF263" i="8"/>
  <c r="AE263" i="8"/>
  <c r="AD263" i="8"/>
  <c r="AC263" i="8"/>
  <c r="AB263" i="8"/>
  <c r="AA263" i="8"/>
  <c r="Z263" i="8"/>
  <c r="Y263" i="8"/>
  <c r="X263" i="8"/>
  <c r="W263" i="8"/>
  <c r="V263" i="8"/>
  <c r="U263" i="8"/>
  <c r="T263" i="8"/>
  <c r="S263" i="8"/>
  <c r="R263" i="8"/>
  <c r="Q263" i="8"/>
  <c r="P263" i="8"/>
  <c r="O263" i="8"/>
  <c r="N263" i="8"/>
  <c r="M263" i="8"/>
  <c r="L263" i="8"/>
  <c r="K263" i="8"/>
  <c r="J263" i="8"/>
  <c r="I263" i="8"/>
  <c r="H263" i="8"/>
  <c r="G263" i="8"/>
  <c r="F263" i="8"/>
  <c r="E263" i="8"/>
  <c r="D263" i="8"/>
  <c r="B263" i="8"/>
  <c r="A263" i="8"/>
  <c r="AX262" i="8"/>
  <c r="AW262" i="8"/>
  <c r="AV262" i="8"/>
  <c r="AU262" i="8"/>
  <c r="AT262" i="8"/>
  <c r="AS262" i="8"/>
  <c r="AR262" i="8"/>
  <c r="AQ262" i="8"/>
  <c r="AP262" i="8"/>
  <c r="AO262" i="8"/>
  <c r="AN262" i="8"/>
  <c r="AM262" i="8"/>
  <c r="AL262" i="8"/>
  <c r="AK262" i="8"/>
  <c r="AJ262" i="8"/>
  <c r="AI262" i="8"/>
  <c r="AH262" i="8"/>
  <c r="AG262" i="8"/>
  <c r="AF262" i="8"/>
  <c r="AE262" i="8"/>
  <c r="AD262" i="8"/>
  <c r="AC262" i="8"/>
  <c r="AB262" i="8"/>
  <c r="AA262" i="8"/>
  <c r="Z262" i="8"/>
  <c r="Y262" i="8"/>
  <c r="X262" i="8"/>
  <c r="W262" i="8"/>
  <c r="V262" i="8"/>
  <c r="U262" i="8"/>
  <c r="T262" i="8"/>
  <c r="S262" i="8"/>
  <c r="R262" i="8"/>
  <c r="Q262" i="8"/>
  <c r="P262" i="8"/>
  <c r="O262" i="8"/>
  <c r="N262" i="8"/>
  <c r="M262" i="8"/>
  <c r="L262" i="8"/>
  <c r="K262" i="8"/>
  <c r="J262" i="8"/>
  <c r="I262" i="8"/>
  <c r="H262" i="8"/>
  <c r="G262" i="8"/>
  <c r="F262" i="8"/>
  <c r="E262" i="8"/>
  <c r="D262" i="8"/>
  <c r="A262" i="8"/>
  <c r="B262" i="8" s="1"/>
  <c r="AX261" i="8"/>
  <c r="AW261" i="8"/>
  <c r="AV261" i="8"/>
  <c r="AU261" i="8"/>
  <c r="AT261" i="8"/>
  <c r="AS261" i="8"/>
  <c r="AR261" i="8"/>
  <c r="AQ261" i="8"/>
  <c r="AP261" i="8"/>
  <c r="AO261" i="8"/>
  <c r="AN261" i="8"/>
  <c r="AM261" i="8"/>
  <c r="AL261" i="8"/>
  <c r="AK261" i="8"/>
  <c r="AJ261" i="8"/>
  <c r="AI261" i="8"/>
  <c r="AH261" i="8"/>
  <c r="AG261" i="8"/>
  <c r="AF261" i="8"/>
  <c r="AE261" i="8"/>
  <c r="AD261" i="8"/>
  <c r="AC261" i="8"/>
  <c r="AB261" i="8"/>
  <c r="AA261" i="8"/>
  <c r="Z261" i="8"/>
  <c r="Y261" i="8"/>
  <c r="X261" i="8"/>
  <c r="W261" i="8"/>
  <c r="V261" i="8"/>
  <c r="U261" i="8"/>
  <c r="T261" i="8"/>
  <c r="S261" i="8"/>
  <c r="R261" i="8"/>
  <c r="Q261" i="8"/>
  <c r="P261" i="8"/>
  <c r="O261" i="8"/>
  <c r="N261" i="8"/>
  <c r="M261" i="8"/>
  <c r="L261" i="8"/>
  <c r="K261" i="8"/>
  <c r="J261" i="8"/>
  <c r="I261" i="8"/>
  <c r="H261" i="8"/>
  <c r="G261" i="8"/>
  <c r="F261" i="8"/>
  <c r="E261" i="8"/>
  <c r="D261" i="8"/>
  <c r="A261" i="8"/>
  <c r="B261" i="8" s="1"/>
  <c r="AX260" i="8"/>
  <c r="AW260" i="8"/>
  <c r="AV260" i="8"/>
  <c r="AU260" i="8"/>
  <c r="AT260" i="8"/>
  <c r="AS260" i="8"/>
  <c r="AR260" i="8"/>
  <c r="AQ260" i="8"/>
  <c r="AP260" i="8"/>
  <c r="AO260" i="8"/>
  <c r="AN260" i="8"/>
  <c r="AM260" i="8"/>
  <c r="AL260" i="8"/>
  <c r="AK260" i="8"/>
  <c r="AJ260" i="8"/>
  <c r="AI260" i="8"/>
  <c r="AH260" i="8"/>
  <c r="AG260" i="8"/>
  <c r="AF260" i="8"/>
  <c r="AE260" i="8"/>
  <c r="AD260" i="8"/>
  <c r="AC260" i="8"/>
  <c r="AB260" i="8"/>
  <c r="AA260" i="8"/>
  <c r="Z260" i="8"/>
  <c r="Y260" i="8"/>
  <c r="X260" i="8"/>
  <c r="W260" i="8"/>
  <c r="V260" i="8"/>
  <c r="U260" i="8"/>
  <c r="T260" i="8"/>
  <c r="S260" i="8"/>
  <c r="R260" i="8"/>
  <c r="Q260" i="8"/>
  <c r="P260" i="8"/>
  <c r="O260" i="8"/>
  <c r="N260" i="8"/>
  <c r="M260" i="8"/>
  <c r="L260" i="8"/>
  <c r="K260" i="8"/>
  <c r="J260" i="8"/>
  <c r="I260" i="8"/>
  <c r="H260" i="8"/>
  <c r="G260" i="8"/>
  <c r="F260" i="8"/>
  <c r="E260" i="8"/>
  <c r="D260" i="8"/>
  <c r="A260" i="8"/>
  <c r="B260" i="8" s="1"/>
  <c r="AX259" i="8"/>
  <c r="AW259" i="8"/>
  <c r="AV259" i="8"/>
  <c r="AU259" i="8"/>
  <c r="AT259" i="8"/>
  <c r="AS259" i="8"/>
  <c r="AR259" i="8"/>
  <c r="AQ259" i="8"/>
  <c r="AP259" i="8"/>
  <c r="AO259" i="8"/>
  <c r="AN259" i="8"/>
  <c r="AM259" i="8"/>
  <c r="AL259" i="8"/>
  <c r="AK259" i="8"/>
  <c r="AJ259" i="8"/>
  <c r="AI259" i="8"/>
  <c r="AH259" i="8"/>
  <c r="AG259" i="8"/>
  <c r="AF259" i="8"/>
  <c r="AE259" i="8"/>
  <c r="AD259" i="8"/>
  <c r="AC259" i="8"/>
  <c r="AB259" i="8"/>
  <c r="AA259" i="8"/>
  <c r="Z259" i="8"/>
  <c r="Y259" i="8"/>
  <c r="X259" i="8"/>
  <c r="W259" i="8"/>
  <c r="V259" i="8"/>
  <c r="U259" i="8"/>
  <c r="T259" i="8"/>
  <c r="S259" i="8"/>
  <c r="R259" i="8"/>
  <c r="Q259" i="8"/>
  <c r="P259" i="8"/>
  <c r="O259" i="8"/>
  <c r="N259" i="8"/>
  <c r="M259" i="8"/>
  <c r="L259" i="8"/>
  <c r="K259" i="8"/>
  <c r="J259" i="8"/>
  <c r="I259" i="8"/>
  <c r="H259" i="8"/>
  <c r="G259" i="8"/>
  <c r="F259" i="8"/>
  <c r="E259" i="8"/>
  <c r="D259" i="8"/>
  <c r="B259" i="8"/>
  <c r="A259" i="8"/>
  <c r="AX258" i="8"/>
  <c r="AW258" i="8"/>
  <c r="AV258" i="8"/>
  <c r="AU258" i="8"/>
  <c r="AT258" i="8"/>
  <c r="AS258" i="8"/>
  <c r="AR258" i="8"/>
  <c r="AQ258" i="8"/>
  <c r="AP258" i="8"/>
  <c r="AO258" i="8"/>
  <c r="AN258" i="8"/>
  <c r="AM258" i="8"/>
  <c r="AL258" i="8"/>
  <c r="AK258" i="8"/>
  <c r="AJ258" i="8"/>
  <c r="AI258" i="8"/>
  <c r="AH258" i="8"/>
  <c r="AG258" i="8"/>
  <c r="AF258" i="8"/>
  <c r="AE258" i="8"/>
  <c r="AD258" i="8"/>
  <c r="AC258" i="8"/>
  <c r="AB258" i="8"/>
  <c r="AA258" i="8"/>
  <c r="Z258" i="8"/>
  <c r="Y258" i="8"/>
  <c r="X258" i="8"/>
  <c r="W258" i="8"/>
  <c r="V258" i="8"/>
  <c r="U258" i="8"/>
  <c r="T258" i="8"/>
  <c r="S258" i="8"/>
  <c r="R258" i="8"/>
  <c r="Q258" i="8"/>
  <c r="P258" i="8"/>
  <c r="O258" i="8"/>
  <c r="N258" i="8"/>
  <c r="M258" i="8"/>
  <c r="L258" i="8"/>
  <c r="K258" i="8"/>
  <c r="J258" i="8"/>
  <c r="I258" i="8"/>
  <c r="H258" i="8"/>
  <c r="G258" i="8"/>
  <c r="F258" i="8"/>
  <c r="E258" i="8"/>
  <c r="D258" i="8"/>
  <c r="B258" i="8"/>
  <c r="A258" i="8"/>
  <c r="AX257" i="8"/>
  <c r="AW257" i="8"/>
  <c r="AV257" i="8"/>
  <c r="AU257" i="8"/>
  <c r="AT257" i="8"/>
  <c r="AS257" i="8"/>
  <c r="AR257" i="8"/>
  <c r="AQ257" i="8"/>
  <c r="AP257" i="8"/>
  <c r="AO257" i="8"/>
  <c r="AN257" i="8"/>
  <c r="AM257" i="8"/>
  <c r="AL257" i="8"/>
  <c r="AK257" i="8"/>
  <c r="AJ257" i="8"/>
  <c r="AI257" i="8"/>
  <c r="AH257" i="8"/>
  <c r="AG257" i="8"/>
  <c r="AF257" i="8"/>
  <c r="AE257" i="8"/>
  <c r="AD257" i="8"/>
  <c r="AC257" i="8"/>
  <c r="AB257" i="8"/>
  <c r="AA257" i="8"/>
  <c r="Z257" i="8"/>
  <c r="Y257" i="8"/>
  <c r="X257" i="8"/>
  <c r="W257" i="8"/>
  <c r="V257" i="8"/>
  <c r="U257" i="8"/>
  <c r="T257" i="8"/>
  <c r="S257" i="8"/>
  <c r="R257" i="8"/>
  <c r="Q257" i="8"/>
  <c r="P257" i="8"/>
  <c r="O257" i="8"/>
  <c r="N257" i="8"/>
  <c r="M257" i="8"/>
  <c r="L257" i="8"/>
  <c r="K257" i="8"/>
  <c r="J257" i="8"/>
  <c r="I257" i="8"/>
  <c r="H257" i="8"/>
  <c r="G257" i="8"/>
  <c r="F257" i="8"/>
  <c r="E257" i="8"/>
  <c r="D257" i="8"/>
  <c r="A257" i="8"/>
  <c r="B257" i="8" s="1"/>
  <c r="AX256" i="8"/>
  <c r="AW256" i="8"/>
  <c r="AV256" i="8"/>
  <c r="AU256" i="8"/>
  <c r="AT256" i="8"/>
  <c r="AS256" i="8"/>
  <c r="AR256" i="8"/>
  <c r="AQ256" i="8"/>
  <c r="AP256" i="8"/>
  <c r="AO256" i="8"/>
  <c r="AN256" i="8"/>
  <c r="AM256" i="8"/>
  <c r="AL256" i="8"/>
  <c r="AK256" i="8"/>
  <c r="AJ256" i="8"/>
  <c r="AI256" i="8"/>
  <c r="AH256" i="8"/>
  <c r="AG256" i="8"/>
  <c r="AF256" i="8"/>
  <c r="AE256" i="8"/>
  <c r="AD256" i="8"/>
  <c r="AC256" i="8"/>
  <c r="AB256" i="8"/>
  <c r="AA256" i="8"/>
  <c r="Z256" i="8"/>
  <c r="Y256" i="8"/>
  <c r="X256" i="8"/>
  <c r="W256" i="8"/>
  <c r="V256" i="8"/>
  <c r="U256" i="8"/>
  <c r="T256" i="8"/>
  <c r="S256" i="8"/>
  <c r="R256" i="8"/>
  <c r="Q256" i="8"/>
  <c r="P256" i="8"/>
  <c r="O256" i="8"/>
  <c r="N256" i="8"/>
  <c r="M256" i="8"/>
  <c r="L256" i="8"/>
  <c r="K256" i="8"/>
  <c r="J256" i="8"/>
  <c r="I256" i="8"/>
  <c r="H256" i="8"/>
  <c r="G256" i="8"/>
  <c r="F256" i="8"/>
  <c r="E256" i="8"/>
  <c r="D256" i="8"/>
  <c r="A256" i="8"/>
  <c r="B256" i="8" s="1"/>
  <c r="AX255" i="8"/>
  <c r="AW255" i="8"/>
  <c r="AV255" i="8"/>
  <c r="AU255" i="8"/>
  <c r="AT255" i="8"/>
  <c r="AS255" i="8"/>
  <c r="AR255" i="8"/>
  <c r="AQ255" i="8"/>
  <c r="AP255" i="8"/>
  <c r="AO255" i="8"/>
  <c r="AN255" i="8"/>
  <c r="AM255" i="8"/>
  <c r="AL255" i="8"/>
  <c r="AK255" i="8"/>
  <c r="AJ255" i="8"/>
  <c r="AI255" i="8"/>
  <c r="AH255" i="8"/>
  <c r="AG255" i="8"/>
  <c r="AF255" i="8"/>
  <c r="AE255" i="8"/>
  <c r="AD255" i="8"/>
  <c r="AC255" i="8"/>
  <c r="AB255" i="8"/>
  <c r="AA255" i="8"/>
  <c r="Z255" i="8"/>
  <c r="Y255" i="8"/>
  <c r="X255" i="8"/>
  <c r="W255" i="8"/>
  <c r="V255" i="8"/>
  <c r="U255" i="8"/>
  <c r="T255" i="8"/>
  <c r="S255" i="8"/>
  <c r="R255" i="8"/>
  <c r="Q255" i="8"/>
  <c r="P255" i="8"/>
  <c r="O255" i="8"/>
  <c r="N255" i="8"/>
  <c r="M255" i="8"/>
  <c r="L255" i="8"/>
  <c r="K255" i="8"/>
  <c r="J255" i="8"/>
  <c r="I255" i="8"/>
  <c r="H255" i="8"/>
  <c r="G255" i="8"/>
  <c r="F255" i="8"/>
  <c r="E255" i="8"/>
  <c r="D255" i="8"/>
  <c r="B255" i="8"/>
  <c r="A255" i="8"/>
  <c r="AX254" i="8"/>
  <c r="AW254" i="8"/>
  <c r="AV254" i="8"/>
  <c r="AU254" i="8"/>
  <c r="AT254" i="8"/>
  <c r="AS254" i="8"/>
  <c r="AR254" i="8"/>
  <c r="AQ254" i="8"/>
  <c r="AP254" i="8"/>
  <c r="AO254" i="8"/>
  <c r="AN254" i="8"/>
  <c r="AM254" i="8"/>
  <c r="AL254" i="8"/>
  <c r="AK254" i="8"/>
  <c r="AJ254" i="8"/>
  <c r="AI254" i="8"/>
  <c r="AH254" i="8"/>
  <c r="AG254" i="8"/>
  <c r="AF254" i="8"/>
  <c r="AE254" i="8"/>
  <c r="AD254" i="8"/>
  <c r="AC254" i="8"/>
  <c r="AB254" i="8"/>
  <c r="AA254" i="8"/>
  <c r="Z254" i="8"/>
  <c r="Y254" i="8"/>
  <c r="X254" i="8"/>
  <c r="W254" i="8"/>
  <c r="V254" i="8"/>
  <c r="U254" i="8"/>
  <c r="T254" i="8"/>
  <c r="S254" i="8"/>
  <c r="R254" i="8"/>
  <c r="Q254" i="8"/>
  <c r="P254" i="8"/>
  <c r="O254" i="8"/>
  <c r="N254" i="8"/>
  <c r="M254" i="8"/>
  <c r="L254" i="8"/>
  <c r="K254" i="8"/>
  <c r="J254" i="8"/>
  <c r="I254" i="8"/>
  <c r="H254" i="8"/>
  <c r="G254" i="8"/>
  <c r="F254" i="8"/>
  <c r="E254" i="8"/>
  <c r="D254" i="8"/>
  <c r="A254" i="8"/>
  <c r="B254" i="8" s="1"/>
  <c r="AX253" i="8"/>
  <c r="AW253" i="8"/>
  <c r="AV253" i="8"/>
  <c r="AU253" i="8"/>
  <c r="AT253" i="8"/>
  <c r="AS253" i="8"/>
  <c r="AR253" i="8"/>
  <c r="AQ253" i="8"/>
  <c r="AP253" i="8"/>
  <c r="AO253" i="8"/>
  <c r="AN253" i="8"/>
  <c r="AM253" i="8"/>
  <c r="AL253" i="8"/>
  <c r="AK253" i="8"/>
  <c r="AJ253" i="8"/>
  <c r="AI253" i="8"/>
  <c r="AH253" i="8"/>
  <c r="AG253" i="8"/>
  <c r="AF253" i="8"/>
  <c r="AE253" i="8"/>
  <c r="AD253" i="8"/>
  <c r="AC253" i="8"/>
  <c r="AB253" i="8"/>
  <c r="AA253" i="8"/>
  <c r="Z253" i="8"/>
  <c r="Y253" i="8"/>
  <c r="X253" i="8"/>
  <c r="W253" i="8"/>
  <c r="V253" i="8"/>
  <c r="U253" i="8"/>
  <c r="T253" i="8"/>
  <c r="S253" i="8"/>
  <c r="R253" i="8"/>
  <c r="Q253" i="8"/>
  <c r="P253" i="8"/>
  <c r="O253" i="8"/>
  <c r="N253" i="8"/>
  <c r="M253" i="8"/>
  <c r="L253" i="8"/>
  <c r="K253" i="8"/>
  <c r="J253" i="8"/>
  <c r="I253" i="8"/>
  <c r="H253" i="8"/>
  <c r="G253" i="8"/>
  <c r="F253" i="8"/>
  <c r="E253" i="8"/>
  <c r="D253" i="8"/>
  <c r="A253" i="8"/>
  <c r="B253" i="8" s="1"/>
  <c r="AX252" i="8"/>
  <c r="AW252" i="8"/>
  <c r="AV252" i="8"/>
  <c r="AU252" i="8"/>
  <c r="AT252" i="8"/>
  <c r="AS252" i="8"/>
  <c r="AR252" i="8"/>
  <c r="AQ252" i="8"/>
  <c r="AP252" i="8"/>
  <c r="AO252" i="8"/>
  <c r="AN252" i="8"/>
  <c r="AM252" i="8"/>
  <c r="AL252" i="8"/>
  <c r="AK252" i="8"/>
  <c r="AJ252" i="8"/>
  <c r="AI252" i="8"/>
  <c r="AH252" i="8"/>
  <c r="AG252" i="8"/>
  <c r="AF252" i="8"/>
  <c r="AE252" i="8"/>
  <c r="AD252" i="8"/>
  <c r="AC252" i="8"/>
  <c r="AB252" i="8"/>
  <c r="AA252" i="8"/>
  <c r="Z252" i="8"/>
  <c r="Y252" i="8"/>
  <c r="X252" i="8"/>
  <c r="W252" i="8"/>
  <c r="V252" i="8"/>
  <c r="U252" i="8"/>
  <c r="T252" i="8"/>
  <c r="S252" i="8"/>
  <c r="R252" i="8"/>
  <c r="Q252" i="8"/>
  <c r="P252" i="8"/>
  <c r="O252" i="8"/>
  <c r="N252" i="8"/>
  <c r="M252" i="8"/>
  <c r="L252" i="8"/>
  <c r="K252" i="8"/>
  <c r="J252" i="8"/>
  <c r="I252" i="8"/>
  <c r="H252" i="8"/>
  <c r="G252" i="8"/>
  <c r="F252" i="8"/>
  <c r="E252" i="8"/>
  <c r="D252" i="8"/>
  <c r="A252" i="8"/>
  <c r="B252" i="8" s="1"/>
  <c r="AX251" i="8"/>
  <c r="AW251" i="8"/>
  <c r="AV251" i="8"/>
  <c r="AU251" i="8"/>
  <c r="AT251" i="8"/>
  <c r="AS251" i="8"/>
  <c r="AR251" i="8"/>
  <c r="AQ251" i="8"/>
  <c r="AP251" i="8"/>
  <c r="AO251" i="8"/>
  <c r="AN251" i="8"/>
  <c r="AM251" i="8"/>
  <c r="AL251" i="8"/>
  <c r="AK251" i="8"/>
  <c r="AJ251" i="8"/>
  <c r="AI251" i="8"/>
  <c r="AH251" i="8"/>
  <c r="AG251" i="8"/>
  <c r="AF251" i="8"/>
  <c r="AE251" i="8"/>
  <c r="AD251" i="8"/>
  <c r="AC251" i="8"/>
  <c r="AB251" i="8"/>
  <c r="AA251" i="8"/>
  <c r="Z251" i="8"/>
  <c r="Y251" i="8"/>
  <c r="X251" i="8"/>
  <c r="W251" i="8"/>
  <c r="V251" i="8"/>
  <c r="U251" i="8"/>
  <c r="T251" i="8"/>
  <c r="S251" i="8"/>
  <c r="R251" i="8"/>
  <c r="Q251" i="8"/>
  <c r="P251" i="8"/>
  <c r="O251" i="8"/>
  <c r="N251" i="8"/>
  <c r="M251" i="8"/>
  <c r="L251" i="8"/>
  <c r="K251" i="8"/>
  <c r="J251" i="8"/>
  <c r="I251" i="8"/>
  <c r="H251" i="8"/>
  <c r="G251" i="8"/>
  <c r="F251" i="8"/>
  <c r="E251" i="8"/>
  <c r="D251" i="8"/>
  <c r="B251" i="8"/>
  <c r="A251" i="8"/>
  <c r="AX250" i="8"/>
  <c r="AW250" i="8"/>
  <c r="AV250" i="8"/>
  <c r="AU250" i="8"/>
  <c r="AT250" i="8"/>
  <c r="AS250" i="8"/>
  <c r="AR250" i="8"/>
  <c r="AQ250" i="8"/>
  <c r="AP250" i="8"/>
  <c r="AO250" i="8"/>
  <c r="AN250" i="8"/>
  <c r="AM250" i="8"/>
  <c r="AL250" i="8"/>
  <c r="AK250" i="8"/>
  <c r="AJ250" i="8"/>
  <c r="AI250" i="8"/>
  <c r="AH250" i="8"/>
  <c r="AG250" i="8"/>
  <c r="AF250" i="8"/>
  <c r="AE250" i="8"/>
  <c r="AD250" i="8"/>
  <c r="AC250" i="8"/>
  <c r="AB250" i="8"/>
  <c r="AA250" i="8"/>
  <c r="Z250" i="8"/>
  <c r="Y250" i="8"/>
  <c r="X250" i="8"/>
  <c r="W250" i="8"/>
  <c r="V250" i="8"/>
  <c r="U250" i="8"/>
  <c r="T250" i="8"/>
  <c r="S250" i="8"/>
  <c r="R250" i="8"/>
  <c r="Q250" i="8"/>
  <c r="P250" i="8"/>
  <c r="O250" i="8"/>
  <c r="N250" i="8"/>
  <c r="M250" i="8"/>
  <c r="L250" i="8"/>
  <c r="K250" i="8"/>
  <c r="J250" i="8"/>
  <c r="I250" i="8"/>
  <c r="H250" i="8"/>
  <c r="G250" i="8"/>
  <c r="F250" i="8"/>
  <c r="E250" i="8"/>
  <c r="D250" i="8"/>
  <c r="B250" i="8"/>
  <c r="A250" i="8"/>
  <c r="AX249" i="8"/>
  <c r="AW249" i="8"/>
  <c r="AV249" i="8"/>
  <c r="AU249" i="8"/>
  <c r="AT249" i="8"/>
  <c r="AS249" i="8"/>
  <c r="AR249" i="8"/>
  <c r="AQ249" i="8"/>
  <c r="AP249" i="8"/>
  <c r="AO249" i="8"/>
  <c r="AN249" i="8"/>
  <c r="AM249" i="8"/>
  <c r="AL249" i="8"/>
  <c r="AK249" i="8"/>
  <c r="AJ249" i="8"/>
  <c r="AI249" i="8"/>
  <c r="AH249" i="8"/>
  <c r="AG249" i="8"/>
  <c r="AF249" i="8"/>
  <c r="AE249" i="8"/>
  <c r="AD249" i="8"/>
  <c r="AC249" i="8"/>
  <c r="AB249" i="8"/>
  <c r="AA249" i="8"/>
  <c r="Z249" i="8"/>
  <c r="Y249" i="8"/>
  <c r="X249" i="8"/>
  <c r="W249" i="8"/>
  <c r="V249" i="8"/>
  <c r="U249" i="8"/>
  <c r="T249" i="8"/>
  <c r="S249" i="8"/>
  <c r="R249" i="8"/>
  <c r="Q249" i="8"/>
  <c r="P249" i="8"/>
  <c r="O249" i="8"/>
  <c r="N249" i="8"/>
  <c r="M249" i="8"/>
  <c r="L249" i="8"/>
  <c r="K249" i="8"/>
  <c r="J249" i="8"/>
  <c r="I249" i="8"/>
  <c r="H249" i="8"/>
  <c r="G249" i="8"/>
  <c r="F249" i="8"/>
  <c r="E249" i="8"/>
  <c r="D249" i="8"/>
  <c r="A249" i="8"/>
  <c r="B249" i="8" s="1"/>
  <c r="AX248" i="8"/>
  <c r="AW248" i="8"/>
  <c r="AV248" i="8"/>
  <c r="AU248" i="8"/>
  <c r="AT248" i="8"/>
  <c r="AS248" i="8"/>
  <c r="AR248" i="8"/>
  <c r="AQ248" i="8"/>
  <c r="AP248" i="8"/>
  <c r="AO248" i="8"/>
  <c r="AN248" i="8"/>
  <c r="AM248" i="8"/>
  <c r="AL248" i="8"/>
  <c r="AK248" i="8"/>
  <c r="AJ248" i="8"/>
  <c r="AI248" i="8"/>
  <c r="AH248" i="8"/>
  <c r="AG248" i="8"/>
  <c r="AF248" i="8"/>
  <c r="AE248" i="8"/>
  <c r="AD248" i="8"/>
  <c r="AC248" i="8"/>
  <c r="AB248" i="8"/>
  <c r="AA248" i="8"/>
  <c r="Z248" i="8"/>
  <c r="Y248" i="8"/>
  <c r="X248" i="8"/>
  <c r="W248" i="8"/>
  <c r="V248" i="8"/>
  <c r="U248" i="8"/>
  <c r="T248" i="8"/>
  <c r="S248" i="8"/>
  <c r="R248" i="8"/>
  <c r="Q248" i="8"/>
  <c r="P248" i="8"/>
  <c r="O248" i="8"/>
  <c r="N248" i="8"/>
  <c r="M248" i="8"/>
  <c r="L248" i="8"/>
  <c r="K248" i="8"/>
  <c r="J248" i="8"/>
  <c r="I248" i="8"/>
  <c r="H248" i="8"/>
  <c r="G248" i="8"/>
  <c r="F248" i="8"/>
  <c r="E248" i="8"/>
  <c r="D248" i="8"/>
  <c r="A248" i="8"/>
  <c r="B248" i="8" s="1"/>
  <c r="AX247" i="8"/>
  <c r="AW247" i="8"/>
  <c r="AV247" i="8"/>
  <c r="AU247" i="8"/>
  <c r="AT247" i="8"/>
  <c r="AS247" i="8"/>
  <c r="AR247" i="8"/>
  <c r="AQ247" i="8"/>
  <c r="AP247" i="8"/>
  <c r="AO247" i="8"/>
  <c r="AN247" i="8"/>
  <c r="AM247" i="8"/>
  <c r="AL247" i="8"/>
  <c r="AK247" i="8"/>
  <c r="AJ247" i="8"/>
  <c r="AI247" i="8"/>
  <c r="AH247" i="8"/>
  <c r="AG247" i="8"/>
  <c r="AF247" i="8"/>
  <c r="AE247" i="8"/>
  <c r="AD247" i="8"/>
  <c r="AC247" i="8"/>
  <c r="AB247" i="8"/>
  <c r="AA247" i="8"/>
  <c r="Z247" i="8"/>
  <c r="Y247" i="8"/>
  <c r="X247" i="8"/>
  <c r="W247" i="8"/>
  <c r="V247" i="8"/>
  <c r="U247" i="8"/>
  <c r="T247" i="8"/>
  <c r="S247" i="8"/>
  <c r="R247" i="8"/>
  <c r="Q247" i="8"/>
  <c r="P247" i="8"/>
  <c r="O247" i="8"/>
  <c r="N247" i="8"/>
  <c r="M247" i="8"/>
  <c r="L247" i="8"/>
  <c r="K247" i="8"/>
  <c r="J247" i="8"/>
  <c r="I247" i="8"/>
  <c r="H247" i="8"/>
  <c r="G247" i="8"/>
  <c r="F247" i="8"/>
  <c r="E247" i="8"/>
  <c r="D247" i="8"/>
  <c r="B247" i="8"/>
  <c r="A247" i="8"/>
  <c r="AX246" i="8"/>
  <c r="AW246" i="8"/>
  <c r="AV246" i="8"/>
  <c r="AU246" i="8"/>
  <c r="AT246" i="8"/>
  <c r="AS246" i="8"/>
  <c r="AR246" i="8"/>
  <c r="AQ246" i="8"/>
  <c r="AP246" i="8"/>
  <c r="AO246" i="8"/>
  <c r="AN246" i="8"/>
  <c r="AM246" i="8"/>
  <c r="AL246" i="8"/>
  <c r="AK246" i="8"/>
  <c r="AJ246" i="8"/>
  <c r="AI246" i="8"/>
  <c r="AH246" i="8"/>
  <c r="AG246" i="8"/>
  <c r="AF246" i="8"/>
  <c r="AE246" i="8"/>
  <c r="AD246" i="8"/>
  <c r="AC246" i="8"/>
  <c r="AB246" i="8"/>
  <c r="AA246" i="8"/>
  <c r="Z246" i="8"/>
  <c r="Y246" i="8"/>
  <c r="X246" i="8"/>
  <c r="W246" i="8"/>
  <c r="V246" i="8"/>
  <c r="U246" i="8"/>
  <c r="T246" i="8"/>
  <c r="S246" i="8"/>
  <c r="R246" i="8"/>
  <c r="Q246" i="8"/>
  <c r="P246" i="8"/>
  <c r="O246" i="8"/>
  <c r="N246" i="8"/>
  <c r="M246" i="8"/>
  <c r="L246" i="8"/>
  <c r="K246" i="8"/>
  <c r="J246" i="8"/>
  <c r="I246" i="8"/>
  <c r="H246" i="8"/>
  <c r="G246" i="8"/>
  <c r="F246" i="8"/>
  <c r="E246" i="8"/>
  <c r="D246" i="8"/>
  <c r="A246" i="8"/>
  <c r="B246" i="8" s="1"/>
  <c r="AX245" i="8"/>
  <c r="AW245" i="8"/>
  <c r="AV245" i="8"/>
  <c r="AU245" i="8"/>
  <c r="AT245" i="8"/>
  <c r="AS245" i="8"/>
  <c r="AR245" i="8"/>
  <c r="AQ245" i="8"/>
  <c r="AP245" i="8"/>
  <c r="AO245" i="8"/>
  <c r="AN245" i="8"/>
  <c r="AM245" i="8"/>
  <c r="AL245" i="8"/>
  <c r="AK245" i="8"/>
  <c r="AJ245" i="8"/>
  <c r="AI245" i="8"/>
  <c r="AH245" i="8"/>
  <c r="AG245" i="8"/>
  <c r="AF245" i="8"/>
  <c r="AE245" i="8"/>
  <c r="AD245" i="8"/>
  <c r="AC245" i="8"/>
  <c r="AB245" i="8"/>
  <c r="AA245" i="8"/>
  <c r="Z245" i="8"/>
  <c r="Y245" i="8"/>
  <c r="X245" i="8"/>
  <c r="W245" i="8"/>
  <c r="V245" i="8"/>
  <c r="U245" i="8"/>
  <c r="T245" i="8"/>
  <c r="S245" i="8"/>
  <c r="R245" i="8"/>
  <c r="Q245" i="8"/>
  <c r="P245" i="8"/>
  <c r="O245" i="8"/>
  <c r="N245" i="8"/>
  <c r="M245" i="8"/>
  <c r="L245" i="8"/>
  <c r="K245" i="8"/>
  <c r="J245" i="8"/>
  <c r="I245" i="8"/>
  <c r="H245" i="8"/>
  <c r="G245" i="8"/>
  <c r="F245" i="8"/>
  <c r="E245" i="8"/>
  <c r="D245" i="8"/>
  <c r="A245" i="8"/>
  <c r="B245" i="8" s="1"/>
  <c r="AX244" i="8"/>
  <c r="AW244" i="8"/>
  <c r="AV244" i="8"/>
  <c r="AU244" i="8"/>
  <c r="AT244" i="8"/>
  <c r="AS244" i="8"/>
  <c r="AR244" i="8"/>
  <c r="AQ244" i="8"/>
  <c r="AP244" i="8"/>
  <c r="AO244" i="8"/>
  <c r="AN244" i="8"/>
  <c r="AM244" i="8"/>
  <c r="AL244" i="8"/>
  <c r="AK244" i="8"/>
  <c r="AJ244" i="8"/>
  <c r="AI244" i="8"/>
  <c r="AH244" i="8"/>
  <c r="AG244" i="8"/>
  <c r="AF244" i="8"/>
  <c r="AE244" i="8"/>
  <c r="AD244" i="8"/>
  <c r="AC244" i="8"/>
  <c r="AB244" i="8"/>
  <c r="AA244" i="8"/>
  <c r="Z244" i="8"/>
  <c r="Y244" i="8"/>
  <c r="X244" i="8"/>
  <c r="W244" i="8"/>
  <c r="V244" i="8"/>
  <c r="U244" i="8"/>
  <c r="T244" i="8"/>
  <c r="S244" i="8"/>
  <c r="R244" i="8"/>
  <c r="Q244" i="8"/>
  <c r="P244" i="8"/>
  <c r="O244" i="8"/>
  <c r="N244" i="8"/>
  <c r="M244" i="8"/>
  <c r="L244" i="8"/>
  <c r="K244" i="8"/>
  <c r="J244" i="8"/>
  <c r="I244" i="8"/>
  <c r="H244" i="8"/>
  <c r="G244" i="8"/>
  <c r="F244" i="8"/>
  <c r="E244" i="8"/>
  <c r="D244" i="8"/>
  <c r="A244" i="8"/>
  <c r="B244" i="8" s="1"/>
  <c r="AX243" i="8"/>
  <c r="AW243" i="8"/>
  <c r="AV243" i="8"/>
  <c r="AU243" i="8"/>
  <c r="AT243" i="8"/>
  <c r="AS243" i="8"/>
  <c r="AR243" i="8"/>
  <c r="AQ243" i="8"/>
  <c r="AP243" i="8"/>
  <c r="AO243" i="8"/>
  <c r="AN243" i="8"/>
  <c r="AM243" i="8"/>
  <c r="AL243" i="8"/>
  <c r="AK243" i="8"/>
  <c r="AJ243" i="8"/>
  <c r="AI243" i="8"/>
  <c r="AH243" i="8"/>
  <c r="AG243" i="8"/>
  <c r="AF243" i="8"/>
  <c r="AE243" i="8"/>
  <c r="AD243" i="8"/>
  <c r="AC243" i="8"/>
  <c r="AB243" i="8"/>
  <c r="AA243" i="8"/>
  <c r="Z243" i="8"/>
  <c r="Y243" i="8"/>
  <c r="X243" i="8"/>
  <c r="W243" i="8"/>
  <c r="V243" i="8"/>
  <c r="U243" i="8"/>
  <c r="T243" i="8"/>
  <c r="S243" i="8"/>
  <c r="R243" i="8"/>
  <c r="Q243" i="8"/>
  <c r="P243" i="8"/>
  <c r="O243" i="8"/>
  <c r="N243" i="8"/>
  <c r="M243" i="8"/>
  <c r="L243" i="8"/>
  <c r="K243" i="8"/>
  <c r="J243" i="8"/>
  <c r="I243" i="8"/>
  <c r="H243" i="8"/>
  <c r="G243" i="8"/>
  <c r="F243" i="8"/>
  <c r="E243" i="8"/>
  <c r="D243" i="8"/>
  <c r="B243" i="8"/>
  <c r="A243" i="8"/>
  <c r="AX242" i="8"/>
  <c r="AW242" i="8"/>
  <c r="AV242" i="8"/>
  <c r="AU242" i="8"/>
  <c r="AT242" i="8"/>
  <c r="AS242" i="8"/>
  <c r="AR242" i="8"/>
  <c r="AQ242" i="8"/>
  <c r="AP242" i="8"/>
  <c r="AO242" i="8"/>
  <c r="AN242" i="8"/>
  <c r="AM242" i="8"/>
  <c r="AL242" i="8"/>
  <c r="AK242" i="8"/>
  <c r="AJ242" i="8"/>
  <c r="AI242" i="8"/>
  <c r="AH242" i="8"/>
  <c r="AG242" i="8"/>
  <c r="AF242" i="8"/>
  <c r="AE242" i="8"/>
  <c r="AD242" i="8"/>
  <c r="AC242" i="8"/>
  <c r="AB242" i="8"/>
  <c r="AA242" i="8"/>
  <c r="Z242" i="8"/>
  <c r="Y242" i="8"/>
  <c r="X242" i="8"/>
  <c r="W242" i="8"/>
  <c r="V242" i="8"/>
  <c r="U242" i="8"/>
  <c r="T242" i="8"/>
  <c r="S242" i="8"/>
  <c r="R242" i="8"/>
  <c r="Q242" i="8"/>
  <c r="P242" i="8"/>
  <c r="O242" i="8"/>
  <c r="N242" i="8"/>
  <c r="M242" i="8"/>
  <c r="L242" i="8"/>
  <c r="K242" i="8"/>
  <c r="J242" i="8"/>
  <c r="I242" i="8"/>
  <c r="H242" i="8"/>
  <c r="G242" i="8"/>
  <c r="F242" i="8"/>
  <c r="E242" i="8"/>
  <c r="D242" i="8"/>
  <c r="A242" i="8"/>
  <c r="B242" i="8" s="1"/>
  <c r="AX241" i="8"/>
  <c r="AW241" i="8"/>
  <c r="AV241" i="8"/>
  <c r="AU241" i="8"/>
  <c r="AT241" i="8"/>
  <c r="AS241" i="8"/>
  <c r="AR241" i="8"/>
  <c r="AQ241" i="8"/>
  <c r="AP241" i="8"/>
  <c r="AO241" i="8"/>
  <c r="AN241" i="8"/>
  <c r="AM241" i="8"/>
  <c r="AL241" i="8"/>
  <c r="AK241" i="8"/>
  <c r="AJ241" i="8"/>
  <c r="AI241" i="8"/>
  <c r="AH241" i="8"/>
  <c r="AG241" i="8"/>
  <c r="AF241" i="8"/>
  <c r="AE241" i="8"/>
  <c r="AD241" i="8"/>
  <c r="AC241" i="8"/>
  <c r="AB241" i="8"/>
  <c r="AA241" i="8"/>
  <c r="Z241" i="8"/>
  <c r="Y241" i="8"/>
  <c r="X241" i="8"/>
  <c r="W241" i="8"/>
  <c r="V241" i="8"/>
  <c r="U241" i="8"/>
  <c r="T241" i="8"/>
  <c r="S241" i="8"/>
  <c r="R241" i="8"/>
  <c r="Q241" i="8"/>
  <c r="P241" i="8"/>
  <c r="O241" i="8"/>
  <c r="N241" i="8"/>
  <c r="M241" i="8"/>
  <c r="L241" i="8"/>
  <c r="K241" i="8"/>
  <c r="J241" i="8"/>
  <c r="I241" i="8"/>
  <c r="H241" i="8"/>
  <c r="G241" i="8"/>
  <c r="F241" i="8"/>
  <c r="E241" i="8"/>
  <c r="D241" i="8"/>
  <c r="A241" i="8"/>
  <c r="B241" i="8" s="1"/>
  <c r="AX240" i="8"/>
  <c r="AW240" i="8"/>
  <c r="AV240" i="8"/>
  <c r="AU240" i="8"/>
  <c r="AT240" i="8"/>
  <c r="AS240" i="8"/>
  <c r="AR240" i="8"/>
  <c r="AQ240" i="8"/>
  <c r="AP240" i="8"/>
  <c r="AO240" i="8"/>
  <c r="AN240" i="8"/>
  <c r="AM240" i="8"/>
  <c r="AL240" i="8"/>
  <c r="AK240" i="8"/>
  <c r="AJ240" i="8"/>
  <c r="AI240" i="8"/>
  <c r="AH240" i="8"/>
  <c r="AG240" i="8"/>
  <c r="AF240" i="8"/>
  <c r="AE240" i="8"/>
  <c r="AD240" i="8"/>
  <c r="AC240" i="8"/>
  <c r="AB240" i="8"/>
  <c r="AA240" i="8"/>
  <c r="Z240" i="8"/>
  <c r="Y240" i="8"/>
  <c r="X240" i="8"/>
  <c r="W240" i="8"/>
  <c r="V240" i="8"/>
  <c r="U240" i="8"/>
  <c r="T240" i="8"/>
  <c r="S240" i="8"/>
  <c r="R240" i="8"/>
  <c r="Q240" i="8"/>
  <c r="P240" i="8"/>
  <c r="O240" i="8"/>
  <c r="N240" i="8"/>
  <c r="M240" i="8"/>
  <c r="L240" i="8"/>
  <c r="K240" i="8"/>
  <c r="J240" i="8"/>
  <c r="I240" i="8"/>
  <c r="H240" i="8"/>
  <c r="G240" i="8"/>
  <c r="F240" i="8"/>
  <c r="E240" i="8"/>
  <c r="D240" i="8"/>
  <c r="A240" i="8"/>
  <c r="B240" i="8" s="1"/>
  <c r="AX239" i="8"/>
  <c r="AW239" i="8"/>
  <c r="AV239" i="8"/>
  <c r="AU239" i="8"/>
  <c r="AT239" i="8"/>
  <c r="AS239" i="8"/>
  <c r="AR239" i="8"/>
  <c r="AQ239" i="8"/>
  <c r="AP239" i="8"/>
  <c r="AO239" i="8"/>
  <c r="AN239" i="8"/>
  <c r="AM239" i="8"/>
  <c r="AL239" i="8"/>
  <c r="AK239" i="8"/>
  <c r="AJ239" i="8"/>
  <c r="AI239" i="8"/>
  <c r="AH239" i="8"/>
  <c r="AG239" i="8"/>
  <c r="AF239" i="8"/>
  <c r="AE239" i="8"/>
  <c r="AD239" i="8"/>
  <c r="AC239" i="8"/>
  <c r="AB239" i="8"/>
  <c r="AA239" i="8"/>
  <c r="Z239" i="8"/>
  <c r="Y239" i="8"/>
  <c r="X239" i="8"/>
  <c r="W239" i="8"/>
  <c r="V239" i="8"/>
  <c r="U239" i="8"/>
  <c r="T239" i="8"/>
  <c r="S239" i="8"/>
  <c r="R239" i="8"/>
  <c r="Q239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D239" i="8"/>
  <c r="B239" i="8"/>
  <c r="A239" i="8"/>
  <c r="AX238" i="8"/>
  <c r="AW238" i="8"/>
  <c r="AV238" i="8"/>
  <c r="AU238" i="8"/>
  <c r="AT238" i="8"/>
  <c r="AS238" i="8"/>
  <c r="AR238" i="8"/>
  <c r="AQ238" i="8"/>
  <c r="AP238" i="8"/>
  <c r="AO238" i="8"/>
  <c r="AN238" i="8"/>
  <c r="AM238" i="8"/>
  <c r="AL238" i="8"/>
  <c r="AK238" i="8"/>
  <c r="AJ238" i="8"/>
  <c r="AI238" i="8"/>
  <c r="AH238" i="8"/>
  <c r="AG238" i="8"/>
  <c r="AF238" i="8"/>
  <c r="AE238" i="8"/>
  <c r="AD238" i="8"/>
  <c r="AC238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D238" i="8"/>
  <c r="A238" i="8"/>
  <c r="B238" i="8" s="1"/>
  <c r="AX237" i="8"/>
  <c r="AW237" i="8"/>
  <c r="AV237" i="8"/>
  <c r="AU237" i="8"/>
  <c r="AT237" i="8"/>
  <c r="AS237" i="8"/>
  <c r="AR237" i="8"/>
  <c r="AQ237" i="8"/>
  <c r="AP237" i="8"/>
  <c r="AO237" i="8"/>
  <c r="AN237" i="8"/>
  <c r="AM237" i="8"/>
  <c r="AL237" i="8"/>
  <c r="AK237" i="8"/>
  <c r="AJ237" i="8"/>
  <c r="AI237" i="8"/>
  <c r="AH237" i="8"/>
  <c r="AG237" i="8"/>
  <c r="AF237" i="8"/>
  <c r="AE237" i="8"/>
  <c r="AD237" i="8"/>
  <c r="AC237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O237" i="8"/>
  <c r="N237" i="8"/>
  <c r="M237" i="8"/>
  <c r="L237" i="8"/>
  <c r="K237" i="8"/>
  <c r="J237" i="8"/>
  <c r="I237" i="8"/>
  <c r="H237" i="8"/>
  <c r="G237" i="8"/>
  <c r="F237" i="8"/>
  <c r="E237" i="8"/>
  <c r="D237" i="8"/>
  <c r="A237" i="8"/>
  <c r="B237" i="8" s="1"/>
  <c r="AX236" i="8"/>
  <c r="AW236" i="8"/>
  <c r="AV236" i="8"/>
  <c r="AU236" i="8"/>
  <c r="AT236" i="8"/>
  <c r="AS236" i="8"/>
  <c r="AR236" i="8"/>
  <c r="AQ236" i="8"/>
  <c r="AP236" i="8"/>
  <c r="AO236" i="8"/>
  <c r="AN236" i="8"/>
  <c r="AM236" i="8"/>
  <c r="AL236" i="8"/>
  <c r="AK236" i="8"/>
  <c r="AJ236" i="8"/>
  <c r="AI236" i="8"/>
  <c r="AH236" i="8"/>
  <c r="AG236" i="8"/>
  <c r="AF236" i="8"/>
  <c r="AE236" i="8"/>
  <c r="AD236" i="8"/>
  <c r="AC236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A236" i="8"/>
  <c r="B236" i="8" s="1"/>
  <c r="AX235" i="8"/>
  <c r="AW235" i="8"/>
  <c r="AV235" i="8"/>
  <c r="AU235" i="8"/>
  <c r="AT235" i="8"/>
  <c r="AS235" i="8"/>
  <c r="AR235" i="8"/>
  <c r="AQ235" i="8"/>
  <c r="AP235" i="8"/>
  <c r="AO235" i="8"/>
  <c r="AN235" i="8"/>
  <c r="AM235" i="8"/>
  <c r="AL235" i="8"/>
  <c r="AK235" i="8"/>
  <c r="AJ235" i="8"/>
  <c r="AI235" i="8"/>
  <c r="AH235" i="8"/>
  <c r="AG235" i="8"/>
  <c r="AF235" i="8"/>
  <c r="AE235" i="8"/>
  <c r="AD235" i="8"/>
  <c r="AC235" i="8"/>
  <c r="AB235" i="8"/>
  <c r="AA235" i="8"/>
  <c r="Z235" i="8"/>
  <c r="Y235" i="8"/>
  <c r="X235" i="8"/>
  <c r="W235" i="8"/>
  <c r="V235" i="8"/>
  <c r="U235" i="8"/>
  <c r="T235" i="8"/>
  <c r="S235" i="8"/>
  <c r="R235" i="8"/>
  <c r="Q235" i="8"/>
  <c r="P235" i="8"/>
  <c r="O235" i="8"/>
  <c r="N235" i="8"/>
  <c r="M235" i="8"/>
  <c r="L235" i="8"/>
  <c r="K235" i="8"/>
  <c r="J235" i="8"/>
  <c r="I235" i="8"/>
  <c r="H235" i="8"/>
  <c r="G235" i="8"/>
  <c r="F235" i="8"/>
  <c r="E235" i="8"/>
  <c r="D235" i="8"/>
  <c r="B235" i="8"/>
  <c r="A235" i="8"/>
  <c r="AX234" i="8"/>
  <c r="AW234" i="8"/>
  <c r="AV234" i="8"/>
  <c r="AU234" i="8"/>
  <c r="AT234" i="8"/>
  <c r="AS234" i="8"/>
  <c r="AR234" i="8"/>
  <c r="AQ234" i="8"/>
  <c r="AP234" i="8"/>
  <c r="AO234" i="8"/>
  <c r="AN234" i="8"/>
  <c r="AM234" i="8"/>
  <c r="AL234" i="8"/>
  <c r="AK234" i="8"/>
  <c r="AJ234" i="8"/>
  <c r="AI234" i="8"/>
  <c r="AH234" i="8"/>
  <c r="AG234" i="8"/>
  <c r="AF234" i="8"/>
  <c r="AE234" i="8"/>
  <c r="AD234" i="8"/>
  <c r="AC234" i="8"/>
  <c r="AB234" i="8"/>
  <c r="AA234" i="8"/>
  <c r="Z234" i="8"/>
  <c r="Y234" i="8"/>
  <c r="X234" i="8"/>
  <c r="W234" i="8"/>
  <c r="V234" i="8"/>
  <c r="U234" i="8"/>
  <c r="T234" i="8"/>
  <c r="S234" i="8"/>
  <c r="R234" i="8"/>
  <c r="Q234" i="8"/>
  <c r="P234" i="8"/>
  <c r="O234" i="8"/>
  <c r="N234" i="8"/>
  <c r="M234" i="8"/>
  <c r="L234" i="8"/>
  <c r="K234" i="8"/>
  <c r="J234" i="8"/>
  <c r="I234" i="8"/>
  <c r="H234" i="8"/>
  <c r="G234" i="8"/>
  <c r="F234" i="8"/>
  <c r="E234" i="8"/>
  <c r="D234" i="8"/>
  <c r="A234" i="8"/>
  <c r="B234" i="8" s="1"/>
  <c r="AX233" i="8"/>
  <c r="AW233" i="8"/>
  <c r="AV233" i="8"/>
  <c r="AU233" i="8"/>
  <c r="AT233" i="8"/>
  <c r="AS233" i="8"/>
  <c r="AR233" i="8"/>
  <c r="AQ233" i="8"/>
  <c r="AP233" i="8"/>
  <c r="AO233" i="8"/>
  <c r="AN233" i="8"/>
  <c r="AM233" i="8"/>
  <c r="AL233" i="8"/>
  <c r="AK233" i="8"/>
  <c r="AJ233" i="8"/>
  <c r="AI233" i="8"/>
  <c r="AH233" i="8"/>
  <c r="AG233" i="8"/>
  <c r="AF233" i="8"/>
  <c r="AE233" i="8"/>
  <c r="AD233" i="8"/>
  <c r="AC233" i="8"/>
  <c r="AB233" i="8"/>
  <c r="AA233" i="8"/>
  <c r="Z233" i="8"/>
  <c r="Y233" i="8"/>
  <c r="X233" i="8"/>
  <c r="W233" i="8"/>
  <c r="V233" i="8"/>
  <c r="U233" i="8"/>
  <c r="T233" i="8"/>
  <c r="S233" i="8"/>
  <c r="R233" i="8"/>
  <c r="Q233" i="8"/>
  <c r="P233" i="8"/>
  <c r="O233" i="8"/>
  <c r="N233" i="8"/>
  <c r="M233" i="8"/>
  <c r="L233" i="8"/>
  <c r="K233" i="8"/>
  <c r="J233" i="8"/>
  <c r="I233" i="8"/>
  <c r="H233" i="8"/>
  <c r="G233" i="8"/>
  <c r="F233" i="8"/>
  <c r="E233" i="8"/>
  <c r="D233" i="8"/>
  <c r="A233" i="8"/>
  <c r="B233" i="8" s="1"/>
  <c r="AX232" i="8"/>
  <c r="AW232" i="8"/>
  <c r="AV232" i="8"/>
  <c r="AU232" i="8"/>
  <c r="AT232" i="8"/>
  <c r="AS232" i="8"/>
  <c r="AR232" i="8"/>
  <c r="AQ232" i="8"/>
  <c r="AP232" i="8"/>
  <c r="AO232" i="8"/>
  <c r="AN232" i="8"/>
  <c r="AM232" i="8"/>
  <c r="AL232" i="8"/>
  <c r="AK232" i="8"/>
  <c r="AJ232" i="8"/>
  <c r="AI232" i="8"/>
  <c r="AH232" i="8"/>
  <c r="AG232" i="8"/>
  <c r="AF232" i="8"/>
  <c r="AE232" i="8"/>
  <c r="AD232" i="8"/>
  <c r="AC232" i="8"/>
  <c r="AB232" i="8"/>
  <c r="AA232" i="8"/>
  <c r="Z232" i="8"/>
  <c r="Y232" i="8"/>
  <c r="X232" i="8"/>
  <c r="W232" i="8"/>
  <c r="V232" i="8"/>
  <c r="U232" i="8"/>
  <c r="T232" i="8"/>
  <c r="S232" i="8"/>
  <c r="R232" i="8"/>
  <c r="Q232" i="8"/>
  <c r="P232" i="8"/>
  <c r="O232" i="8"/>
  <c r="N232" i="8"/>
  <c r="M232" i="8"/>
  <c r="L232" i="8"/>
  <c r="K232" i="8"/>
  <c r="J232" i="8"/>
  <c r="I232" i="8"/>
  <c r="H232" i="8"/>
  <c r="G232" i="8"/>
  <c r="F232" i="8"/>
  <c r="E232" i="8"/>
  <c r="D232" i="8"/>
  <c r="A232" i="8"/>
  <c r="B232" i="8" s="1"/>
  <c r="AX231" i="8"/>
  <c r="AW231" i="8"/>
  <c r="AV231" i="8"/>
  <c r="AU231" i="8"/>
  <c r="AT231" i="8"/>
  <c r="AS231" i="8"/>
  <c r="AR231" i="8"/>
  <c r="AQ231" i="8"/>
  <c r="AP231" i="8"/>
  <c r="AO231" i="8"/>
  <c r="AN231" i="8"/>
  <c r="AM231" i="8"/>
  <c r="AL231" i="8"/>
  <c r="AK231" i="8"/>
  <c r="AJ231" i="8"/>
  <c r="AI231" i="8"/>
  <c r="AH231" i="8"/>
  <c r="AG231" i="8"/>
  <c r="AF231" i="8"/>
  <c r="AE231" i="8"/>
  <c r="AD231" i="8"/>
  <c r="AC231" i="8"/>
  <c r="AB231" i="8"/>
  <c r="AA231" i="8"/>
  <c r="Z231" i="8"/>
  <c r="Y231" i="8"/>
  <c r="X231" i="8"/>
  <c r="W231" i="8"/>
  <c r="V231" i="8"/>
  <c r="U231" i="8"/>
  <c r="T231" i="8"/>
  <c r="S231" i="8"/>
  <c r="R231" i="8"/>
  <c r="Q231" i="8"/>
  <c r="P231" i="8"/>
  <c r="O231" i="8"/>
  <c r="N231" i="8"/>
  <c r="M231" i="8"/>
  <c r="L231" i="8"/>
  <c r="K231" i="8"/>
  <c r="J231" i="8"/>
  <c r="I231" i="8"/>
  <c r="H231" i="8"/>
  <c r="G231" i="8"/>
  <c r="F231" i="8"/>
  <c r="E231" i="8"/>
  <c r="D231" i="8"/>
  <c r="B231" i="8"/>
  <c r="A231" i="8"/>
  <c r="AX230" i="8"/>
  <c r="AW230" i="8"/>
  <c r="AV230" i="8"/>
  <c r="AU230" i="8"/>
  <c r="AT230" i="8"/>
  <c r="AS230" i="8"/>
  <c r="AR230" i="8"/>
  <c r="AQ230" i="8"/>
  <c r="AP230" i="8"/>
  <c r="AO230" i="8"/>
  <c r="AN230" i="8"/>
  <c r="AM230" i="8"/>
  <c r="AL230" i="8"/>
  <c r="AK230" i="8"/>
  <c r="AJ230" i="8"/>
  <c r="AI230" i="8"/>
  <c r="AH230" i="8"/>
  <c r="AG230" i="8"/>
  <c r="AF230" i="8"/>
  <c r="AE230" i="8"/>
  <c r="AD230" i="8"/>
  <c r="AC230" i="8"/>
  <c r="AB230" i="8"/>
  <c r="AA230" i="8"/>
  <c r="Z230" i="8"/>
  <c r="Y230" i="8"/>
  <c r="X230" i="8"/>
  <c r="W230" i="8"/>
  <c r="V230" i="8"/>
  <c r="U230" i="8"/>
  <c r="T230" i="8"/>
  <c r="S230" i="8"/>
  <c r="R230" i="8"/>
  <c r="Q230" i="8"/>
  <c r="P230" i="8"/>
  <c r="O230" i="8"/>
  <c r="N230" i="8"/>
  <c r="M230" i="8"/>
  <c r="L230" i="8"/>
  <c r="K230" i="8"/>
  <c r="J230" i="8"/>
  <c r="I230" i="8"/>
  <c r="H230" i="8"/>
  <c r="G230" i="8"/>
  <c r="F230" i="8"/>
  <c r="E230" i="8"/>
  <c r="D230" i="8"/>
  <c r="A230" i="8"/>
  <c r="B230" i="8" s="1"/>
  <c r="AX229" i="8"/>
  <c r="AW229" i="8"/>
  <c r="AV229" i="8"/>
  <c r="AU229" i="8"/>
  <c r="AT229" i="8"/>
  <c r="AS229" i="8"/>
  <c r="AR229" i="8"/>
  <c r="AQ229" i="8"/>
  <c r="AP229" i="8"/>
  <c r="AO229" i="8"/>
  <c r="AN229" i="8"/>
  <c r="AM229" i="8"/>
  <c r="AL229" i="8"/>
  <c r="AK229" i="8"/>
  <c r="AJ229" i="8"/>
  <c r="AI229" i="8"/>
  <c r="AH229" i="8"/>
  <c r="AG229" i="8"/>
  <c r="AF229" i="8"/>
  <c r="AE229" i="8"/>
  <c r="AD229" i="8"/>
  <c r="AC229" i="8"/>
  <c r="AB229" i="8"/>
  <c r="AA229" i="8"/>
  <c r="Z229" i="8"/>
  <c r="Y229" i="8"/>
  <c r="X229" i="8"/>
  <c r="W229" i="8"/>
  <c r="V229" i="8"/>
  <c r="U229" i="8"/>
  <c r="T229" i="8"/>
  <c r="S229" i="8"/>
  <c r="R229" i="8"/>
  <c r="Q229" i="8"/>
  <c r="P229" i="8"/>
  <c r="O229" i="8"/>
  <c r="N229" i="8"/>
  <c r="M229" i="8"/>
  <c r="L229" i="8"/>
  <c r="K229" i="8"/>
  <c r="J229" i="8"/>
  <c r="I229" i="8"/>
  <c r="H229" i="8"/>
  <c r="G229" i="8"/>
  <c r="F229" i="8"/>
  <c r="E229" i="8"/>
  <c r="D229" i="8"/>
  <c r="A229" i="8"/>
  <c r="B229" i="8" s="1"/>
  <c r="AX228" i="8"/>
  <c r="AW228" i="8"/>
  <c r="AV228" i="8"/>
  <c r="AU228" i="8"/>
  <c r="AT228" i="8"/>
  <c r="AS228" i="8"/>
  <c r="AR228" i="8"/>
  <c r="AQ228" i="8"/>
  <c r="AP228" i="8"/>
  <c r="AO228" i="8"/>
  <c r="AN228" i="8"/>
  <c r="AM228" i="8"/>
  <c r="AL228" i="8"/>
  <c r="AK228" i="8"/>
  <c r="AJ228" i="8"/>
  <c r="AI228" i="8"/>
  <c r="AH228" i="8"/>
  <c r="AG228" i="8"/>
  <c r="AF228" i="8"/>
  <c r="AE228" i="8"/>
  <c r="AD228" i="8"/>
  <c r="AC228" i="8"/>
  <c r="AB228" i="8"/>
  <c r="AA228" i="8"/>
  <c r="Z228" i="8"/>
  <c r="Y228" i="8"/>
  <c r="X228" i="8"/>
  <c r="W228" i="8"/>
  <c r="V228" i="8"/>
  <c r="U228" i="8"/>
  <c r="T228" i="8"/>
  <c r="S228" i="8"/>
  <c r="R228" i="8"/>
  <c r="Q228" i="8"/>
  <c r="P228" i="8"/>
  <c r="O228" i="8"/>
  <c r="N228" i="8"/>
  <c r="M228" i="8"/>
  <c r="L228" i="8"/>
  <c r="K228" i="8"/>
  <c r="J228" i="8"/>
  <c r="I228" i="8"/>
  <c r="H228" i="8"/>
  <c r="G228" i="8"/>
  <c r="F228" i="8"/>
  <c r="E228" i="8"/>
  <c r="D228" i="8"/>
  <c r="A228" i="8"/>
  <c r="B228" i="8" s="1"/>
  <c r="AX227" i="8"/>
  <c r="AW227" i="8"/>
  <c r="AV227" i="8"/>
  <c r="AU227" i="8"/>
  <c r="AT227" i="8"/>
  <c r="AS227" i="8"/>
  <c r="AR227" i="8"/>
  <c r="AQ227" i="8"/>
  <c r="AP227" i="8"/>
  <c r="AO227" i="8"/>
  <c r="AN227" i="8"/>
  <c r="AM227" i="8"/>
  <c r="AL227" i="8"/>
  <c r="AK227" i="8"/>
  <c r="AJ227" i="8"/>
  <c r="AI227" i="8"/>
  <c r="AH227" i="8"/>
  <c r="AG227" i="8"/>
  <c r="AF227" i="8"/>
  <c r="AE227" i="8"/>
  <c r="AD227" i="8"/>
  <c r="AC227" i="8"/>
  <c r="AB227" i="8"/>
  <c r="AA227" i="8"/>
  <c r="Z227" i="8"/>
  <c r="Y227" i="8"/>
  <c r="X227" i="8"/>
  <c r="W227" i="8"/>
  <c r="V227" i="8"/>
  <c r="U227" i="8"/>
  <c r="T227" i="8"/>
  <c r="S227" i="8"/>
  <c r="R227" i="8"/>
  <c r="Q227" i="8"/>
  <c r="P227" i="8"/>
  <c r="O227" i="8"/>
  <c r="N227" i="8"/>
  <c r="M227" i="8"/>
  <c r="L227" i="8"/>
  <c r="K227" i="8"/>
  <c r="J227" i="8"/>
  <c r="I227" i="8"/>
  <c r="H227" i="8"/>
  <c r="G227" i="8"/>
  <c r="F227" i="8"/>
  <c r="E227" i="8"/>
  <c r="D227" i="8"/>
  <c r="B227" i="8"/>
  <c r="A227" i="8"/>
  <c r="AX226" i="8"/>
  <c r="AW226" i="8"/>
  <c r="AV226" i="8"/>
  <c r="AU226" i="8"/>
  <c r="AT226" i="8"/>
  <c r="AS226" i="8"/>
  <c r="AR226" i="8"/>
  <c r="AQ226" i="8"/>
  <c r="AP226" i="8"/>
  <c r="AO226" i="8"/>
  <c r="AN226" i="8"/>
  <c r="AM226" i="8"/>
  <c r="AL226" i="8"/>
  <c r="AK226" i="8"/>
  <c r="AJ226" i="8"/>
  <c r="AI226" i="8"/>
  <c r="AH226" i="8"/>
  <c r="AG226" i="8"/>
  <c r="AF226" i="8"/>
  <c r="AE226" i="8"/>
  <c r="AD226" i="8"/>
  <c r="AC226" i="8"/>
  <c r="AB226" i="8"/>
  <c r="AA226" i="8"/>
  <c r="Z226" i="8"/>
  <c r="Y226" i="8"/>
  <c r="X226" i="8"/>
  <c r="W226" i="8"/>
  <c r="V226" i="8"/>
  <c r="U226" i="8"/>
  <c r="T226" i="8"/>
  <c r="S226" i="8"/>
  <c r="R226" i="8"/>
  <c r="Q226" i="8"/>
  <c r="P226" i="8"/>
  <c r="O226" i="8"/>
  <c r="N226" i="8"/>
  <c r="M226" i="8"/>
  <c r="L226" i="8"/>
  <c r="K226" i="8"/>
  <c r="J226" i="8"/>
  <c r="I226" i="8"/>
  <c r="H226" i="8"/>
  <c r="G226" i="8"/>
  <c r="F226" i="8"/>
  <c r="E226" i="8"/>
  <c r="D226" i="8"/>
  <c r="A226" i="8"/>
  <c r="B226" i="8" s="1"/>
  <c r="AX225" i="8"/>
  <c r="AW225" i="8"/>
  <c r="AV225" i="8"/>
  <c r="AU225" i="8"/>
  <c r="AT225" i="8"/>
  <c r="AS225" i="8"/>
  <c r="AR225" i="8"/>
  <c r="AQ225" i="8"/>
  <c r="AP225" i="8"/>
  <c r="AO225" i="8"/>
  <c r="AN225" i="8"/>
  <c r="AM225" i="8"/>
  <c r="AL225" i="8"/>
  <c r="AK225" i="8"/>
  <c r="AJ225" i="8"/>
  <c r="AI225" i="8"/>
  <c r="AH225" i="8"/>
  <c r="AG225" i="8"/>
  <c r="AF225" i="8"/>
  <c r="AE225" i="8"/>
  <c r="AD225" i="8"/>
  <c r="AC225" i="8"/>
  <c r="AB225" i="8"/>
  <c r="AA225" i="8"/>
  <c r="Z225" i="8"/>
  <c r="Y225" i="8"/>
  <c r="X225" i="8"/>
  <c r="W225" i="8"/>
  <c r="V225" i="8"/>
  <c r="U225" i="8"/>
  <c r="T225" i="8"/>
  <c r="S225" i="8"/>
  <c r="R225" i="8"/>
  <c r="Q225" i="8"/>
  <c r="P225" i="8"/>
  <c r="O225" i="8"/>
  <c r="N225" i="8"/>
  <c r="M225" i="8"/>
  <c r="L225" i="8"/>
  <c r="K225" i="8"/>
  <c r="J225" i="8"/>
  <c r="I225" i="8"/>
  <c r="H225" i="8"/>
  <c r="G225" i="8"/>
  <c r="F225" i="8"/>
  <c r="E225" i="8"/>
  <c r="D225" i="8"/>
  <c r="A225" i="8"/>
  <c r="B225" i="8" s="1"/>
  <c r="AX224" i="8"/>
  <c r="AW224" i="8"/>
  <c r="AV224" i="8"/>
  <c r="AU224" i="8"/>
  <c r="AT224" i="8"/>
  <c r="AS224" i="8"/>
  <c r="AR224" i="8"/>
  <c r="AQ224" i="8"/>
  <c r="AP224" i="8"/>
  <c r="AO224" i="8"/>
  <c r="AN224" i="8"/>
  <c r="AM224" i="8"/>
  <c r="AL224" i="8"/>
  <c r="AK224" i="8"/>
  <c r="AJ224" i="8"/>
  <c r="AI224" i="8"/>
  <c r="AH224" i="8"/>
  <c r="AG224" i="8"/>
  <c r="AF224" i="8"/>
  <c r="AE224" i="8"/>
  <c r="AD224" i="8"/>
  <c r="AC224" i="8"/>
  <c r="AB224" i="8"/>
  <c r="AA224" i="8"/>
  <c r="Z224" i="8"/>
  <c r="Y224" i="8"/>
  <c r="X224" i="8"/>
  <c r="W224" i="8"/>
  <c r="V224" i="8"/>
  <c r="U224" i="8"/>
  <c r="T224" i="8"/>
  <c r="S224" i="8"/>
  <c r="R224" i="8"/>
  <c r="Q224" i="8"/>
  <c r="P224" i="8"/>
  <c r="O224" i="8"/>
  <c r="N224" i="8"/>
  <c r="M224" i="8"/>
  <c r="L224" i="8"/>
  <c r="K224" i="8"/>
  <c r="J224" i="8"/>
  <c r="I224" i="8"/>
  <c r="H224" i="8"/>
  <c r="G224" i="8"/>
  <c r="F224" i="8"/>
  <c r="E224" i="8"/>
  <c r="D224" i="8"/>
  <c r="A224" i="8"/>
  <c r="B224" i="8" s="1"/>
  <c r="AX223" i="8"/>
  <c r="AW223" i="8"/>
  <c r="AV223" i="8"/>
  <c r="AU223" i="8"/>
  <c r="AT223" i="8"/>
  <c r="AS223" i="8"/>
  <c r="AR223" i="8"/>
  <c r="AQ223" i="8"/>
  <c r="AP223" i="8"/>
  <c r="AO223" i="8"/>
  <c r="AN223" i="8"/>
  <c r="AM223" i="8"/>
  <c r="AL223" i="8"/>
  <c r="AK223" i="8"/>
  <c r="AJ223" i="8"/>
  <c r="AI223" i="8"/>
  <c r="AH223" i="8"/>
  <c r="AG223" i="8"/>
  <c r="AF223" i="8"/>
  <c r="AE223" i="8"/>
  <c r="AD223" i="8"/>
  <c r="AC223" i="8"/>
  <c r="AB223" i="8"/>
  <c r="AA223" i="8"/>
  <c r="Z223" i="8"/>
  <c r="Y223" i="8"/>
  <c r="X223" i="8"/>
  <c r="W223" i="8"/>
  <c r="V223" i="8"/>
  <c r="U223" i="8"/>
  <c r="T223" i="8"/>
  <c r="S223" i="8"/>
  <c r="R223" i="8"/>
  <c r="Q223" i="8"/>
  <c r="P223" i="8"/>
  <c r="O223" i="8"/>
  <c r="N223" i="8"/>
  <c r="M223" i="8"/>
  <c r="L223" i="8"/>
  <c r="K223" i="8"/>
  <c r="J223" i="8"/>
  <c r="I223" i="8"/>
  <c r="H223" i="8"/>
  <c r="G223" i="8"/>
  <c r="F223" i="8"/>
  <c r="E223" i="8"/>
  <c r="D223" i="8"/>
  <c r="B223" i="8"/>
  <c r="A223" i="8"/>
  <c r="AX222" i="8"/>
  <c r="AW222" i="8"/>
  <c r="AV222" i="8"/>
  <c r="AU222" i="8"/>
  <c r="AT222" i="8"/>
  <c r="AS222" i="8"/>
  <c r="AR222" i="8"/>
  <c r="AQ222" i="8"/>
  <c r="AP222" i="8"/>
  <c r="AO222" i="8"/>
  <c r="AN222" i="8"/>
  <c r="AM222" i="8"/>
  <c r="AL222" i="8"/>
  <c r="AK222" i="8"/>
  <c r="AJ222" i="8"/>
  <c r="AI222" i="8"/>
  <c r="AH222" i="8"/>
  <c r="AG222" i="8"/>
  <c r="AF222" i="8"/>
  <c r="AE222" i="8"/>
  <c r="AD222" i="8"/>
  <c r="AC222" i="8"/>
  <c r="AB222" i="8"/>
  <c r="AA222" i="8"/>
  <c r="Z222" i="8"/>
  <c r="Y222" i="8"/>
  <c r="X222" i="8"/>
  <c r="W222" i="8"/>
  <c r="V222" i="8"/>
  <c r="U222" i="8"/>
  <c r="T222" i="8"/>
  <c r="S222" i="8"/>
  <c r="R222" i="8"/>
  <c r="Q222" i="8"/>
  <c r="P222" i="8"/>
  <c r="O222" i="8"/>
  <c r="N222" i="8"/>
  <c r="M222" i="8"/>
  <c r="L222" i="8"/>
  <c r="K222" i="8"/>
  <c r="J222" i="8"/>
  <c r="I222" i="8"/>
  <c r="H222" i="8"/>
  <c r="G222" i="8"/>
  <c r="F222" i="8"/>
  <c r="E222" i="8"/>
  <c r="D222" i="8"/>
  <c r="A222" i="8"/>
  <c r="B222" i="8" s="1"/>
  <c r="AX221" i="8"/>
  <c r="AW221" i="8"/>
  <c r="AV221" i="8"/>
  <c r="AU221" i="8"/>
  <c r="AT221" i="8"/>
  <c r="AS221" i="8"/>
  <c r="AR221" i="8"/>
  <c r="AQ221" i="8"/>
  <c r="AP221" i="8"/>
  <c r="AO221" i="8"/>
  <c r="AN221" i="8"/>
  <c r="AM221" i="8"/>
  <c r="AL221" i="8"/>
  <c r="AK221" i="8"/>
  <c r="AJ221" i="8"/>
  <c r="AI221" i="8"/>
  <c r="AH221" i="8"/>
  <c r="AG221" i="8"/>
  <c r="AF221" i="8"/>
  <c r="AE221" i="8"/>
  <c r="AD221" i="8"/>
  <c r="AC221" i="8"/>
  <c r="AB221" i="8"/>
  <c r="AA221" i="8"/>
  <c r="Z221" i="8"/>
  <c r="Y221" i="8"/>
  <c r="X221" i="8"/>
  <c r="W221" i="8"/>
  <c r="V221" i="8"/>
  <c r="U221" i="8"/>
  <c r="T221" i="8"/>
  <c r="S221" i="8"/>
  <c r="R221" i="8"/>
  <c r="Q221" i="8"/>
  <c r="P221" i="8"/>
  <c r="O221" i="8"/>
  <c r="N221" i="8"/>
  <c r="M221" i="8"/>
  <c r="L221" i="8"/>
  <c r="K221" i="8"/>
  <c r="J221" i="8"/>
  <c r="I221" i="8"/>
  <c r="H221" i="8"/>
  <c r="G221" i="8"/>
  <c r="F221" i="8"/>
  <c r="E221" i="8"/>
  <c r="D221" i="8"/>
  <c r="A221" i="8"/>
  <c r="B221" i="8" s="1"/>
  <c r="AX220" i="8"/>
  <c r="AW220" i="8"/>
  <c r="AV220" i="8"/>
  <c r="AU220" i="8"/>
  <c r="AT220" i="8"/>
  <c r="AS220" i="8"/>
  <c r="AR220" i="8"/>
  <c r="AQ220" i="8"/>
  <c r="AP220" i="8"/>
  <c r="AO220" i="8"/>
  <c r="AN220" i="8"/>
  <c r="AM220" i="8"/>
  <c r="AL220" i="8"/>
  <c r="AK220" i="8"/>
  <c r="AJ220" i="8"/>
  <c r="AI220" i="8"/>
  <c r="AH220" i="8"/>
  <c r="AG220" i="8"/>
  <c r="AF220" i="8"/>
  <c r="AE220" i="8"/>
  <c r="AD220" i="8"/>
  <c r="AC220" i="8"/>
  <c r="AB220" i="8"/>
  <c r="AA220" i="8"/>
  <c r="Z220" i="8"/>
  <c r="Y220" i="8"/>
  <c r="X220" i="8"/>
  <c r="W220" i="8"/>
  <c r="V220" i="8"/>
  <c r="U220" i="8"/>
  <c r="T220" i="8"/>
  <c r="S220" i="8"/>
  <c r="R220" i="8"/>
  <c r="Q220" i="8"/>
  <c r="P220" i="8"/>
  <c r="O220" i="8"/>
  <c r="N220" i="8"/>
  <c r="M220" i="8"/>
  <c r="L220" i="8"/>
  <c r="K220" i="8"/>
  <c r="J220" i="8"/>
  <c r="I220" i="8"/>
  <c r="H220" i="8"/>
  <c r="G220" i="8"/>
  <c r="F220" i="8"/>
  <c r="E220" i="8"/>
  <c r="D220" i="8"/>
  <c r="A220" i="8"/>
  <c r="B220" i="8" s="1"/>
  <c r="AX219" i="8"/>
  <c r="AW219" i="8"/>
  <c r="AV219" i="8"/>
  <c r="AU219" i="8"/>
  <c r="AT219" i="8"/>
  <c r="AS219" i="8"/>
  <c r="AR219" i="8"/>
  <c r="AQ219" i="8"/>
  <c r="AP219" i="8"/>
  <c r="AO219" i="8"/>
  <c r="AN219" i="8"/>
  <c r="AM219" i="8"/>
  <c r="AL219" i="8"/>
  <c r="AK219" i="8"/>
  <c r="AJ219" i="8"/>
  <c r="AI219" i="8"/>
  <c r="AH219" i="8"/>
  <c r="AG219" i="8"/>
  <c r="AF219" i="8"/>
  <c r="AE219" i="8"/>
  <c r="AD219" i="8"/>
  <c r="AC219" i="8"/>
  <c r="AB219" i="8"/>
  <c r="AA219" i="8"/>
  <c r="Z219" i="8"/>
  <c r="Y219" i="8"/>
  <c r="X219" i="8"/>
  <c r="W219" i="8"/>
  <c r="V219" i="8"/>
  <c r="U219" i="8"/>
  <c r="T219" i="8"/>
  <c r="S219" i="8"/>
  <c r="R219" i="8"/>
  <c r="Q219" i="8"/>
  <c r="P219" i="8"/>
  <c r="O219" i="8"/>
  <c r="N219" i="8"/>
  <c r="M219" i="8"/>
  <c r="L219" i="8"/>
  <c r="K219" i="8"/>
  <c r="J219" i="8"/>
  <c r="I219" i="8"/>
  <c r="H219" i="8"/>
  <c r="G219" i="8"/>
  <c r="F219" i="8"/>
  <c r="E219" i="8"/>
  <c r="D219" i="8"/>
  <c r="B219" i="8"/>
  <c r="A219" i="8"/>
  <c r="AX218" i="8"/>
  <c r="AW218" i="8"/>
  <c r="AV218" i="8"/>
  <c r="AU218" i="8"/>
  <c r="AT218" i="8"/>
  <c r="AS218" i="8"/>
  <c r="AR218" i="8"/>
  <c r="AQ218" i="8"/>
  <c r="AP218" i="8"/>
  <c r="AO218" i="8"/>
  <c r="AN218" i="8"/>
  <c r="AM218" i="8"/>
  <c r="AL218" i="8"/>
  <c r="AK218" i="8"/>
  <c r="AJ218" i="8"/>
  <c r="AI218" i="8"/>
  <c r="AH218" i="8"/>
  <c r="AG218" i="8"/>
  <c r="AF218" i="8"/>
  <c r="AE218" i="8"/>
  <c r="AD218" i="8"/>
  <c r="AC218" i="8"/>
  <c r="AB218" i="8"/>
  <c r="AA218" i="8"/>
  <c r="Z218" i="8"/>
  <c r="Y218" i="8"/>
  <c r="X218" i="8"/>
  <c r="W218" i="8"/>
  <c r="V218" i="8"/>
  <c r="U218" i="8"/>
  <c r="T218" i="8"/>
  <c r="S218" i="8"/>
  <c r="R218" i="8"/>
  <c r="Q218" i="8"/>
  <c r="P218" i="8"/>
  <c r="O218" i="8"/>
  <c r="N218" i="8"/>
  <c r="M218" i="8"/>
  <c r="L218" i="8"/>
  <c r="K218" i="8"/>
  <c r="J218" i="8"/>
  <c r="I218" i="8"/>
  <c r="H218" i="8"/>
  <c r="G218" i="8"/>
  <c r="F218" i="8"/>
  <c r="E218" i="8"/>
  <c r="D218" i="8"/>
  <c r="A218" i="8"/>
  <c r="B218" i="8" s="1"/>
  <c r="AX217" i="8"/>
  <c r="AW217" i="8"/>
  <c r="AV217" i="8"/>
  <c r="AU217" i="8"/>
  <c r="AT217" i="8"/>
  <c r="AS217" i="8"/>
  <c r="AR217" i="8"/>
  <c r="AQ217" i="8"/>
  <c r="AP217" i="8"/>
  <c r="AO217" i="8"/>
  <c r="AN217" i="8"/>
  <c r="AM217" i="8"/>
  <c r="AL217" i="8"/>
  <c r="AK217" i="8"/>
  <c r="AJ217" i="8"/>
  <c r="AI217" i="8"/>
  <c r="AH217" i="8"/>
  <c r="AG217" i="8"/>
  <c r="AF217" i="8"/>
  <c r="AE217" i="8"/>
  <c r="AD217" i="8"/>
  <c r="AC217" i="8"/>
  <c r="AB217" i="8"/>
  <c r="AA217" i="8"/>
  <c r="Z217" i="8"/>
  <c r="Y217" i="8"/>
  <c r="X217" i="8"/>
  <c r="W217" i="8"/>
  <c r="V217" i="8"/>
  <c r="U217" i="8"/>
  <c r="T217" i="8"/>
  <c r="S217" i="8"/>
  <c r="R217" i="8"/>
  <c r="Q217" i="8"/>
  <c r="P217" i="8"/>
  <c r="O217" i="8"/>
  <c r="N217" i="8"/>
  <c r="M217" i="8"/>
  <c r="L217" i="8"/>
  <c r="K217" i="8"/>
  <c r="J217" i="8"/>
  <c r="I217" i="8"/>
  <c r="H217" i="8"/>
  <c r="G217" i="8"/>
  <c r="F217" i="8"/>
  <c r="E217" i="8"/>
  <c r="D217" i="8"/>
  <c r="A217" i="8"/>
  <c r="B217" i="8" s="1"/>
  <c r="AX216" i="8"/>
  <c r="AW216" i="8"/>
  <c r="AV216" i="8"/>
  <c r="AU216" i="8"/>
  <c r="AT216" i="8"/>
  <c r="AS216" i="8"/>
  <c r="AR216" i="8"/>
  <c r="AQ216" i="8"/>
  <c r="AP216" i="8"/>
  <c r="AO216" i="8"/>
  <c r="AN216" i="8"/>
  <c r="AM216" i="8"/>
  <c r="AL216" i="8"/>
  <c r="AK216" i="8"/>
  <c r="AJ216" i="8"/>
  <c r="AI216" i="8"/>
  <c r="AH216" i="8"/>
  <c r="AG216" i="8"/>
  <c r="AF216" i="8"/>
  <c r="AE216" i="8"/>
  <c r="AD216" i="8"/>
  <c r="AC216" i="8"/>
  <c r="AB216" i="8"/>
  <c r="AA216" i="8"/>
  <c r="Z216" i="8"/>
  <c r="Y216" i="8"/>
  <c r="X216" i="8"/>
  <c r="W216" i="8"/>
  <c r="V216" i="8"/>
  <c r="U216" i="8"/>
  <c r="T216" i="8"/>
  <c r="S216" i="8"/>
  <c r="R216" i="8"/>
  <c r="Q216" i="8"/>
  <c r="P216" i="8"/>
  <c r="O216" i="8"/>
  <c r="N216" i="8"/>
  <c r="M216" i="8"/>
  <c r="L216" i="8"/>
  <c r="K216" i="8"/>
  <c r="J216" i="8"/>
  <c r="I216" i="8"/>
  <c r="H216" i="8"/>
  <c r="G216" i="8"/>
  <c r="F216" i="8"/>
  <c r="E216" i="8"/>
  <c r="D216" i="8"/>
  <c r="A216" i="8"/>
  <c r="B216" i="8" s="1"/>
  <c r="AX215" i="8"/>
  <c r="AW215" i="8"/>
  <c r="AV215" i="8"/>
  <c r="AU215" i="8"/>
  <c r="AT215" i="8"/>
  <c r="AS215" i="8"/>
  <c r="AR215" i="8"/>
  <c r="AQ215" i="8"/>
  <c r="AP215" i="8"/>
  <c r="AO215" i="8"/>
  <c r="AN215" i="8"/>
  <c r="AM215" i="8"/>
  <c r="AL215" i="8"/>
  <c r="AK215" i="8"/>
  <c r="AJ215" i="8"/>
  <c r="AI215" i="8"/>
  <c r="AH215" i="8"/>
  <c r="AG215" i="8"/>
  <c r="AF215" i="8"/>
  <c r="AE215" i="8"/>
  <c r="AD215" i="8"/>
  <c r="AC215" i="8"/>
  <c r="AB215" i="8"/>
  <c r="AA215" i="8"/>
  <c r="Z215" i="8"/>
  <c r="Y215" i="8"/>
  <c r="X215" i="8"/>
  <c r="W215" i="8"/>
  <c r="V215" i="8"/>
  <c r="U215" i="8"/>
  <c r="T215" i="8"/>
  <c r="S215" i="8"/>
  <c r="R215" i="8"/>
  <c r="Q215" i="8"/>
  <c r="P215" i="8"/>
  <c r="O215" i="8"/>
  <c r="N215" i="8"/>
  <c r="M215" i="8"/>
  <c r="L215" i="8"/>
  <c r="K215" i="8"/>
  <c r="J215" i="8"/>
  <c r="I215" i="8"/>
  <c r="H215" i="8"/>
  <c r="G215" i="8"/>
  <c r="F215" i="8"/>
  <c r="E215" i="8"/>
  <c r="D215" i="8"/>
  <c r="B215" i="8"/>
  <c r="A215" i="8"/>
  <c r="AX214" i="8"/>
  <c r="AW214" i="8"/>
  <c r="AV214" i="8"/>
  <c r="AU214" i="8"/>
  <c r="AT214" i="8"/>
  <c r="AS214" i="8"/>
  <c r="AR214" i="8"/>
  <c r="AQ214" i="8"/>
  <c r="AP214" i="8"/>
  <c r="AO214" i="8"/>
  <c r="AN214" i="8"/>
  <c r="AM214" i="8"/>
  <c r="AL214" i="8"/>
  <c r="AK214" i="8"/>
  <c r="AJ214" i="8"/>
  <c r="AI214" i="8"/>
  <c r="AH214" i="8"/>
  <c r="AG214" i="8"/>
  <c r="AF214" i="8"/>
  <c r="AE214" i="8"/>
  <c r="AD214" i="8"/>
  <c r="AC214" i="8"/>
  <c r="AB214" i="8"/>
  <c r="AA214" i="8"/>
  <c r="Z214" i="8"/>
  <c r="Y214" i="8"/>
  <c r="X214" i="8"/>
  <c r="W214" i="8"/>
  <c r="V214" i="8"/>
  <c r="U214" i="8"/>
  <c r="T214" i="8"/>
  <c r="S214" i="8"/>
  <c r="R214" i="8"/>
  <c r="Q214" i="8"/>
  <c r="P214" i="8"/>
  <c r="O214" i="8"/>
  <c r="N214" i="8"/>
  <c r="M214" i="8"/>
  <c r="L214" i="8"/>
  <c r="K214" i="8"/>
  <c r="J214" i="8"/>
  <c r="I214" i="8"/>
  <c r="H214" i="8"/>
  <c r="G214" i="8"/>
  <c r="F214" i="8"/>
  <c r="E214" i="8"/>
  <c r="D214" i="8"/>
  <c r="A214" i="8"/>
  <c r="B214" i="8" s="1"/>
  <c r="AX213" i="8"/>
  <c r="AW213" i="8"/>
  <c r="AV213" i="8"/>
  <c r="AU213" i="8"/>
  <c r="AT213" i="8"/>
  <c r="AS213" i="8"/>
  <c r="AR213" i="8"/>
  <c r="AQ213" i="8"/>
  <c r="AP213" i="8"/>
  <c r="AO213" i="8"/>
  <c r="AN213" i="8"/>
  <c r="AM213" i="8"/>
  <c r="AL213" i="8"/>
  <c r="AK213" i="8"/>
  <c r="AJ213" i="8"/>
  <c r="AI213" i="8"/>
  <c r="AH213" i="8"/>
  <c r="AG213" i="8"/>
  <c r="AF213" i="8"/>
  <c r="AE213" i="8"/>
  <c r="AD213" i="8"/>
  <c r="AC213" i="8"/>
  <c r="AB213" i="8"/>
  <c r="AA213" i="8"/>
  <c r="Z213" i="8"/>
  <c r="Y213" i="8"/>
  <c r="X213" i="8"/>
  <c r="W213" i="8"/>
  <c r="V213" i="8"/>
  <c r="U213" i="8"/>
  <c r="T213" i="8"/>
  <c r="S213" i="8"/>
  <c r="R213" i="8"/>
  <c r="Q213" i="8"/>
  <c r="P213" i="8"/>
  <c r="O213" i="8"/>
  <c r="N213" i="8"/>
  <c r="M213" i="8"/>
  <c r="L213" i="8"/>
  <c r="K213" i="8"/>
  <c r="J213" i="8"/>
  <c r="I213" i="8"/>
  <c r="H213" i="8"/>
  <c r="G213" i="8"/>
  <c r="F213" i="8"/>
  <c r="E213" i="8"/>
  <c r="D213" i="8"/>
  <c r="A213" i="8"/>
  <c r="B213" i="8" s="1"/>
  <c r="AX212" i="8"/>
  <c r="AW212" i="8"/>
  <c r="AV212" i="8"/>
  <c r="AU212" i="8"/>
  <c r="AT212" i="8"/>
  <c r="AS212" i="8"/>
  <c r="AR212" i="8"/>
  <c r="AQ212" i="8"/>
  <c r="AP212" i="8"/>
  <c r="AO212" i="8"/>
  <c r="AN212" i="8"/>
  <c r="AM212" i="8"/>
  <c r="AL212" i="8"/>
  <c r="AK212" i="8"/>
  <c r="AJ212" i="8"/>
  <c r="AI212" i="8"/>
  <c r="AH212" i="8"/>
  <c r="AG212" i="8"/>
  <c r="AF212" i="8"/>
  <c r="AE212" i="8"/>
  <c r="AD212" i="8"/>
  <c r="AC212" i="8"/>
  <c r="AB212" i="8"/>
  <c r="AA212" i="8"/>
  <c r="Z212" i="8"/>
  <c r="Y212" i="8"/>
  <c r="X212" i="8"/>
  <c r="W212" i="8"/>
  <c r="V212" i="8"/>
  <c r="U212" i="8"/>
  <c r="T212" i="8"/>
  <c r="S212" i="8"/>
  <c r="R212" i="8"/>
  <c r="Q212" i="8"/>
  <c r="P212" i="8"/>
  <c r="O212" i="8"/>
  <c r="N212" i="8"/>
  <c r="M212" i="8"/>
  <c r="L212" i="8"/>
  <c r="K212" i="8"/>
  <c r="J212" i="8"/>
  <c r="I212" i="8"/>
  <c r="H212" i="8"/>
  <c r="G212" i="8"/>
  <c r="F212" i="8"/>
  <c r="E212" i="8"/>
  <c r="D212" i="8"/>
  <c r="A212" i="8"/>
  <c r="B212" i="8" s="1"/>
  <c r="AX211" i="8"/>
  <c r="AW211" i="8"/>
  <c r="AV211" i="8"/>
  <c r="AU211" i="8"/>
  <c r="AT211" i="8"/>
  <c r="AS211" i="8"/>
  <c r="AR211" i="8"/>
  <c r="AQ211" i="8"/>
  <c r="AP211" i="8"/>
  <c r="AO211" i="8"/>
  <c r="AN211" i="8"/>
  <c r="AM211" i="8"/>
  <c r="AL211" i="8"/>
  <c r="AK211" i="8"/>
  <c r="AJ211" i="8"/>
  <c r="AI211" i="8"/>
  <c r="AH211" i="8"/>
  <c r="AG211" i="8"/>
  <c r="AF211" i="8"/>
  <c r="AE211" i="8"/>
  <c r="AD211" i="8"/>
  <c r="AC211" i="8"/>
  <c r="AB211" i="8"/>
  <c r="AA211" i="8"/>
  <c r="Z211" i="8"/>
  <c r="Y211" i="8"/>
  <c r="X211" i="8"/>
  <c r="W211" i="8"/>
  <c r="V211" i="8"/>
  <c r="U211" i="8"/>
  <c r="T211" i="8"/>
  <c r="S211" i="8"/>
  <c r="R211" i="8"/>
  <c r="Q211" i="8"/>
  <c r="P211" i="8"/>
  <c r="O211" i="8"/>
  <c r="N211" i="8"/>
  <c r="M211" i="8"/>
  <c r="L211" i="8"/>
  <c r="K211" i="8"/>
  <c r="J211" i="8"/>
  <c r="I211" i="8"/>
  <c r="H211" i="8"/>
  <c r="G211" i="8"/>
  <c r="F211" i="8"/>
  <c r="E211" i="8"/>
  <c r="D211" i="8"/>
  <c r="B211" i="8"/>
  <c r="A211" i="8"/>
  <c r="AX210" i="8"/>
  <c r="AW210" i="8"/>
  <c r="AV210" i="8"/>
  <c r="AU210" i="8"/>
  <c r="AT210" i="8"/>
  <c r="AS210" i="8"/>
  <c r="AR210" i="8"/>
  <c r="AQ210" i="8"/>
  <c r="AP210" i="8"/>
  <c r="AO210" i="8"/>
  <c r="AN210" i="8"/>
  <c r="AM210" i="8"/>
  <c r="AL210" i="8"/>
  <c r="AK210" i="8"/>
  <c r="AJ210" i="8"/>
  <c r="AI210" i="8"/>
  <c r="AH210" i="8"/>
  <c r="AG210" i="8"/>
  <c r="AF210" i="8"/>
  <c r="AE210" i="8"/>
  <c r="AD210" i="8"/>
  <c r="AC210" i="8"/>
  <c r="AB210" i="8"/>
  <c r="AA210" i="8"/>
  <c r="Z210" i="8"/>
  <c r="Y210" i="8"/>
  <c r="X210" i="8"/>
  <c r="W210" i="8"/>
  <c r="V210" i="8"/>
  <c r="U210" i="8"/>
  <c r="T210" i="8"/>
  <c r="S210" i="8"/>
  <c r="R210" i="8"/>
  <c r="Q210" i="8"/>
  <c r="P210" i="8"/>
  <c r="O210" i="8"/>
  <c r="N210" i="8"/>
  <c r="M210" i="8"/>
  <c r="L210" i="8"/>
  <c r="K210" i="8"/>
  <c r="J210" i="8"/>
  <c r="I210" i="8"/>
  <c r="H210" i="8"/>
  <c r="G210" i="8"/>
  <c r="F210" i="8"/>
  <c r="E210" i="8"/>
  <c r="D210" i="8"/>
  <c r="A210" i="8"/>
  <c r="B210" i="8" s="1"/>
  <c r="AX209" i="8"/>
  <c r="AW209" i="8"/>
  <c r="AV209" i="8"/>
  <c r="AU209" i="8"/>
  <c r="AT209" i="8"/>
  <c r="AS209" i="8"/>
  <c r="AR209" i="8"/>
  <c r="AQ209" i="8"/>
  <c r="AP209" i="8"/>
  <c r="AO209" i="8"/>
  <c r="AN209" i="8"/>
  <c r="AM209" i="8"/>
  <c r="AL209" i="8"/>
  <c r="AK209" i="8"/>
  <c r="AJ209" i="8"/>
  <c r="AI209" i="8"/>
  <c r="AH209" i="8"/>
  <c r="AG209" i="8"/>
  <c r="AF209" i="8"/>
  <c r="AE209" i="8"/>
  <c r="AD209" i="8"/>
  <c r="AC209" i="8"/>
  <c r="AB209" i="8"/>
  <c r="AA209" i="8"/>
  <c r="Z209" i="8"/>
  <c r="Y209" i="8"/>
  <c r="X209" i="8"/>
  <c r="W209" i="8"/>
  <c r="V209" i="8"/>
  <c r="U209" i="8"/>
  <c r="T209" i="8"/>
  <c r="S209" i="8"/>
  <c r="R209" i="8"/>
  <c r="Q209" i="8"/>
  <c r="P209" i="8"/>
  <c r="O209" i="8"/>
  <c r="N209" i="8"/>
  <c r="M209" i="8"/>
  <c r="L209" i="8"/>
  <c r="K209" i="8"/>
  <c r="J209" i="8"/>
  <c r="I209" i="8"/>
  <c r="H209" i="8"/>
  <c r="G209" i="8"/>
  <c r="F209" i="8"/>
  <c r="E209" i="8"/>
  <c r="D209" i="8"/>
  <c r="A209" i="8"/>
  <c r="B209" i="8" s="1"/>
  <c r="AX208" i="8"/>
  <c r="AW208" i="8"/>
  <c r="AV208" i="8"/>
  <c r="AU208" i="8"/>
  <c r="AT208" i="8"/>
  <c r="AS208" i="8"/>
  <c r="AR208" i="8"/>
  <c r="AQ208" i="8"/>
  <c r="AP208" i="8"/>
  <c r="AO208" i="8"/>
  <c r="AN208" i="8"/>
  <c r="AM208" i="8"/>
  <c r="AL208" i="8"/>
  <c r="AK208" i="8"/>
  <c r="AJ208" i="8"/>
  <c r="AI208" i="8"/>
  <c r="AH208" i="8"/>
  <c r="AG208" i="8"/>
  <c r="AF208" i="8"/>
  <c r="AE208" i="8"/>
  <c r="AD208" i="8"/>
  <c r="AC208" i="8"/>
  <c r="AB208" i="8"/>
  <c r="AA208" i="8"/>
  <c r="Z208" i="8"/>
  <c r="Y208" i="8"/>
  <c r="X208" i="8"/>
  <c r="W208" i="8"/>
  <c r="V208" i="8"/>
  <c r="U208" i="8"/>
  <c r="T208" i="8"/>
  <c r="S208" i="8"/>
  <c r="R208" i="8"/>
  <c r="Q208" i="8"/>
  <c r="P208" i="8"/>
  <c r="O208" i="8"/>
  <c r="N208" i="8"/>
  <c r="M208" i="8"/>
  <c r="L208" i="8"/>
  <c r="K208" i="8"/>
  <c r="J208" i="8"/>
  <c r="I208" i="8"/>
  <c r="H208" i="8"/>
  <c r="G208" i="8"/>
  <c r="F208" i="8"/>
  <c r="E208" i="8"/>
  <c r="D208" i="8"/>
  <c r="A208" i="8"/>
  <c r="B208" i="8" s="1"/>
  <c r="AX207" i="8"/>
  <c r="AW207" i="8"/>
  <c r="AV207" i="8"/>
  <c r="AU207" i="8"/>
  <c r="AT207" i="8"/>
  <c r="AS207" i="8"/>
  <c r="AR207" i="8"/>
  <c r="AQ207" i="8"/>
  <c r="AP207" i="8"/>
  <c r="AO207" i="8"/>
  <c r="AN207" i="8"/>
  <c r="AM207" i="8"/>
  <c r="AL207" i="8"/>
  <c r="AK207" i="8"/>
  <c r="AJ207" i="8"/>
  <c r="AI207" i="8"/>
  <c r="AH207" i="8"/>
  <c r="AG207" i="8"/>
  <c r="AF207" i="8"/>
  <c r="AE207" i="8"/>
  <c r="AD207" i="8"/>
  <c r="AC207" i="8"/>
  <c r="AB207" i="8"/>
  <c r="AA207" i="8"/>
  <c r="Z207" i="8"/>
  <c r="Y207" i="8"/>
  <c r="X207" i="8"/>
  <c r="W207" i="8"/>
  <c r="V207" i="8"/>
  <c r="U207" i="8"/>
  <c r="T207" i="8"/>
  <c r="S207" i="8"/>
  <c r="R207" i="8"/>
  <c r="Q207" i="8"/>
  <c r="P207" i="8"/>
  <c r="O207" i="8"/>
  <c r="N207" i="8"/>
  <c r="M207" i="8"/>
  <c r="L207" i="8"/>
  <c r="K207" i="8"/>
  <c r="J207" i="8"/>
  <c r="I207" i="8"/>
  <c r="H207" i="8"/>
  <c r="G207" i="8"/>
  <c r="F207" i="8"/>
  <c r="E207" i="8"/>
  <c r="D207" i="8"/>
  <c r="B207" i="8"/>
  <c r="A207" i="8"/>
  <c r="AX206" i="8"/>
  <c r="AW206" i="8"/>
  <c r="AV206" i="8"/>
  <c r="AU206" i="8"/>
  <c r="AT206" i="8"/>
  <c r="AS206" i="8"/>
  <c r="AR206" i="8"/>
  <c r="AQ206" i="8"/>
  <c r="AP206" i="8"/>
  <c r="AO206" i="8"/>
  <c r="AN206" i="8"/>
  <c r="AM206" i="8"/>
  <c r="AL206" i="8"/>
  <c r="AK206" i="8"/>
  <c r="AJ206" i="8"/>
  <c r="AI206" i="8"/>
  <c r="AH206" i="8"/>
  <c r="AG206" i="8"/>
  <c r="AF206" i="8"/>
  <c r="AE206" i="8"/>
  <c r="AD206" i="8"/>
  <c r="AC206" i="8"/>
  <c r="AB206" i="8"/>
  <c r="AA206" i="8"/>
  <c r="Z206" i="8"/>
  <c r="Y206" i="8"/>
  <c r="X206" i="8"/>
  <c r="W206" i="8"/>
  <c r="V206" i="8"/>
  <c r="U206" i="8"/>
  <c r="T206" i="8"/>
  <c r="S206" i="8"/>
  <c r="R206" i="8"/>
  <c r="Q206" i="8"/>
  <c r="P206" i="8"/>
  <c r="O206" i="8"/>
  <c r="N206" i="8"/>
  <c r="M206" i="8"/>
  <c r="L206" i="8"/>
  <c r="K206" i="8"/>
  <c r="J206" i="8"/>
  <c r="I206" i="8"/>
  <c r="H206" i="8"/>
  <c r="G206" i="8"/>
  <c r="F206" i="8"/>
  <c r="E206" i="8"/>
  <c r="D206" i="8"/>
  <c r="A206" i="8"/>
  <c r="B206" i="8" s="1"/>
  <c r="AX205" i="8"/>
  <c r="AW205" i="8"/>
  <c r="AV205" i="8"/>
  <c r="AU205" i="8"/>
  <c r="AT205" i="8"/>
  <c r="AS205" i="8"/>
  <c r="AR205" i="8"/>
  <c r="AQ205" i="8"/>
  <c r="AP205" i="8"/>
  <c r="AO205" i="8"/>
  <c r="AN205" i="8"/>
  <c r="AM205" i="8"/>
  <c r="AL205" i="8"/>
  <c r="AK205" i="8"/>
  <c r="AJ205" i="8"/>
  <c r="AI205" i="8"/>
  <c r="AH205" i="8"/>
  <c r="AG205" i="8"/>
  <c r="AF205" i="8"/>
  <c r="AE205" i="8"/>
  <c r="AD205" i="8"/>
  <c r="AC205" i="8"/>
  <c r="AB205" i="8"/>
  <c r="AA205" i="8"/>
  <c r="Z205" i="8"/>
  <c r="Y205" i="8"/>
  <c r="X205" i="8"/>
  <c r="W205" i="8"/>
  <c r="V205" i="8"/>
  <c r="U205" i="8"/>
  <c r="T205" i="8"/>
  <c r="S205" i="8"/>
  <c r="R205" i="8"/>
  <c r="Q205" i="8"/>
  <c r="P205" i="8"/>
  <c r="O205" i="8"/>
  <c r="N205" i="8"/>
  <c r="M205" i="8"/>
  <c r="L205" i="8"/>
  <c r="K205" i="8"/>
  <c r="J205" i="8"/>
  <c r="I205" i="8"/>
  <c r="H205" i="8"/>
  <c r="G205" i="8"/>
  <c r="F205" i="8"/>
  <c r="E205" i="8"/>
  <c r="D205" i="8"/>
  <c r="A205" i="8"/>
  <c r="B205" i="8" s="1"/>
  <c r="AX204" i="8"/>
  <c r="AW204" i="8"/>
  <c r="AV204" i="8"/>
  <c r="AU204" i="8"/>
  <c r="AT204" i="8"/>
  <c r="AS204" i="8"/>
  <c r="AR204" i="8"/>
  <c r="AQ204" i="8"/>
  <c r="AP204" i="8"/>
  <c r="AO204" i="8"/>
  <c r="AN204" i="8"/>
  <c r="AM204" i="8"/>
  <c r="AL204" i="8"/>
  <c r="AK204" i="8"/>
  <c r="AJ204" i="8"/>
  <c r="AI204" i="8"/>
  <c r="AH204" i="8"/>
  <c r="AG204" i="8"/>
  <c r="AF204" i="8"/>
  <c r="AE204" i="8"/>
  <c r="AD204" i="8"/>
  <c r="AC204" i="8"/>
  <c r="AB204" i="8"/>
  <c r="AA204" i="8"/>
  <c r="Z204" i="8"/>
  <c r="Y204" i="8"/>
  <c r="X204" i="8"/>
  <c r="W204" i="8"/>
  <c r="V204" i="8"/>
  <c r="U204" i="8"/>
  <c r="T204" i="8"/>
  <c r="S204" i="8"/>
  <c r="R204" i="8"/>
  <c r="Q204" i="8"/>
  <c r="P204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A204" i="8"/>
  <c r="B204" i="8" s="1"/>
  <c r="AX203" i="8"/>
  <c r="AW203" i="8"/>
  <c r="AV203" i="8"/>
  <c r="AU203" i="8"/>
  <c r="AT203" i="8"/>
  <c r="AS203" i="8"/>
  <c r="AR203" i="8"/>
  <c r="AQ203" i="8"/>
  <c r="AP203" i="8"/>
  <c r="AO203" i="8"/>
  <c r="AN203" i="8"/>
  <c r="AM203" i="8"/>
  <c r="AL203" i="8"/>
  <c r="AK203" i="8"/>
  <c r="AJ203" i="8"/>
  <c r="AI203" i="8"/>
  <c r="AH203" i="8"/>
  <c r="AG203" i="8"/>
  <c r="AF203" i="8"/>
  <c r="AE203" i="8"/>
  <c r="AD203" i="8"/>
  <c r="AC203" i="8"/>
  <c r="AB203" i="8"/>
  <c r="AA203" i="8"/>
  <c r="Z203" i="8"/>
  <c r="Y203" i="8"/>
  <c r="X203" i="8"/>
  <c r="W203" i="8"/>
  <c r="V203" i="8"/>
  <c r="U203" i="8"/>
  <c r="T203" i="8"/>
  <c r="S203" i="8"/>
  <c r="R203" i="8"/>
  <c r="Q203" i="8"/>
  <c r="P203" i="8"/>
  <c r="O203" i="8"/>
  <c r="N203" i="8"/>
  <c r="M203" i="8"/>
  <c r="L203" i="8"/>
  <c r="K203" i="8"/>
  <c r="J203" i="8"/>
  <c r="I203" i="8"/>
  <c r="H203" i="8"/>
  <c r="G203" i="8"/>
  <c r="F203" i="8"/>
  <c r="E203" i="8"/>
  <c r="D203" i="8"/>
  <c r="B203" i="8"/>
  <c r="A203" i="8"/>
  <c r="AX202" i="8"/>
  <c r="AW202" i="8"/>
  <c r="AV202" i="8"/>
  <c r="AU202" i="8"/>
  <c r="AT202" i="8"/>
  <c r="AS202" i="8"/>
  <c r="AR202" i="8"/>
  <c r="AQ202" i="8"/>
  <c r="AP202" i="8"/>
  <c r="AO202" i="8"/>
  <c r="AN202" i="8"/>
  <c r="AM202" i="8"/>
  <c r="AL202" i="8"/>
  <c r="AK202" i="8"/>
  <c r="AJ202" i="8"/>
  <c r="AI202" i="8"/>
  <c r="AH202" i="8"/>
  <c r="AG202" i="8"/>
  <c r="AF202" i="8"/>
  <c r="AE202" i="8"/>
  <c r="AD202" i="8"/>
  <c r="AC202" i="8"/>
  <c r="AB202" i="8"/>
  <c r="AA202" i="8"/>
  <c r="Z202" i="8"/>
  <c r="Y202" i="8"/>
  <c r="X202" i="8"/>
  <c r="W202" i="8"/>
  <c r="V202" i="8"/>
  <c r="U202" i="8"/>
  <c r="T202" i="8"/>
  <c r="S202" i="8"/>
  <c r="R202" i="8"/>
  <c r="Q202" i="8"/>
  <c r="P202" i="8"/>
  <c r="O202" i="8"/>
  <c r="N202" i="8"/>
  <c r="M202" i="8"/>
  <c r="L202" i="8"/>
  <c r="K202" i="8"/>
  <c r="J202" i="8"/>
  <c r="I202" i="8"/>
  <c r="H202" i="8"/>
  <c r="G202" i="8"/>
  <c r="F202" i="8"/>
  <c r="E202" i="8"/>
  <c r="D202" i="8"/>
  <c r="A202" i="8"/>
  <c r="B202" i="8" s="1"/>
  <c r="AX201" i="8"/>
  <c r="AW201" i="8"/>
  <c r="AV201" i="8"/>
  <c r="AU201" i="8"/>
  <c r="AT201" i="8"/>
  <c r="AS201" i="8"/>
  <c r="AR201" i="8"/>
  <c r="AQ201" i="8"/>
  <c r="AP201" i="8"/>
  <c r="AO201" i="8"/>
  <c r="AN201" i="8"/>
  <c r="AM201" i="8"/>
  <c r="AL201" i="8"/>
  <c r="AK201" i="8"/>
  <c r="AJ201" i="8"/>
  <c r="AI201" i="8"/>
  <c r="AH201" i="8"/>
  <c r="AG201" i="8"/>
  <c r="AF201" i="8"/>
  <c r="AE201" i="8"/>
  <c r="AD201" i="8"/>
  <c r="AC201" i="8"/>
  <c r="AB201" i="8"/>
  <c r="AA201" i="8"/>
  <c r="Z201" i="8"/>
  <c r="Y201" i="8"/>
  <c r="X201" i="8"/>
  <c r="W201" i="8"/>
  <c r="V201" i="8"/>
  <c r="U201" i="8"/>
  <c r="T201" i="8"/>
  <c r="S201" i="8"/>
  <c r="R201" i="8"/>
  <c r="Q201" i="8"/>
  <c r="P201" i="8"/>
  <c r="O201" i="8"/>
  <c r="N201" i="8"/>
  <c r="M201" i="8"/>
  <c r="L201" i="8"/>
  <c r="K201" i="8"/>
  <c r="J201" i="8"/>
  <c r="I201" i="8"/>
  <c r="H201" i="8"/>
  <c r="G201" i="8"/>
  <c r="F201" i="8"/>
  <c r="E201" i="8"/>
  <c r="D201" i="8"/>
  <c r="A201" i="8"/>
  <c r="B201" i="8" s="1"/>
  <c r="AX200" i="8"/>
  <c r="AW200" i="8"/>
  <c r="AV200" i="8"/>
  <c r="AU200" i="8"/>
  <c r="AT200" i="8"/>
  <c r="AS200" i="8"/>
  <c r="AR200" i="8"/>
  <c r="AQ200" i="8"/>
  <c r="AP200" i="8"/>
  <c r="AO200" i="8"/>
  <c r="AN200" i="8"/>
  <c r="AM200" i="8"/>
  <c r="AL200" i="8"/>
  <c r="AK200" i="8"/>
  <c r="AJ200" i="8"/>
  <c r="AI200" i="8"/>
  <c r="AH200" i="8"/>
  <c r="AG200" i="8"/>
  <c r="AF200" i="8"/>
  <c r="AE200" i="8"/>
  <c r="AD200" i="8"/>
  <c r="AC200" i="8"/>
  <c r="AB200" i="8"/>
  <c r="AA200" i="8"/>
  <c r="Z200" i="8"/>
  <c r="Y200" i="8"/>
  <c r="X200" i="8"/>
  <c r="W200" i="8"/>
  <c r="V200" i="8"/>
  <c r="U200" i="8"/>
  <c r="T200" i="8"/>
  <c r="S200" i="8"/>
  <c r="R200" i="8"/>
  <c r="Q200" i="8"/>
  <c r="P200" i="8"/>
  <c r="O200" i="8"/>
  <c r="N200" i="8"/>
  <c r="M200" i="8"/>
  <c r="L200" i="8"/>
  <c r="K200" i="8"/>
  <c r="J200" i="8"/>
  <c r="I200" i="8"/>
  <c r="H200" i="8"/>
  <c r="G200" i="8"/>
  <c r="F200" i="8"/>
  <c r="E200" i="8"/>
  <c r="D200" i="8"/>
  <c r="A200" i="8"/>
  <c r="B200" i="8" s="1"/>
  <c r="AX199" i="8"/>
  <c r="AW199" i="8"/>
  <c r="AV199" i="8"/>
  <c r="AU199" i="8"/>
  <c r="AT199" i="8"/>
  <c r="AS199" i="8"/>
  <c r="AR199" i="8"/>
  <c r="AQ199" i="8"/>
  <c r="AP199" i="8"/>
  <c r="AO199" i="8"/>
  <c r="AN199" i="8"/>
  <c r="AM199" i="8"/>
  <c r="AL199" i="8"/>
  <c r="AK199" i="8"/>
  <c r="AJ199" i="8"/>
  <c r="AI199" i="8"/>
  <c r="AH199" i="8"/>
  <c r="AG199" i="8"/>
  <c r="AF199" i="8"/>
  <c r="AE199" i="8"/>
  <c r="AD199" i="8"/>
  <c r="AC199" i="8"/>
  <c r="AB199" i="8"/>
  <c r="AA199" i="8"/>
  <c r="Z199" i="8"/>
  <c r="Y199" i="8"/>
  <c r="X199" i="8"/>
  <c r="W199" i="8"/>
  <c r="V199" i="8"/>
  <c r="U199" i="8"/>
  <c r="T199" i="8"/>
  <c r="S199" i="8"/>
  <c r="R199" i="8"/>
  <c r="Q199" i="8"/>
  <c r="P199" i="8"/>
  <c r="O199" i="8"/>
  <c r="N199" i="8"/>
  <c r="M199" i="8"/>
  <c r="L199" i="8"/>
  <c r="K199" i="8"/>
  <c r="J199" i="8"/>
  <c r="I199" i="8"/>
  <c r="H199" i="8"/>
  <c r="G199" i="8"/>
  <c r="F199" i="8"/>
  <c r="E199" i="8"/>
  <c r="D199" i="8"/>
  <c r="B199" i="8"/>
  <c r="A199" i="8"/>
  <c r="AX198" i="8"/>
  <c r="AW198" i="8"/>
  <c r="AV198" i="8"/>
  <c r="AU198" i="8"/>
  <c r="AT198" i="8"/>
  <c r="AS198" i="8"/>
  <c r="AR198" i="8"/>
  <c r="AQ198" i="8"/>
  <c r="AP198" i="8"/>
  <c r="AO198" i="8"/>
  <c r="AN198" i="8"/>
  <c r="AM198" i="8"/>
  <c r="AL198" i="8"/>
  <c r="AK198" i="8"/>
  <c r="AJ198" i="8"/>
  <c r="AI198" i="8"/>
  <c r="AH198" i="8"/>
  <c r="AG198" i="8"/>
  <c r="AF198" i="8"/>
  <c r="AE198" i="8"/>
  <c r="AD198" i="8"/>
  <c r="AC198" i="8"/>
  <c r="AB198" i="8"/>
  <c r="AA198" i="8"/>
  <c r="Z198" i="8"/>
  <c r="Y198" i="8"/>
  <c r="X198" i="8"/>
  <c r="W198" i="8"/>
  <c r="V198" i="8"/>
  <c r="U198" i="8"/>
  <c r="T198" i="8"/>
  <c r="S198" i="8"/>
  <c r="R198" i="8"/>
  <c r="Q198" i="8"/>
  <c r="P198" i="8"/>
  <c r="O198" i="8"/>
  <c r="N198" i="8"/>
  <c r="M198" i="8"/>
  <c r="L198" i="8"/>
  <c r="K198" i="8"/>
  <c r="J198" i="8"/>
  <c r="I198" i="8"/>
  <c r="H198" i="8"/>
  <c r="G198" i="8"/>
  <c r="F198" i="8"/>
  <c r="E198" i="8"/>
  <c r="D198" i="8"/>
  <c r="A198" i="8"/>
  <c r="B198" i="8" s="1"/>
  <c r="AX197" i="8"/>
  <c r="AW197" i="8"/>
  <c r="AV197" i="8"/>
  <c r="AU197" i="8"/>
  <c r="AT197" i="8"/>
  <c r="AS197" i="8"/>
  <c r="AR197" i="8"/>
  <c r="AQ197" i="8"/>
  <c r="AP197" i="8"/>
  <c r="AO197" i="8"/>
  <c r="AN197" i="8"/>
  <c r="AM197" i="8"/>
  <c r="AL197" i="8"/>
  <c r="AK197" i="8"/>
  <c r="AJ197" i="8"/>
  <c r="AI197" i="8"/>
  <c r="AH197" i="8"/>
  <c r="AG197" i="8"/>
  <c r="AF197" i="8"/>
  <c r="AE197" i="8"/>
  <c r="AD197" i="8"/>
  <c r="AC197" i="8"/>
  <c r="AB197" i="8"/>
  <c r="AA197" i="8"/>
  <c r="Z197" i="8"/>
  <c r="Y197" i="8"/>
  <c r="X197" i="8"/>
  <c r="W197" i="8"/>
  <c r="V197" i="8"/>
  <c r="U197" i="8"/>
  <c r="T197" i="8"/>
  <c r="S197" i="8"/>
  <c r="R197" i="8"/>
  <c r="Q197" i="8"/>
  <c r="P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A197" i="8"/>
  <c r="B197" i="8" s="1"/>
  <c r="AX196" i="8"/>
  <c r="AW196" i="8"/>
  <c r="AV196" i="8"/>
  <c r="AU196" i="8"/>
  <c r="AT196" i="8"/>
  <c r="AS196" i="8"/>
  <c r="AR196" i="8"/>
  <c r="AQ196" i="8"/>
  <c r="AP196" i="8"/>
  <c r="AO196" i="8"/>
  <c r="AN196" i="8"/>
  <c r="AM196" i="8"/>
  <c r="AL196" i="8"/>
  <c r="AK196" i="8"/>
  <c r="AJ196" i="8"/>
  <c r="AI196" i="8"/>
  <c r="AH196" i="8"/>
  <c r="AG196" i="8"/>
  <c r="AF196" i="8"/>
  <c r="AE196" i="8"/>
  <c r="AD196" i="8"/>
  <c r="AC196" i="8"/>
  <c r="AB196" i="8"/>
  <c r="AA196" i="8"/>
  <c r="Z196" i="8"/>
  <c r="Y196" i="8"/>
  <c r="X196" i="8"/>
  <c r="W196" i="8"/>
  <c r="V196" i="8"/>
  <c r="U196" i="8"/>
  <c r="T196" i="8"/>
  <c r="S196" i="8"/>
  <c r="R196" i="8"/>
  <c r="Q196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D196" i="8"/>
  <c r="A196" i="8"/>
  <c r="B196" i="8" s="1"/>
  <c r="AX195" i="8"/>
  <c r="AW195" i="8"/>
  <c r="AV195" i="8"/>
  <c r="AU195" i="8"/>
  <c r="AT195" i="8"/>
  <c r="AS195" i="8"/>
  <c r="AR195" i="8"/>
  <c r="AQ195" i="8"/>
  <c r="AP195" i="8"/>
  <c r="AO195" i="8"/>
  <c r="AN195" i="8"/>
  <c r="AM195" i="8"/>
  <c r="AL195" i="8"/>
  <c r="AK195" i="8"/>
  <c r="AJ195" i="8"/>
  <c r="AI195" i="8"/>
  <c r="AH195" i="8"/>
  <c r="AG195" i="8"/>
  <c r="AF195" i="8"/>
  <c r="AE195" i="8"/>
  <c r="AD195" i="8"/>
  <c r="AC195" i="8"/>
  <c r="AB195" i="8"/>
  <c r="AA195" i="8"/>
  <c r="Z195" i="8"/>
  <c r="Y195" i="8"/>
  <c r="X195" i="8"/>
  <c r="W195" i="8"/>
  <c r="V195" i="8"/>
  <c r="U195" i="8"/>
  <c r="T195" i="8"/>
  <c r="S195" i="8"/>
  <c r="R195" i="8"/>
  <c r="Q195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D195" i="8"/>
  <c r="B195" i="8"/>
  <c r="A195" i="8"/>
  <c r="AX194" i="8"/>
  <c r="AW194" i="8"/>
  <c r="AV194" i="8"/>
  <c r="AU194" i="8"/>
  <c r="AT194" i="8"/>
  <c r="AS194" i="8"/>
  <c r="AR194" i="8"/>
  <c r="AQ194" i="8"/>
  <c r="AP194" i="8"/>
  <c r="AO194" i="8"/>
  <c r="AN194" i="8"/>
  <c r="AM194" i="8"/>
  <c r="AL194" i="8"/>
  <c r="AK194" i="8"/>
  <c r="AJ194" i="8"/>
  <c r="AI194" i="8"/>
  <c r="AH194" i="8"/>
  <c r="AG194" i="8"/>
  <c r="AF194" i="8"/>
  <c r="AE194" i="8"/>
  <c r="AD194" i="8"/>
  <c r="AC194" i="8"/>
  <c r="AB194" i="8"/>
  <c r="AA194" i="8"/>
  <c r="Z194" i="8"/>
  <c r="Y194" i="8"/>
  <c r="X194" i="8"/>
  <c r="W194" i="8"/>
  <c r="V194" i="8"/>
  <c r="U194" i="8"/>
  <c r="T194" i="8"/>
  <c r="S194" i="8"/>
  <c r="R194" i="8"/>
  <c r="Q194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D194" i="8"/>
  <c r="A194" i="8"/>
  <c r="B194" i="8" s="1"/>
  <c r="AX193" i="8"/>
  <c r="AW193" i="8"/>
  <c r="AV193" i="8"/>
  <c r="AU193" i="8"/>
  <c r="AT193" i="8"/>
  <c r="AS193" i="8"/>
  <c r="AR193" i="8"/>
  <c r="AQ193" i="8"/>
  <c r="AP193" i="8"/>
  <c r="AO193" i="8"/>
  <c r="AN193" i="8"/>
  <c r="AM193" i="8"/>
  <c r="AL193" i="8"/>
  <c r="AK193" i="8"/>
  <c r="AJ193" i="8"/>
  <c r="AI193" i="8"/>
  <c r="AH193" i="8"/>
  <c r="AG193" i="8"/>
  <c r="AF193" i="8"/>
  <c r="AE193" i="8"/>
  <c r="AD193" i="8"/>
  <c r="AC193" i="8"/>
  <c r="AB193" i="8"/>
  <c r="AA193" i="8"/>
  <c r="Z193" i="8"/>
  <c r="Y193" i="8"/>
  <c r="X193" i="8"/>
  <c r="W193" i="8"/>
  <c r="V193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D193" i="8"/>
  <c r="A193" i="8"/>
  <c r="B193" i="8" s="1"/>
  <c r="AX192" i="8"/>
  <c r="AW192" i="8"/>
  <c r="AV192" i="8"/>
  <c r="AU192" i="8"/>
  <c r="AT192" i="8"/>
  <c r="AS192" i="8"/>
  <c r="AR192" i="8"/>
  <c r="AQ192" i="8"/>
  <c r="AP192" i="8"/>
  <c r="AO192" i="8"/>
  <c r="AN192" i="8"/>
  <c r="AM192" i="8"/>
  <c r="AL192" i="8"/>
  <c r="AK192" i="8"/>
  <c r="AJ192" i="8"/>
  <c r="AI192" i="8"/>
  <c r="AH192" i="8"/>
  <c r="AG192" i="8"/>
  <c r="AF192" i="8"/>
  <c r="AE192" i="8"/>
  <c r="AD192" i="8"/>
  <c r="AC192" i="8"/>
  <c r="AB192" i="8"/>
  <c r="AA192" i="8"/>
  <c r="Z192" i="8"/>
  <c r="Y192" i="8"/>
  <c r="X192" i="8"/>
  <c r="W192" i="8"/>
  <c r="V192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D192" i="8"/>
  <c r="A192" i="8"/>
  <c r="B192" i="8" s="1"/>
  <c r="AX191" i="8"/>
  <c r="AW191" i="8"/>
  <c r="AV191" i="8"/>
  <c r="AU191" i="8"/>
  <c r="AT191" i="8"/>
  <c r="AS191" i="8"/>
  <c r="AR191" i="8"/>
  <c r="AQ191" i="8"/>
  <c r="AP191" i="8"/>
  <c r="AO191" i="8"/>
  <c r="AN191" i="8"/>
  <c r="AM191" i="8"/>
  <c r="AL191" i="8"/>
  <c r="AK191" i="8"/>
  <c r="AJ191" i="8"/>
  <c r="AI191" i="8"/>
  <c r="AH191" i="8"/>
  <c r="AG191" i="8"/>
  <c r="AF191" i="8"/>
  <c r="AE191" i="8"/>
  <c r="AD191" i="8"/>
  <c r="AC191" i="8"/>
  <c r="AB191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B191" i="8"/>
  <c r="A191" i="8"/>
  <c r="AX190" i="8"/>
  <c r="AW190" i="8"/>
  <c r="AV190" i="8"/>
  <c r="AU190" i="8"/>
  <c r="AT190" i="8"/>
  <c r="AS190" i="8"/>
  <c r="AR190" i="8"/>
  <c r="AQ190" i="8"/>
  <c r="AP190" i="8"/>
  <c r="AO190" i="8"/>
  <c r="AN190" i="8"/>
  <c r="AM190" i="8"/>
  <c r="AL190" i="8"/>
  <c r="AK190" i="8"/>
  <c r="AJ190" i="8"/>
  <c r="AI190" i="8"/>
  <c r="AH190" i="8"/>
  <c r="AG190" i="8"/>
  <c r="AF190" i="8"/>
  <c r="AE190" i="8"/>
  <c r="AD190" i="8"/>
  <c r="AC190" i="8"/>
  <c r="AB190" i="8"/>
  <c r="AA190" i="8"/>
  <c r="Z190" i="8"/>
  <c r="Y190" i="8"/>
  <c r="X190" i="8"/>
  <c r="W190" i="8"/>
  <c r="V190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A190" i="8"/>
  <c r="B190" i="8" s="1"/>
  <c r="AX189" i="8"/>
  <c r="AW189" i="8"/>
  <c r="AV189" i="8"/>
  <c r="AU189" i="8"/>
  <c r="AT189" i="8"/>
  <c r="AS189" i="8"/>
  <c r="AR189" i="8"/>
  <c r="AQ189" i="8"/>
  <c r="AP189" i="8"/>
  <c r="AO189" i="8"/>
  <c r="AN189" i="8"/>
  <c r="AM189" i="8"/>
  <c r="AL189" i="8"/>
  <c r="AK189" i="8"/>
  <c r="AJ189" i="8"/>
  <c r="AI189" i="8"/>
  <c r="AH189" i="8"/>
  <c r="AG189" i="8"/>
  <c r="AF189" i="8"/>
  <c r="AE189" i="8"/>
  <c r="AD189" i="8"/>
  <c r="AC189" i="8"/>
  <c r="AB189" i="8"/>
  <c r="AA189" i="8"/>
  <c r="Z189" i="8"/>
  <c r="Y189" i="8"/>
  <c r="X189" i="8"/>
  <c r="W189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A189" i="8"/>
  <c r="B189" i="8" s="1"/>
  <c r="AX188" i="8"/>
  <c r="AW188" i="8"/>
  <c r="AV188" i="8"/>
  <c r="AU188" i="8"/>
  <c r="AT188" i="8"/>
  <c r="AS188" i="8"/>
  <c r="AR188" i="8"/>
  <c r="AQ188" i="8"/>
  <c r="AP188" i="8"/>
  <c r="AO188" i="8"/>
  <c r="AN188" i="8"/>
  <c r="AM188" i="8"/>
  <c r="AL188" i="8"/>
  <c r="AK188" i="8"/>
  <c r="AJ188" i="8"/>
  <c r="AI188" i="8"/>
  <c r="AH188" i="8"/>
  <c r="AG188" i="8"/>
  <c r="AF188" i="8"/>
  <c r="AE188" i="8"/>
  <c r="AD188" i="8"/>
  <c r="AC188" i="8"/>
  <c r="AB188" i="8"/>
  <c r="AA188" i="8"/>
  <c r="Z188" i="8"/>
  <c r="Y188" i="8"/>
  <c r="X188" i="8"/>
  <c r="W188" i="8"/>
  <c r="V188" i="8"/>
  <c r="U188" i="8"/>
  <c r="T188" i="8"/>
  <c r="S188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A188" i="8"/>
  <c r="B188" i="8" s="1"/>
  <c r="AX187" i="8"/>
  <c r="AW187" i="8"/>
  <c r="AV187" i="8"/>
  <c r="AU187" i="8"/>
  <c r="AT187" i="8"/>
  <c r="AS187" i="8"/>
  <c r="AR187" i="8"/>
  <c r="AQ187" i="8"/>
  <c r="AP187" i="8"/>
  <c r="AO187" i="8"/>
  <c r="AN187" i="8"/>
  <c r="AM187" i="8"/>
  <c r="AL187" i="8"/>
  <c r="AK187" i="8"/>
  <c r="AJ187" i="8"/>
  <c r="AI187" i="8"/>
  <c r="AH187" i="8"/>
  <c r="AG187" i="8"/>
  <c r="AF187" i="8"/>
  <c r="AE187" i="8"/>
  <c r="AD187" i="8"/>
  <c r="AC187" i="8"/>
  <c r="AB187" i="8"/>
  <c r="AA187" i="8"/>
  <c r="Z187" i="8"/>
  <c r="Y187" i="8"/>
  <c r="X187" i="8"/>
  <c r="W187" i="8"/>
  <c r="V187" i="8"/>
  <c r="U187" i="8"/>
  <c r="T187" i="8"/>
  <c r="S187" i="8"/>
  <c r="R187" i="8"/>
  <c r="Q187" i="8"/>
  <c r="P187" i="8"/>
  <c r="O187" i="8"/>
  <c r="N187" i="8"/>
  <c r="M187" i="8"/>
  <c r="L187" i="8"/>
  <c r="K187" i="8"/>
  <c r="J187" i="8"/>
  <c r="I187" i="8"/>
  <c r="H187" i="8"/>
  <c r="G187" i="8"/>
  <c r="F187" i="8"/>
  <c r="E187" i="8"/>
  <c r="D187" i="8"/>
  <c r="B187" i="8"/>
  <c r="A187" i="8"/>
  <c r="AX186" i="8"/>
  <c r="AW186" i="8"/>
  <c r="AV186" i="8"/>
  <c r="AU186" i="8"/>
  <c r="AT186" i="8"/>
  <c r="AS186" i="8"/>
  <c r="AR186" i="8"/>
  <c r="AQ186" i="8"/>
  <c r="AP186" i="8"/>
  <c r="AO186" i="8"/>
  <c r="AN186" i="8"/>
  <c r="AM186" i="8"/>
  <c r="AL186" i="8"/>
  <c r="AK186" i="8"/>
  <c r="AJ186" i="8"/>
  <c r="AI186" i="8"/>
  <c r="AH186" i="8"/>
  <c r="AG186" i="8"/>
  <c r="AF186" i="8"/>
  <c r="AE186" i="8"/>
  <c r="AD186" i="8"/>
  <c r="AC186" i="8"/>
  <c r="AB186" i="8"/>
  <c r="AA186" i="8"/>
  <c r="Z186" i="8"/>
  <c r="Y186" i="8"/>
  <c r="X186" i="8"/>
  <c r="W186" i="8"/>
  <c r="V186" i="8"/>
  <c r="U186" i="8"/>
  <c r="T186" i="8"/>
  <c r="S186" i="8"/>
  <c r="R186" i="8"/>
  <c r="Q186" i="8"/>
  <c r="P186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A186" i="8"/>
  <c r="B186" i="8" s="1"/>
  <c r="AX185" i="8"/>
  <c r="AW185" i="8"/>
  <c r="AV185" i="8"/>
  <c r="AU185" i="8"/>
  <c r="AT185" i="8"/>
  <c r="AS185" i="8"/>
  <c r="AR185" i="8"/>
  <c r="AQ185" i="8"/>
  <c r="AP185" i="8"/>
  <c r="AO185" i="8"/>
  <c r="AN185" i="8"/>
  <c r="AM185" i="8"/>
  <c r="AL185" i="8"/>
  <c r="AK185" i="8"/>
  <c r="AJ185" i="8"/>
  <c r="AI185" i="8"/>
  <c r="AH185" i="8"/>
  <c r="AG185" i="8"/>
  <c r="AF185" i="8"/>
  <c r="AE185" i="8"/>
  <c r="AD185" i="8"/>
  <c r="AC185" i="8"/>
  <c r="AB185" i="8"/>
  <c r="AA185" i="8"/>
  <c r="Z185" i="8"/>
  <c r="Y185" i="8"/>
  <c r="X185" i="8"/>
  <c r="W185" i="8"/>
  <c r="V185" i="8"/>
  <c r="U185" i="8"/>
  <c r="T185" i="8"/>
  <c r="S185" i="8"/>
  <c r="R185" i="8"/>
  <c r="Q185" i="8"/>
  <c r="P185" i="8"/>
  <c r="O185" i="8"/>
  <c r="N185" i="8"/>
  <c r="M185" i="8"/>
  <c r="L185" i="8"/>
  <c r="K185" i="8"/>
  <c r="J185" i="8"/>
  <c r="I185" i="8"/>
  <c r="H185" i="8"/>
  <c r="G185" i="8"/>
  <c r="F185" i="8"/>
  <c r="E185" i="8"/>
  <c r="D185" i="8"/>
  <c r="A185" i="8"/>
  <c r="B185" i="8" s="1"/>
  <c r="AX184" i="8"/>
  <c r="AW184" i="8"/>
  <c r="AV184" i="8"/>
  <c r="AU184" i="8"/>
  <c r="AT184" i="8"/>
  <c r="AS184" i="8"/>
  <c r="AR184" i="8"/>
  <c r="AQ184" i="8"/>
  <c r="AP184" i="8"/>
  <c r="AO184" i="8"/>
  <c r="AN184" i="8"/>
  <c r="AM184" i="8"/>
  <c r="AL184" i="8"/>
  <c r="AK184" i="8"/>
  <c r="AJ184" i="8"/>
  <c r="AI184" i="8"/>
  <c r="AH184" i="8"/>
  <c r="AG184" i="8"/>
  <c r="AF184" i="8"/>
  <c r="AE184" i="8"/>
  <c r="AD184" i="8"/>
  <c r="AC184" i="8"/>
  <c r="AB184" i="8"/>
  <c r="AA184" i="8"/>
  <c r="Z184" i="8"/>
  <c r="Y184" i="8"/>
  <c r="X184" i="8"/>
  <c r="W184" i="8"/>
  <c r="V184" i="8"/>
  <c r="U184" i="8"/>
  <c r="T184" i="8"/>
  <c r="S184" i="8"/>
  <c r="R184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A184" i="8"/>
  <c r="B184" i="8" s="1"/>
  <c r="AX183" i="8"/>
  <c r="AW183" i="8"/>
  <c r="AV183" i="8"/>
  <c r="AU183" i="8"/>
  <c r="AT183" i="8"/>
  <c r="AS183" i="8"/>
  <c r="AR183" i="8"/>
  <c r="AQ183" i="8"/>
  <c r="AP183" i="8"/>
  <c r="AO183" i="8"/>
  <c r="AN183" i="8"/>
  <c r="AM183" i="8"/>
  <c r="AL183" i="8"/>
  <c r="AK183" i="8"/>
  <c r="AJ183" i="8"/>
  <c r="AI183" i="8"/>
  <c r="AH183" i="8"/>
  <c r="AG183" i="8"/>
  <c r="AF183" i="8"/>
  <c r="AE183" i="8"/>
  <c r="AD183" i="8"/>
  <c r="AC183" i="8"/>
  <c r="AB183" i="8"/>
  <c r="AA183" i="8"/>
  <c r="Z183" i="8"/>
  <c r="Y183" i="8"/>
  <c r="X183" i="8"/>
  <c r="W183" i="8"/>
  <c r="V183" i="8"/>
  <c r="U183" i="8"/>
  <c r="T183" i="8"/>
  <c r="S183" i="8"/>
  <c r="R183" i="8"/>
  <c r="Q183" i="8"/>
  <c r="P183" i="8"/>
  <c r="O183" i="8"/>
  <c r="N183" i="8"/>
  <c r="M183" i="8"/>
  <c r="L183" i="8"/>
  <c r="K183" i="8"/>
  <c r="J183" i="8"/>
  <c r="I183" i="8"/>
  <c r="H183" i="8"/>
  <c r="G183" i="8"/>
  <c r="F183" i="8"/>
  <c r="E183" i="8"/>
  <c r="D183" i="8"/>
  <c r="B183" i="8"/>
  <c r="A183" i="8"/>
  <c r="AX182" i="8"/>
  <c r="AW182" i="8"/>
  <c r="AV182" i="8"/>
  <c r="AU182" i="8"/>
  <c r="AT182" i="8"/>
  <c r="AS182" i="8"/>
  <c r="AR182" i="8"/>
  <c r="AQ182" i="8"/>
  <c r="AP182" i="8"/>
  <c r="AO182" i="8"/>
  <c r="AN182" i="8"/>
  <c r="AM182" i="8"/>
  <c r="AL182" i="8"/>
  <c r="AK182" i="8"/>
  <c r="AJ182" i="8"/>
  <c r="AI182" i="8"/>
  <c r="AH182" i="8"/>
  <c r="AG182" i="8"/>
  <c r="AF182" i="8"/>
  <c r="AE182" i="8"/>
  <c r="AD182" i="8"/>
  <c r="AC182" i="8"/>
  <c r="AB182" i="8"/>
  <c r="AA182" i="8"/>
  <c r="Z182" i="8"/>
  <c r="Y182" i="8"/>
  <c r="X182" i="8"/>
  <c r="W182" i="8"/>
  <c r="V182" i="8"/>
  <c r="U182" i="8"/>
  <c r="T182" i="8"/>
  <c r="S182" i="8"/>
  <c r="R182" i="8"/>
  <c r="Q182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A182" i="8"/>
  <c r="B182" i="8" s="1"/>
  <c r="AX181" i="8"/>
  <c r="AW181" i="8"/>
  <c r="AV181" i="8"/>
  <c r="AU181" i="8"/>
  <c r="AT181" i="8"/>
  <c r="AS181" i="8"/>
  <c r="AR181" i="8"/>
  <c r="AQ181" i="8"/>
  <c r="AP181" i="8"/>
  <c r="AO181" i="8"/>
  <c r="AN181" i="8"/>
  <c r="AM181" i="8"/>
  <c r="AL181" i="8"/>
  <c r="AK181" i="8"/>
  <c r="AJ181" i="8"/>
  <c r="AI181" i="8"/>
  <c r="AH181" i="8"/>
  <c r="AG181" i="8"/>
  <c r="AF181" i="8"/>
  <c r="AE181" i="8"/>
  <c r="AD181" i="8"/>
  <c r="AC181" i="8"/>
  <c r="AB181" i="8"/>
  <c r="AA181" i="8"/>
  <c r="Z181" i="8"/>
  <c r="Y181" i="8"/>
  <c r="X181" i="8"/>
  <c r="W181" i="8"/>
  <c r="V181" i="8"/>
  <c r="U181" i="8"/>
  <c r="T181" i="8"/>
  <c r="S181" i="8"/>
  <c r="R181" i="8"/>
  <c r="Q181" i="8"/>
  <c r="P181" i="8"/>
  <c r="O181" i="8"/>
  <c r="N181" i="8"/>
  <c r="M181" i="8"/>
  <c r="L181" i="8"/>
  <c r="K181" i="8"/>
  <c r="J181" i="8"/>
  <c r="I181" i="8"/>
  <c r="H181" i="8"/>
  <c r="G181" i="8"/>
  <c r="F181" i="8"/>
  <c r="E181" i="8"/>
  <c r="D181" i="8"/>
  <c r="A181" i="8"/>
  <c r="B181" i="8" s="1"/>
  <c r="AX180" i="8"/>
  <c r="AW180" i="8"/>
  <c r="AV180" i="8"/>
  <c r="AU180" i="8"/>
  <c r="AT180" i="8"/>
  <c r="AS180" i="8"/>
  <c r="AR180" i="8"/>
  <c r="AQ180" i="8"/>
  <c r="AP180" i="8"/>
  <c r="AO180" i="8"/>
  <c r="AN180" i="8"/>
  <c r="AM180" i="8"/>
  <c r="AL180" i="8"/>
  <c r="AK180" i="8"/>
  <c r="AJ180" i="8"/>
  <c r="AI180" i="8"/>
  <c r="AH180" i="8"/>
  <c r="AG180" i="8"/>
  <c r="AF180" i="8"/>
  <c r="AE180" i="8"/>
  <c r="AD180" i="8"/>
  <c r="AC180" i="8"/>
  <c r="AB180" i="8"/>
  <c r="AA180" i="8"/>
  <c r="Z180" i="8"/>
  <c r="Y180" i="8"/>
  <c r="X180" i="8"/>
  <c r="W180" i="8"/>
  <c r="V180" i="8"/>
  <c r="U180" i="8"/>
  <c r="T180" i="8"/>
  <c r="S180" i="8"/>
  <c r="R180" i="8"/>
  <c r="Q180" i="8"/>
  <c r="P180" i="8"/>
  <c r="O180" i="8"/>
  <c r="N180" i="8"/>
  <c r="M180" i="8"/>
  <c r="L180" i="8"/>
  <c r="K180" i="8"/>
  <c r="J180" i="8"/>
  <c r="I180" i="8"/>
  <c r="H180" i="8"/>
  <c r="G180" i="8"/>
  <c r="F180" i="8"/>
  <c r="E180" i="8"/>
  <c r="D180" i="8"/>
  <c r="A180" i="8"/>
  <c r="B180" i="8" s="1"/>
  <c r="AX179" i="8"/>
  <c r="AW179" i="8"/>
  <c r="AV179" i="8"/>
  <c r="AU179" i="8"/>
  <c r="AT179" i="8"/>
  <c r="AS179" i="8"/>
  <c r="AR179" i="8"/>
  <c r="AQ179" i="8"/>
  <c r="AP179" i="8"/>
  <c r="AO179" i="8"/>
  <c r="AN179" i="8"/>
  <c r="AM179" i="8"/>
  <c r="AL179" i="8"/>
  <c r="AK179" i="8"/>
  <c r="AJ179" i="8"/>
  <c r="AI179" i="8"/>
  <c r="AH179" i="8"/>
  <c r="AG179" i="8"/>
  <c r="AF179" i="8"/>
  <c r="AE179" i="8"/>
  <c r="AD179" i="8"/>
  <c r="AC179" i="8"/>
  <c r="AB179" i="8"/>
  <c r="AA179" i="8"/>
  <c r="Z179" i="8"/>
  <c r="Y179" i="8"/>
  <c r="X179" i="8"/>
  <c r="W179" i="8"/>
  <c r="V179" i="8"/>
  <c r="U179" i="8"/>
  <c r="T179" i="8"/>
  <c r="S179" i="8"/>
  <c r="R179" i="8"/>
  <c r="Q179" i="8"/>
  <c r="P179" i="8"/>
  <c r="O179" i="8"/>
  <c r="N179" i="8"/>
  <c r="M179" i="8"/>
  <c r="L179" i="8"/>
  <c r="K179" i="8"/>
  <c r="J179" i="8"/>
  <c r="I179" i="8"/>
  <c r="H179" i="8"/>
  <c r="G179" i="8"/>
  <c r="F179" i="8"/>
  <c r="E179" i="8"/>
  <c r="D179" i="8"/>
  <c r="B179" i="8"/>
  <c r="A179" i="8"/>
  <c r="AX178" i="8"/>
  <c r="AW178" i="8"/>
  <c r="AV178" i="8"/>
  <c r="AU178" i="8"/>
  <c r="AT178" i="8"/>
  <c r="AS178" i="8"/>
  <c r="AR178" i="8"/>
  <c r="AQ178" i="8"/>
  <c r="AP178" i="8"/>
  <c r="AO178" i="8"/>
  <c r="AN178" i="8"/>
  <c r="AM178" i="8"/>
  <c r="AL178" i="8"/>
  <c r="AK178" i="8"/>
  <c r="AJ178" i="8"/>
  <c r="AI178" i="8"/>
  <c r="AH178" i="8"/>
  <c r="AG178" i="8"/>
  <c r="AF178" i="8"/>
  <c r="AE178" i="8"/>
  <c r="AD178" i="8"/>
  <c r="AC178" i="8"/>
  <c r="AB178" i="8"/>
  <c r="AA178" i="8"/>
  <c r="Z178" i="8"/>
  <c r="Y178" i="8"/>
  <c r="X178" i="8"/>
  <c r="W178" i="8"/>
  <c r="V178" i="8"/>
  <c r="U178" i="8"/>
  <c r="T178" i="8"/>
  <c r="S178" i="8"/>
  <c r="R178" i="8"/>
  <c r="Q178" i="8"/>
  <c r="P178" i="8"/>
  <c r="O178" i="8"/>
  <c r="N178" i="8"/>
  <c r="M178" i="8"/>
  <c r="L178" i="8"/>
  <c r="K178" i="8"/>
  <c r="J178" i="8"/>
  <c r="I178" i="8"/>
  <c r="H178" i="8"/>
  <c r="G178" i="8"/>
  <c r="F178" i="8"/>
  <c r="E178" i="8"/>
  <c r="D178" i="8"/>
  <c r="A178" i="8"/>
  <c r="B178" i="8" s="1"/>
  <c r="AX177" i="8"/>
  <c r="AW177" i="8"/>
  <c r="AV177" i="8"/>
  <c r="AU177" i="8"/>
  <c r="AT177" i="8"/>
  <c r="AS177" i="8"/>
  <c r="AR177" i="8"/>
  <c r="AQ177" i="8"/>
  <c r="AP177" i="8"/>
  <c r="AO177" i="8"/>
  <c r="AN177" i="8"/>
  <c r="AM177" i="8"/>
  <c r="AL177" i="8"/>
  <c r="AK177" i="8"/>
  <c r="AJ177" i="8"/>
  <c r="AI177" i="8"/>
  <c r="AH177" i="8"/>
  <c r="AG177" i="8"/>
  <c r="AF177" i="8"/>
  <c r="AE177" i="8"/>
  <c r="AD177" i="8"/>
  <c r="AC177" i="8"/>
  <c r="AB177" i="8"/>
  <c r="AA177" i="8"/>
  <c r="Z177" i="8"/>
  <c r="Y177" i="8"/>
  <c r="X177" i="8"/>
  <c r="W177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A177" i="8"/>
  <c r="B177" i="8" s="1"/>
  <c r="AX176" i="8"/>
  <c r="AW176" i="8"/>
  <c r="AV176" i="8"/>
  <c r="AU176" i="8"/>
  <c r="AT176" i="8"/>
  <c r="AS176" i="8"/>
  <c r="AR176" i="8"/>
  <c r="AQ176" i="8"/>
  <c r="AP176" i="8"/>
  <c r="AO176" i="8"/>
  <c r="AN176" i="8"/>
  <c r="AM176" i="8"/>
  <c r="AL176" i="8"/>
  <c r="AK176" i="8"/>
  <c r="AJ176" i="8"/>
  <c r="AI176" i="8"/>
  <c r="AH176" i="8"/>
  <c r="AG176" i="8"/>
  <c r="AF176" i="8"/>
  <c r="AE176" i="8"/>
  <c r="AD176" i="8"/>
  <c r="AC176" i="8"/>
  <c r="AB176" i="8"/>
  <c r="AA176" i="8"/>
  <c r="Z176" i="8"/>
  <c r="Y176" i="8"/>
  <c r="X176" i="8"/>
  <c r="W176" i="8"/>
  <c r="V176" i="8"/>
  <c r="U176" i="8"/>
  <c r="T176" i="8"/>
  <c r="S176" i="8"/>
  <c r="R176" i="8"/>
  <c r="Q176" i="8"/>
  <c r="P176" i="8"/>
  <c r="O176" i="8"/>
  <c r="N176" i="8"/>
  <c r="M176" i="8"/>
  <c r="L176" i="8"/>
  <c r="K176" i="8"/>
  <c r="J176" i="8"/>
  <c r="I176" i="8"/>
  <c r="H176" i="8"/>
  <c r="G176" i="8"/>
  <c r="F176" i="8"/>
  <c r="E176" i="8"/>
  <c r="D176" i="8"/>
  <c r="A176" i="8"/>
  <c r="B176" i="8" s="1"/>
  <c r="AX175" i="8"/>
  <c r="AW175" i="8"/>
  <c r="AV175" i="8"/>
  <c r="AU175" i="8"/>
  <c r="AT175" i="8"/>
  <c r="AS175" i="8"/>
  <c r="AR175" i="8"/>
  <c r="AQ175" i="8"/>
  <c r="AP175" i="8"/>
  <c r="AO175" i="8"/>
  <c r="AN175" i="8"/>
  <c r="AM175" i="8"/>
  <c r="AL175" i="8"/>
  <c r="AK175" i="8"/>
  <c r="AJ175" i="8"/>
  <c r="AI175" i="8"/>
  <c r="AH175" i="8"/>
  <c r="AG175" i="8"/>
  <c r="AF175" i="8"/>
  <c r="AE175" i="8"/>
  <c r="AD175" i="8"/>
  <c r="AC175" i="8"/>
  <c r="AB175" i="8"/>
  <c r="AA175" i="8"/>
  <c r="Z175" i="8"/>
  <c r="Y175" i="8"/>
  <c r="X175" i="8"/>
  <c r="W175" i="8"/>
  <c r="V175" i="8"/>
  <c r="U175" i="8"/>
  <c r="T175" i="8"/>
  <c r="S175" i="8"/>
  <c r="R175" i="8"/>
  <c r="Q175" i="8"/>
  <c r="P175" i="8"/>
  <c r="O175" i="8"/>
  <c r="N175" i="8"/>
  <c r="M175" i="8"/>
  <c r="L175" i="8"/>
  <c r="K175" i="8"/>
  <c r="J175" i="8"/>
  <c r="I175" i="8"/>
  <c r="H175" i="8"/>
  <c r="G175" i="8"/>
  <c r="F175" i="8"/>
  <c r="E175" i="8"/>
  <c r="D175" i="8"/>
  <c r="B175" i="8"/>
  <c r="A175" i="8"/>
  <c r="AX174" i="8"/>
  <c r="AW174" i="8"/>
  <c r="AV174" i="8"/>
  <c r="AU174" i="8"/>
  <c r="AT174" i="8"/>
  <c r="AS174" i="8"/>
  <c r="AR174" i="8"/>
  <c r="AQ174" i="8"/>
  <c r="AP174" i="8"/>
  <c r="AO174" i="8"/>
  <c r="AN174" i="8"/>
  <c r="AM174" i="8"/>
  <c r="AL174" i="8"/>
  <c r="AK174" i="8"/>
  <c r="AJ174" i="8"/>
  <c r="AI174" i="8"/>
  <c r="AH174" i="8"/>
  <c r="AG174" i="8"/>
  <c r="AF174" i="8"/>
  <c r="AE174" i="8"/>
  <c r="AD174" i="8"/>
  <c r="AC174" i="8"/>
  <c r="AB174" i="8"/>
  <c r="AA174" i="8"/>
  <c r="Z174" i="8"/>
  <c r="Y174" i="8"/>
  <c r="X174" i="8"/>
  <c r="W174" i="8"/>
  <c r="V174" i="8"/>
  <c r="U174" i="8"/>
  <c r="T174" i="8"/>
  <c r="S174" i="8"/>
  <c r="R174" i="8"/>
  <c r="Q174" i="8"/>
  <c r="P174" i="8"/>
  <c r="O174" i="8"/>
  <c r="N174" i="8"/>
  <c r="M174" i="8"/>
  <c r="L174" i="8"/>
  <c r="K174" i="8"/>
  <c r="J174" i="8"/>
  <c r="I174" i="8"/>
  <c r="H174" i="8"/>
  <c r="G174" i="8"/>
  <c r="F174" i="8"/>
  <c r="E174" i="8"/>
  <c r="D174" i="8"/>
  <c r="A174" i="8"/>
  <c r="B174" i="8" s="1"/>
  <c r="AX173" i="8"/>
  <c r="AW173" i="8"/>
  <c r="AV173" i="8"/>
  <c r="AU173" i="8"/>
  <c r="AT173" i="8"/>
  <c r="AS173" i="8"/>
  <c r="AR173" i="8"/>
  <c r="AQ173" i="8"/>
  <c r="AP173" i="8"/>
  <c r="AO173" i="8"/>
  <c r="AN173" i="8"/>
  <c r="AM173" i="8"/>
  <c r="AL173" i="8"/>
  <c r="AK173" i="8"/>
  <c r="AJ173" i="8"/>
  <c r="AI173" i="8"/>
  <c r="AH173" i="8"/>
  <c r="AG173" i="8"/>
  <c r="AF173" i="8"/>
  <c r="AE173" i="8"/>
  <c r="AD173" i="8"/>
  <c r="AC173" i="8"/>
  <c r="AB173" i="8"/>
  <c r="AA173" i="8"/>
  <c r="Z173" i="8"/>
  <c r="Y173" i="8"/>
  <c r="X173" i="8"/>
  <c r="W173" i="8"/>
  <c r="V173" i="8"/>
  <c r="U173" i="8"/>
  <c r="T173" i="8"/>
  <c r="S173" i="8"/>
  <c r="R173" i="8"/>
  <c r="Q173" i="8"/>
  <c r="P173" i="8"/>
  <c r="O173" i="8"/>
  <c r="N173" i="8"/>
  <c r="M173" i="8"/>
  <c r="L173" i="8"/>
  <c r="K173" i="8"/>
  <c r="J173" i="8"/>
  <c r="I173" i="8"/>
  <c r="H173" i="8"/>
  <c r="G173" i="8"/>
  <c r="F173" i="8"/>
  <c r="E173" i="8"/>
  <c r="D173" i="8"/>
  <c r="A173" i="8"/>
  <c r="B173" i="8" s="1"/>
  <c r="AX172" i="8"/>
  <c r="AW172" i="8"/>
  <c r="AV172" i="8"/>
  <c r="AU172" i="8"/>
  <c r="AT172" i="8"/>
  <c r="AS172" i="8"/>
  <c r="AR172" i="8"/>
  <c r="AQ172" i="8"/>
  <c r="AP172" i="8"/>
  <c r="AO172" i="8"/>
  <c r="AN172" i="8"/>
  <c r="AM172" i="8"/>
  <c r="AL172" i="8"/>
  <c r="AK172" i="8"/>
  <c r="AJ172" i="8"/>
  <c r="AI172" i="8"/>
  <c r="AH172" i="8"/>
  <c r="AG172" i="8"/>
  <c r="AF172" i="8"/>
  <c r="AE172" i="8"/>
  <c r="AD172" i="8"/>
  <c r="AC172" i="8"/>
  <c r="AB172" i="8"/>
  <c r="AA172" i="8"/>
  <c r="Z172" i="8"/>
  <c r="Y172" i="8"/>
  <c r="X172" i="8"/>
  <c r="W172" i="8"/>
  <c r="V172" i="8"/>
  <c r="U172" i="8"/>
  <c r="T172" i="8"/>
  <c r="S172" i="8"/>
  <c r="R172" i="8"/>
  <c r="Q172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A172" i="8"/>
  <c r="B172" i="8" s="1"/>
  <c r="AX171" i="8"/>
  <c r="AW171" i="8"/>
  <c r="AV171" i="8"/>
  <c r="AU171" i="8"/>
  <c r="AT171" i="8"/>
  <c r="AS171" i="8"/>
  <c r="AR171" i="8"/>
  <c r="AQ171" i="8"/>
  <c r="AP171" i="8"/>
  <c r="AO171" i="8"/>
  <c r="AN171" i="8"/>
  <c r="AM171" i="8"/>
  <c r="AL171" i="8"/>
  <c r="AK171" i="8"/>
  <c r="AJ171" i="8"/>
  <c r="AI171" i="8"/>
  <c r="AH171" i="8"/>
  <c r="AG171" i="8"/>
  <c r="AF171" i="8"/>
  <c r="AE171" i="8"/>
  <c r="AD171" i="8"/>
  <c r="AC171" i="8"/>
  <c r="AB171" i="8"/>
  <c r="AA171" i="8"/>
  <c r="Z171" i="8"/>
  <c r="Y171" i="8"/>
  <c r="X171" i="8"/>
  <c r="W171" i="8"/>
  <c r="V171" i="8"/>
  <c r="U171" i="8"/>
  <c r="T171" i="8"/>
  <c r="S171" i="8"/>
  <c r="R171" i="8"/>
  <c r="Q171" i="8"/>
  <c r="P171" i="8"/>
  <c r="O171" i="8"/>
  <c r="N171" i="8"/>
  <c r="M171" i="8"/>
  <c r="L171" i="8"/>
  <c r="K171" i="8"/>
  <c r="J171" i="8"/>
  <c r="I171" i="8"/>
  <c r="H171" i="8"/>
  <c r="G171" i="8"/>
  <c r="F171" i="8"/>
  <c r="E171" i="8"/>
  <c r="D171" i="8"/>
  <c r="B171" i="8"/>
  <c r="A171" i="8"/>
  <c r="AX170" i="8"/>
  <c r="AW170" i="8"/>
  <c r="AV170" i="8"/>
  <c r="AU170" i="8"/>
  <c r="AT170" i="8"/>
  <c r="AS170" i="8"/>
  <c r="AR170" i="8"/>
  <c r="AQ170" i="8"/>
  <c r="AP170" i="8"/>
  <c r="AO170" i="8"/>
  <c r="AN170" i="8"/>
  <c r="AM170" i="8"/>
  <c r="AL170" i="8"/>
  <c r="AK170" i="8"/>
  <c r="AJ170" i="8"/>
  <c r="AI170" i="8"/>
  <c r="AH170" i="8"/>
  <c r="AG170" i="8"/>
  <c r="AF170" i="8"/>
  <c r="AE170" i="8"/>
  <c r="AD170" i="8"/>
  <c r="AC170" i="8"/>
  <c r="AB170" i="8"/>
  <c r="AA170" i="8"/>
  <c r="Z170" i="8"/>
  <c r="Y170" i="8"/>
  <c r="X170" i="8"/>
  <c r="W170" i="8"/>
  <c r="V170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A170" i="8"/>
  <c r="B170" i="8" s="1"/>
  <c r="AX169" i="8"/>
  <c r="AW169" i="8"/>
  <c r="AV169" i="8"/>
  <c r="AU169" i="8"/>
  <c r="AT169" i="8"/>
  <c r="AS169" i="8"/>
  <c r="AR169" i="8"/>
  <c r="AQ169" i="8"/>
  <c r="AP169" i="8"/>
  <c r="AO169" i="8"/>
  <c r="AN169" i="8"/>
  <c r="AM169" i="8"/>
  <c r="AL169" i="8"/>
  <c r="AK169" i="8"/>
  <c r="AJ169" i="8"/>
  <c r="AI169" i="8"/>
  <c r="AH169" i="8"/>
  <c r="AG169" i="8"/>
  <c r="AF169" i="8"/>
  <c r="AE169" i="8"/>
  <c r="AD169" i="8"/>
  <c r="AC169" i="8"/>
  <c r="AB169" i="8"/>
  <c r="AA169" i="8"/>
  <c r="Z169" i="8"/>
  <c r="Y169" i="8"/>
  <c r="X169" i="8"/>
  <c r="W169" i="8"/>
  <c r="V169" i="8"/>
  <c r="U169" i="8"/>
  <c r="T169" i="8"/>
  <c r="S169" i="8"/>
  <c r="R169" i="8"/>
  <c r="Q169" i="8"/>
  <c r="P169" i="8"/>
  <c r="O169" i="8"/>
  <c r="N169" i="8"/>
  <c r="M169" i="8"/>
  <c r="L169" i="8"/>
  <c r="K169" i="8"/>
  <c r="J169" i="8"/>
  <c r="I169" i="8"/>
  <c r="H169" i="8"/>
  <c r="G169" i="8"/>
  <c r="F169" i="8"/>
  <c r="E169" i="8"/>
  <c r="D169" i="8"/>
  <c r="A169" i="8"/>
  <c r="B169" i="8" s="1"/>
  <c r="AX168" i="8"/>
  <c r="AW168" i="8"/>
  <c r="AV168" i="8"/>
  <c r="AU168" i="8"/>
  <c r="AT168" i="8"/>
  <c r="AS168" i="8"/>
  <c r="AR168" i="8"/>
  <c r="AQ168" i="8"/>
  <c r="AP168" i="8"/>
  <c r="AO168" i="8"/>
  <c r="AN168" i="8"/>
  <c r="AM168" i="8"/>
  <c r="AL168" i="8"/>
  <c r="AK168" i="8"/>
  <c r="AJ168" i="8"/>
  <c r="AI168" i="8"/>
  <c r="AH168" i="8"/>
  <c r="AG168" i="8"/>
  <c r="AF168" i="8"/>
  <c r="AE168" i="8"/>
  <c r="AD168" i="8"/>
  <c r="AC168" i="8"/>
  <c r="AB168" i="8"/>
  <c r="AA168" i="8"/>
  <c r="Z168" i="8"/>
  <c r="Y168" i="8"/>
  <c r="X168" i="8"/>
  <c r="W168" i="8"/>
  <c r="V168" i="8"/>
  <c r="U168" i="8"/>
  <c r="T168" i="8"/>
  <c r="S168" i="8"/>
  <c r="R168" i="8"/>
  <c r="Q168" i="8"/>
  <c r="P168" i="8"/>
  <c r="O168" i="8"/>
  <c r="N168" i="8"/>
  <c r="M168" i="8"/>
  <c r="L168" i="8"/>
  <c r="K168" i="8"/>
  <c r="J168" i="8"/>
  <c r="I168" i="8"/>
  <c r="H168" i="8"/>
  <c r="G168" i="8"/>
  <c r="F168" i="8"/>
  <c r="E168" i="8"/>
  <c r="D168" i="8"/>
  <c r="A168" i="8"/>
  <c r="B168" i="8" s="1"/>
  <c r="AX167" i="8"/>
  <c r="AW167" i="8"/>
  <c r="AV167" i="8"/>
  <c r="AU167" i="8"/>
  <c r="AT167" i="8"/>
  <c r="AS167" i="8"/>
  <c r="AR167" i="8"/>
  <c r="AQ167" i="8"/>
  <c r="AP167" i="8"/>
  <c r="AO167" i="8"/>
  <c r="AN167" i="8"/>
  <c r="AM167" i="8"/>
  <c r="AL167" i="8"/>
  <c r="AK167" i="8"/>
  <c r="AJ167" i="8"/>
  <c r="AI167" i="8"/>
  <c r="AH167" i="8"/>
  <c r="AG167" i="8"/>
  <c r="AF167" i="8"/>
  <c r="AE167" i="8"/>
  <c r="AD167" i="8"/>
  <c r="AC167" i="8"/>
  <c r="AB167" i="8"/>
  <c r="AA167" i="8"/>
  <c r="Z167" i="8"/>
  <c r="Y167" i="8"/>
  <c r="X167" i="8"/>
  <c r="W167" i="8"/>
  <c r="V167" i="8"/>
  <c r="U167" i="8"/>
  <c r="T167" i="8"/>
  <c r="S167" i="8"/>
  <c r="R167" i="8"/>
  <c r="Q167" i="8"/>
  <c r="P167" i="8"/>
  <c r="O167" i="8"/>
  <c r="N167" i="8"/>
  <c r="M167" i="8"/>
  <c r="L167" i="8"/>
  <c r="K167" i="8"/>
  <c r="J167" i="8"/>
  <c r="I167" i="8"/>
  <c r="H167" i="8"/>
  <c r="G167" i="8"/>
  <c r="F167" i="8"/>
  <c r="E167" i="8"/>
  <c r="D167" i="8"/>
  <c r="B167" i="8"/>
  <c r="A167" i="8"/>
  <c r="AX166" i="8"/>
  <c r="AW166" i="8"/>
  <c r="AV166" i="8"/>
  <c r="AU166" i="8"/>
  <c r="AT166" i="8"/>
  <c r="AS166" i="8"/>
  <c r="AR166" i="8"/>
  <c r="AQ166" i="8"/>
  <c r="AP166" i="8"/>
  <c r="AO166" i="8"/>
  <c r="AN166" i="8"/>
  <c r="AM166" i="8"/>
  <c r="AL166" i="8"/>
  <c r="AK166" i="8"/>
  <c r="AJ166" i="8"/>
  <c r="AI166" i="8"/>
  <c r="AH166" i="8"/>
  <c r="AG166" i="8"/>
  <c r="AF166" i="8"/>
  <c r="AE166" i="8"/>
  <c r="AD166" i="8"/>
  <c r="AC166" i="8"/>
  <c r="AB166" i="8"/>
  <c r="AA166" i="8"/>
  <c r="Z166" i="8"/>
  <c r="Y166" i="8"/>
  <c r="X166" i="8"/>
  <c r="W166" i="8"/>
  <c r="V166" i="8"/>
  <c r="U166" i="8"/>
  <c r="T166" i="8"/>
  <c r="S166" i="8"/>
  <c r="R166" i="8"/>
  <c r="Q166" i="8"/>
  <c r="P166" i="8"/>
  <c r="O166" i="8"/>
  <c r="N166" i="8"/>
  <c r="M166" i="8"/>
  <c r="L166" i="8"/>
  <c r="K166" i="8"/>
  <c r="J166" i="8"/>
  <c r="I166" i="8"/>
  <c r="H166" i="8"/>
  <c r="G166" i="8"/>
  <c r="F166" i="8"/>
  <c r="E166" i="8"/>
  <c r="D166" i="8"/>
  <c r="A166" i="8"/>
  <c r="B166" i="8" s="1"/>
  <c r="AX165" i="8"/>
  <c r="AW165" i="8"/>
  <c r="AV165" i="8"/>
  <c r="AU165" i="8"/>
  <c r="AT165" i="8"/>
  <c r="AS165" i="8"/>
  <c r="AR165" i="8"/>
  <c r="AQ165" i="8"/>
  <c r="AP165" i="8"/>
  <c r="AO165" i="8"/>
  <c r="AN165" i="8"/>
  <c r="AM165" i="8"/>
  <c r="AL165" i="8"/>
  <c r="AK165" i="8"/>
  <c r="AJ165" i="8"/>
  <c r="AI165" i="8"/>
  <c r="AH165" i="8"/>
  <c r="AG165" i="8"/>
  <c r="AF165" i="8"/>
  <c r="AE165" i="8"/>
  <c r="AD165" i="8"/>
  <c r="AC165" i="8"/>
  <c r="AB165" i="8"/>
  <c r="AA165" i="8"/>
  <c r="Z165" i="8"/>
  <c r="Y165" i="8"/>
  <c r="X165" i="8"/>
  <c r="W165" i="8"/>
  <c r="V165" i="8"/>
  <c r="U165" i="8"/>
  <c r="T165" i="8"/>
  <c r="S165" i="8"/>
  <c r="R165" i="8"/>
  <c r="Q165" i="8"/>
  <c r="P165" i="8"/>
  <c r="O165" i="8"/>
  <c r="N165" i="8"/>
  <c r="M165" i="8"/>
  <c r="L165" i="8"/>
  <c r="K165" i="8"/>
  <c r="J165" i="8"/>
  <c r="I165" i="8"/>
  <c r="H165" i="8"/>
  <c r="G165" i="8"/>
  <c r="F165" i="8"/>
  <c r="E165" i="8"/>
  <c r="D165" i="8"/>
  <c r="A165" i="8"/>
  <c r="B165" i="8" s="1"/>
  <c r="AX164" i="8"/>
  <c r="AW164" i="8"/>
  <c r="AV164" i="8"/>
  <c r="AU164" i="8"/>
  <c r="AT164" i="8"/>
  <c r="AS164" i="8"/>
  <c r="AR164" i="8"/>
  <c r="AQ164" i="8"/>
  <c r="AP164" i="8"/>
  <c r="AO164" i="8"/>
  <c r="AN164" i="8"/>
  <c r="AM164" i="8"/>
  <c r="AL164" i="8"/>
  <c r="AK164" i="8"/>
  <c r="AJ164" i="8"/>
  <c r="AI164" i="8"/>
  <c r="AH164" i="8"/>
  <c r="AG164" i="8"/>
  <c r="AF164" i="8"/>
  <c r="AE164" i="8"/>
  <c r="AD164" i="8"/>
  <c r="AC164" i="8"/>
  <c r="AB164" i="8"/>
  <c r="AA164" i="8"/>
  <c r="Z164" i="8"/>
  <c r="Y164" i="8"/>
  <c r="X164" i="8"/>
  <c r="W164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A164" i="8"/>
  <c r="B164" i="8" s="1"/>
  <c r="AX163" i="8"/>
  <c r="AW163" i="8"/>
  <c r="AV163" i="8"/>
  <c r="AU163" i="8"/>
  <c r="AT163" i="8"/>
  <c r="AS163" i="8"/>
  <c r="AR163" i="8"/>
  <c r="AQ163" i="8"/>
  <c r="AP163" i="8"/>
  <c r="AO163" i="8"/>
  <c r="AN163" i="8"/>
  <c r="AM163" i="8"/>
  <c r="AL163" i="8"/>
  <c r="AK163" i="8"/>
  <c r="AJ163" i="8"/>
  <c r="AI163" i="8"/>
  <c r="AH163" i="8"/>
  <c r="AG163" i="8"/>
  <c r="AF163" i="8"/>
  <c r="AE163" i="8"/>
  <c r="AD163" i="8"/>
  <c r="AC163" i="8"/>
  <c r="AB163" i="8"/>
  <c r="AA163" i="8"/>
  <c r="Z163" i="8"/>
  <c r="Y163" i="8"/>
  <c r="X163" i="8"/>
  <c r="W163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B163" i="8"/>
  <c r="A163" i="8"/>
  <c r="AX162" i="8"/>
  <c r="AW162" i="8"/>
  <c r="AV162" i="8"/>
  <c r="AU162" i="8"/>
  <c r="AT162" i="8"/>
  <c r="AS162" i="8"/>
  <c r="AR162" i="8"/>
  <c r="AQ162" i="8"/>
  <c r="AP162" i="8"/>
  <c r="AO162" i="8"/>
  <c r="AN162" i="8"/>
  <c r="AM162" i="8"/>
  <c r="AL162" i="8"/>
  <c r="AK162" i="8"/>
  <c r="AJ162" i="8"/>
  <c r="AI162" i="8"/>
  <c r="AH162" i="8"/>
  <c r="AG162" i="8"/>
  <c r="AF162" i="8"/>
  <c r="AE162" i="8"/>
  <c r="AD162" i="8"/>
  <c r="AC162" i="8"/>
  <c r="AB162" i="8"/>
  <c r="AA162" i="8"/>
  <c r="Z162" i="8"/>
  <c r="Y162" i="8"/>
  <c r="X162" i="8"/>
  <c r="W162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A162" i="8"/>
  <c r="B162" i="8" s="1"/>
  <c r="AX161" i="8"/>
  <c r="AW161" i="8"/>
  <c r="AV161" i="8"/>
  <c r="AU161" i="8"/>
  <c r="AT161" i="8"/>
  <c r="AS161" i="8"/>
  <c r="AR161" i="8"/>
  <c r="AQ161" i="8"/>
  <c r="AP161" i="8"/>
  <c r="AO161" i="8"/>
  <c r="AN161" i="8"/>
  <c r="AM161" i="8"/>
  <c r="AL161" i="8"/>
  <c r="AK161" i="8"/>
  <c r="AJ161" i="8"/>
  <c r="AI161" i="8"/>
  <c r="AH161" i="8"/>
  <c r="AG161" i="8"/>
  <c r="AF161" i="8"/>
  <c r="AE161" i="8"/>
  <c r="AD161" i="8"/>
  <c r="AC161" i="8"/>
  <c r="AB161" i="8"/>
  <c r="AA161" i="8"/>
  <c r="Z161" i="8"/>
  <c r="Y161" i="8"/>
  <c r="X161" i="8"/>
  <c r="W161" i="8"/>
  <c r="V161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A161" i="8"/>
  <c r="B161" i="8" s="1"/>
  <c r="AX160" i="8"/>
  <c r="AW160" i="8"/>
  <c r="AV160" i="8"/>
  <c r="AU160" i="8"/>
  <c r="AT160" i="8"/>
  <c r="AS160" i="8"/>
  <c r="AR160" i="8"/>
  <c r="AQ160" i="8"/>
  <c r="AP160" i="8"/>
  <c r="AO160" i="8"/>
  <c r="AN160" i="8"/>
  <c r="AM160" i="8"/>
  <c r="AL160" i="8"/>
  <c r="AK160" i="8"/>
  <c r="AJ160" i="8"/>
  <c r="AI160" i="8"/>
  <c r="AH160" i="8"/>
  <c r="AG160" i="8"/>
  <c r="AF160" i="8"/>
  <c r="AE160" i="8"/>
  <c r="AD160" i="8"/>
  <c r="AC160" i="8"/>
  <c r="AB160" i="8"/>
  <c r="AA160" i="8"/>
  <c r="Z160" i="8"/>
  <c r="Y160" i="8"/>
  <c r="X160" i="8"/>
  <c r="W160" i="8"/>
  <c r="V160" i="8"/>
  <c r="U160" i="8"/>
  <c r="T160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A160" i="8"/>
  <c r="B160" i="8" s="1"/>
  <c r="AX159" i="8"/>
  <c r="AW159" i="8"/>
  <c r="AV159" i="8"/>
  <c r="AU159" i="8"/>
  <c r="AT159" i="8"/>
  <c r="AS159" i="8"/>
  <c r="AR159" i="8"/>
  <c r="AQ159" i="8"/>
  <c r="AP159" i="8"/>
  <c r="AO159" i="8"/>
  <c r="AN159" i="8"/>
  <c r="AM159" i="8"/>
  <c r="AL159" i="8"/>
  <c r="AK159" i="8"/>
  <c r="AJ159" i="8"/>
  <c r="AI159" i="8"/>
  <c r="AH159" i="8"/>
  <c r="AG159" i="8"/>
  <c r="AF159" i="8"/>
  <c r="AE159" i="8"/>
  <c r="AD159" i="8"/>
  <c r="AC159" i="8"/>
  <c r="AB159" i="8"/>
  <c r="AA159" i="8"/>
  <c r="Z159" i="8"/>
  <c r="Y159" i="8"/>
  <c r="X159" i="8"/>
  <c r="W159" i="8"/>
  <c r="V159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B159" i="8"/>
  <c r="A159" i="8"/>
  <c r="AX158" i="8"/>
  <c r="AW158" i="8"/>
  <c r="AV158" i="8"/>
  <c r="AU158" i="8"/>
  <c r="AT158" i="8"/>
  <c r="AS158" i="8"/>
  <c r="AR158" i="8"/>
  <c r="AQ158" i="8"/>
  <c r="AP158" i="8"/>
  <c r="AO158" i="8"/>
  <c r="AN158" i="8"/>
  <c r="AM158" i="8"/>
  <c r="AL158" i="8"/>
  <c r="AK158" i="8"/>
  <c r="AJ158" i="8"/>
  <c r="AI158" i="8"/>
  <c r="AH158" i="8"/>
  <c r="AG158" i="8"/>
  <c r="AF158" i="8"/>
  <c r="AE158" i="8"/>
  <c r="AD158" i="8"/>
  <c r="AC158" i="8"/>
  <c r="AB158" i="8"/>
  <c r="AA158" i="8"/>
  <c r="Z158" i="8"/>
  <c r="Y158" i="8"/>
  <c r="X158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A158" i="8"/>
  <c r="B158" i="8" s="1"/>
  <c r="AX157" i="8"/>
  <c r="AW157" i="8"/>
  <c r="AV157" i="8"/>
  <c r="AU157" i="8"/>
  <c r="AT157" i="8"/>
  <c r="AS157" i="8"/>
  <c r="AR157" i="8"/>
  <c r="AQ157" i="8"/>
  <c r="AP157" i="8"/>
  <c r="AO157" i="8"/>
  <c r="AN157" i="8"/>
  <c r="AM157" i="8"/>
  <c r="AL157" i="8"/>
  <c r="AK157" i="8"/>
  <c r="AJ157" i="8"/>
  <c r="AI157" i="8"/>
  <c r="AH157" i="8"/>
  <c r="AG157" i="8"/>
  <c r="AF157" i="8"/>
  <c r="AE157" i="8"/>
  <c r="AD157" i="8"/>
  <c r="AC157" i="8"/>
  <c r="AB157" i="8"/>
  <c r="AA157" i="8"/>
  <c r="Z157" i="8"/>
  <c r="Y157" i="8"/>
  <c r="X157" i="8"/>
  <c r="W157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A157" i="8"/>
  <c r="B157" i="8" s="1"/>
  <c r="AX156" i="8"/>
  <c r="AW156" i="8"/>
  <c r="AV156" i="8"/>
  <c r="AU156" i="8"/>
  <c r="AT156" i="8"/>
  <c r="AS156" i="8"/>
  <c r="AR156" i="8"/>
  <c r="AQ156" i="8"/>
  <c r="AP156" i="8"/>
  <c r="AO156" i="8"/>
  <c r="AN156" i="8"/>
  <c r="AM156" i="8"/>
  <c r="AL156" i="8"/>
  <c r="AK156" i="8"/>
  <c r="AJ156" i="8"/>
  <c r="AI156" i="8"/>
  <c r="AH156" i="8"/>
  <c r="AG156" i="8"/>
  <c r="AF156" i="8"/>
  <c r="AE156" i="8"/>
  <c r="AD156" i="8"/>
  <c r="AC156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A156" i="8"/>
  <c r="B156" i="8" s="1"/>
  <c r="AX155" i="8"/>
  <c r="AW155" i="8"/>
  <c r="AV155" i="8"/>
  <c r="AU155" i="8"/>
  <c r="AT155" i="8"/>
  <c r="AS155" i="8"/>
  <c r="AR155" i="8"/>
  <c r="AQ155" i="8"/>
  <c r="AP155" i="8"/>
  <c r="AO155" i="8"/>
  <c r="AN155" i="8"/>
  <c r="AM155" i="8"/>
  <c r="AL155" i="8"/>
  <c r="AK155" i="8"/>
  <c r="AJ155" i="8"/>
  <c r="AI155" i="8"/>
  <c r="AH155" i="8"/>
  <c r="AG155" i="8"/>
  <c r="AF155" i="8"/>
  <c r="AE155" i="8"/>
  <c r="AD155" i="8"/>
  <c r="AC155" i="8"/>
  <c r="AB155" i="8"/>
  <c r="AA155" i="8"/>
  <c r="Z155" i="8"/>
  <c r="Y155" i="8"/>
  <c r="X155" i="8"/>
  <c r="W155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B155" i="8"/>
  <c r="A155" i="8"/>
  <c r="AX154" i="8"/>
  <c r="AW154" i="8"/>
  <c r="AV154" i="8"/>
  <c r="AU154" i="8"/>
  <c r="AT154" i="8"/>
  <c r="AS154" i="8"/>
  <c r="AR154" i="8"/>
  <c r="AQ154" i="8"/>
  <c r="AP154" i="8"/>
  <c r="AO154" i="8"/>
  <c r="AN154" i="8"/>
  <c r="AM154" i="8"/>
  <c r="AL154" i="8"/>
  <c r="AK154" i="8"/>
  <c r="AJ154" i="8"/>
  <c r="AI154" i="8"/>
  <c r="AH154" i="8"/>
  <c r="AG154" i="8"/>
  <c r="AF154" i="8"/>
  <c r="AE154" i="8"/>
  <c r="AD154" i="8"/>
  <c r="AC154" i="8"/>
  <c r="AB154" i="8"/>
  <c r="AA154" i="8"/>
  <c r="Z154" i="8"/>
  <c r="Y154" i="8"/>
  <c r="X154" i="8"/>
  <c r="W154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A154" i="8"/>
  <c r="B154" i="8" s="1"/>
  <c r="AX153" i="8"/>
  <c r="AW153" i="8"/>
  <c r="AV153" i="8"/>
  <c r="AU153" i="8"/>
  <c r="AT153" i="8"/>
  <c r="AS153" i="8"/>
  <c r="AR153" i="8"/>
  <c r="AQ153" i="8"/>
  <c r="AP153" i="8"/>
  <c r="AO153" i="8"/>
  <c r="AN153" i="8"/>
  <c r="AM153" i="8"/>
  <c r="AL153" i="8"/>
  <c r="AK153" i="8"/>
  <c r="AJ153" i="8"/>
  <c r="AI153" i="8"/>
  <c r="AH153" i="8"/>
  <c r="AG153" i="8"/>
  <c r="AF153" i="8"/>
  <c r="AE153" i="8"/>
  <c r="AD153" i="8"/>
  <c r="AC153" i="8"/>
  <c r="AB153" i="8"/>
  <c r="AA153" i="8"/>
  <c r="Z153" i="8"/>
  <c r="Y153" i="8"/>
  <c r="X153" i="8"/>
  <c r="W153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A153" i="8"/>
  <c r="B153" i="8" s="1"/>
  <c r="AX152" i="8"/>
  <c r="AW152" i="8"/>
  <c r="AV152" i="8"/>
  <c r="AU152" i="8"/>
  <c r="AT152" i="8"/>
  <c r="AS152" i="8"/>
  <c r="AR152" i="8"/>
  <c r="AQ152" i="8"/>
  <c r="AP152" i="8"/>
  <c r="AO152" i="8"/>
  <c r="AN152" i="8"/>
  <c r="AM152" i="8"/>
  <c r="AL152" i="8"/>
  <c r="AK152" i="8"/>
  <c r="AJ152" i="8"/>
  <c r="AI152" i="8"/>
  <c r="AH152" i="8"/>
  <c r="AG152" i="8"/>
  <c r="AF152" i="8"/>
  <c r="AE152" i="8"/>
  <c r="AD152" i="8"/>
  <c r="AC152" i="8"/>
  <c r="AB152" i="8"/>
  <c r="AA152" i="8"/>
  <c r="Z152" i="8"/>
  <c r="Y152" i="8"/>
  <c r="X152" i="8"/>
  <c r="W152" i="8"/>
  <c r="V152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A152" i="8"/>
  <c r="B152" i="8" s="1"/>
  <c r="AX151" i="8"/>
  <c r="AW151" i="8"/>
  <c r="AV151" i="8"/>
  <c r="AU151" i="8"/>
  <c r="AT151" i="8"/>
  <c r="AS151" i="8"/>
  <c r="AR151" i="8"/>
  <c r="AQ151" i="8"/>
  <c r="AP151" i="8"/>
  <c r="AO151" i="8"/>
  <c r="AN151" i="8"/>
  <c r="AM151" i="8"/>
  <c r="AL151" i="8"/>
  <c r="AK151" i="8"/>
  <c r="AJ151" i="8"/>
  <c r="AI151" i="8"/>
  <c r="AH151" i="8"/>
  <c r="AG151" i="8"/>
  <c r="AF151" i="8"/>
  <c r="AE151" i="8"/>
  <c r="AD151" i="8"/>
  <c r="AC151" i="8"/>
  <c r="AB151" i="8"/>
  <c r="AA151" i="8"/>
  <c r="Z151" i="8"/>
  <c r="Y151" i="8"/>
  <c r="X151" i="8"/>
  <c r="W151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B151" i="8"/>
  <c r="A151" i="8"/>
  <c r="AX150" i="8"/>
  <c r="AW150" i="8"/>
  <c r="AV150" i="8"/>
  <c r="AU150" i="8"/>
  <c r="AT150" i="8"/>
  <c r="AS150" i="8"/>
  <c r="AR150" i="8"/>
  <c r="AQ150" i="8"/>
  <c r="AP150" i="8"/>
  <c r="AO150" i="8"/>
  <c r="AN150" i="8"/>
  <c r="AM150" i="8"/>
  <c r="AL150" i="8"/>
  <c r="AK150" i="8"/>
  <c r="AJ150" i="8"/>
  <c r="AI150" i="8"/>
  <c r="AH150" i="8"/>
  <c r="AG150" i="8"/>
  <c r="AF150" i="8"/>
  <c r="AE150" i="8"/>
  <c r="AD150" i="8"/>
  <c r="AC150" i="8"/>
  <c r="AB150" i="8"/>
  <c r="AA150" i="8"/>
  <c r="Z150" i="8"/>
  <c r="Y150" i="8"/>
  <c r="X150" i="8"/>
  <c r="W150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B150" i="8"/>
  <c r="A150" i="8"/>
  <c r="AX149" i="8"/>
  <c r="AW149" i="8"/>
  <c r="AV149" i="8"/>
  <c r="AU149" i="8"/>
  <c r="AT149" i="8"/>
  <c r="AS149" i="8"/>
  <c r="AR149" i="8"/>
  <c r="AQ149" i="8"/>
  <c r="AP149" i="8"/>
  <c r="AO149" i="8"/>
  <c r="AN149" i="8"/>
  <c r="AM149" i="8"/>
  <c r="AL149" i="8"/>
  <c r="AK149" i="8"/>
  <c r="AJ149" i="8"/>
  <c r="AI149" i="8"/>
  <c r="AH149" i="8"/>
  <c r="AG149" i="8"/>
  <c r="AF149" i="8"/>
  <c r="AE149" i="8"/>
  <c r="AD149" i="8"/>
  <c r="AC149" i="8"/>
  <c r="AB149" i="8"/>
  <c r="AA149" i="8"/>
  <c r="Z149" i="8"/>
  <c r="Y149" i="8"/>
  <c r="X149" i="8"/>
  <c r="W149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A149" i="8"/>
  <c r="B149" i="8" s="1"/>
  <c r="AX148" i="8"/>
  <c r="AW148" i="8"/>
  <c r="AV148" i="8"/>
  <c r="AU148" i="8"/>
  <c r="AT148" i="8"/>
  <c r="AS148" i="8"/>
  <c r="AR148" i="8"/>
  <c r="AQ148" i="8"/>
  <c r="AP148" i="8"/>
  <c r="AO148" i="8"/>
  <c r="AN148" i="8"/>
  <c r="AM148" i="8"/>
  <c r="AL148" i="8"/>
  <c r="AK148" i="8"/>
  <c r="AJ148" i="8"/>
  <c r="AI148" i="8"/>
  <c r="AH148" i="8"/>
  <c r="AG148" i="8"/>
  <c r="AF148" i="8"/>
  <c r="AE148" i="8"/>
  <c r="AD148" i="8"/>
  <c r="AC148" i="8"/>
  <c r="AB148" i="8"/>
  <c r="AA148" i="8"/>
  <c r="Z148" i="8"/>
  <c r="Y148" i="8"/>
  <c r="X148" i="8"/>
  <c r="W148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A148" i="8"/>
  <c r="B148" i="8" s="1"/>
  <c r="AX147" i="8"/>
  <c r="AW147" i="8"/>
  <c r="AV147" i="8"/>
  <c r="AU147" i="8"/>
  <c r="AT147" i="8"/>
  <c r="AS147" i="8"/>
  <c r="AR147" i="8"/>
  <c r="AQ147" i="8"/>
  <c r="AP147" i="8"/>
  <c r="AO147" i="8"/>
  <c r="AN147" i="8"/>
  <c r="AM147" i="8"/>
  <c r="AL147" i="8"/>
  <c r="AK147" i="8"/>
  <c r="AJ147" i="8"/>
  <c r="AI147" i="8"/>
  <c r="AH147" i="8"/>
  <c r="AG147" i="8"/>
  <c r="AF147" i="8"/>
  <c r="AE147" i="8"/>
  <c r="AD147" i="8"/>
  <c r="AC147" i="8"/>
  <c r="AB147" i="8"/>
  <c r="AA147" i="8"/>
  <c r="Z147" i="8"/>
  <c r="Y147" i="8"/>
  <c r="X147" i="8"/>
  <c r="W147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B147" i="8"/>
  <c r="A147" i="8"/>
  <c r="AX146" i="8"/>
  <c r="AW146" i="8"/>
  <c r="AV146" i="8"/>
  <c r="AU146" i="8"/>
  <c r="AT146" i="8"/>
  <c r="AS146" i="8"/>
  <c r="AR146" i="8"/>
  <c r="AQ146" i="8"/>
  <c r="AP146" i="8"/>
  <c r="AO146" i="8"/>
  <c r="AN146" i="8"/>
  <c r="AM146" i="8"/>
  <c r="AL146" i="8"/>
  <c r="AK146" i="8"/>
  <c r="AJ146" i="8"/>
  <c r="AI146" i="8"/>
  <c r="AH146" i="8"/>
  <c r="AG146" i="8"/>
  <c r="AF146" i="8"/>
  <c r="AE146" i="8"/>
  <c r="AD146" i="8"/>
  <c r="AC146" i="8"/>
  <c r="AB146" i="8"/>
  <c r="AA146" i="8"/>
  <c r="Z146" i="8"/>
  <c r="Y146" i="8"/>
  <c r="X146" i="8"/>
  <c r="W146" i="8"/>
  <c r="V146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A146" i="8"/>
  <c r="B146" i="8" s="1"/>
  <c r="AX145" i="8"/>
  <c r="AW145" i="8"/>
  <c r="AV145" i="8"/>
  <c r="AU145" i="8"/>
  <c r="AT145" i="8"/>
  <c r="AS145" i="8"/>
  <c r="AR145" i="8"/>
  <c r="AQ145" i="8"/>
  <c r="AP145" i="8"/>
  <c r="AO145" i="8"/>
  <c r="AN145" i="8"/>
  <c r="AM145" i="8"/>
  <c r="AL145" i="8"/>
  <c r="AK145" i="8"/>
  <c r="AJ145" i="8"/>
  <c r="AI145" i="8"/>
  <c r="AH145" i="8"/>
  <c r="AG145" i="8"/>
  <c r="AF145" i="8"/>
  <c r="AE145" i="8"/>
  <c r="AD145" i="8"/>
  <c r="AC145" i="8"/>
  <c r="AB145" i="8"/>
  <c r="AA145" i="8"/>
  <c r="Z145" i="8"/>
  <c r="Y145" i="8"/>
  <c r="X145" i="8"/>
  <c r="W145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A145" i="8"/>
  <c r="B145" i="8" s="1"/>
  <c r="AX144" i="8"/>
  <c r="AW144" i="8"/>
  <c r="AV144" i="8"/>
  <c r="AU144" i="8"/>
  <c r="AT144" i="8"/>
  <c r="AS144" i="8"/>
  <c r="AR144" i="8"/>
  <c r="AQ144" i="8"/>
  <c r="AP144" i="8"/>
  <c r="AO144" i="8"/>
  <c r="AN144" i="8"/>
  <c r="AM144" i="8"/>
  <c r="AL144" i="8"/>
  <c r="AK144" i="8"/>
  <c r="AJ144" i="8"/>
  <c r="AI144" i="8"/>
  <c r="AH144" i="8"/>
  <c r="AG144" i="8"/>
  <c r="AF144" i="8"/>
  <c r="AE144" i="8"/>
  <c r="AD144" i="8"/>
  <c r="AC144" i="8"/>
  <c r="AB144" i="8"/>
  <c r="AA144" i="8"/>
  <c r="Z144" i="8"/>
  <c r="Y144" i="8"/>
  <c r="X144" i="8"/>
  <c r="W144" i="8"/>
  <c r="V144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A144" i="8"/>
  <c r="B144" i="8" s="1"/>
  <c r="AX143" i="8"/>
  <c r="AW143" i="8"/>
  <c r="AV143" i="8"/>
  <c r="AU143" i="8"/>
  <c r="AT143" i="8"/>
  <c r="AS143" i="8"/>
  <c r="AR143" i="8"/>
  <c r="AQ143" i="8"/>
  <c r="AP143" i="8"/>
  <c r="AO143" i="8"/>
  <c r="AN143" i="8"/>
  <c r="AM143" i="8"/>
  <c r="AL143" i="8"/>
  <c r="AK143" i="8"/>
  <c r="AJ143" i="8"/>
  <c r="AI143" i="8"/>
  <c r="AH143" i="8"/>
  <c r="AG143" i="8"/>
  <c r="AF143" i="8"/>
  <c r="AE143" i="8"/>
  <c r="AD143" i="8"/>
  <c r="AC143" i="8"/>
  <c r="AB143" i="8"/>
  <c r="AA143" i="8"/>
  <c r="Z143" i="8"/>
  <c r="Y143" i="8"/>
  <c r="X143" i="8"/>
  <c r="W143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B143" i="8"/>
  <c r="A143" i="8"/>
  <c r="AX142" i="8"/>
  <c r="AW142" i="8"/>
  <c r="AV142" i="8"/>
  <c r="AU142" i="8"/>
  <c r="AT142" i="8"/>
  <c r="AS142" i="8"/>
  <c r="AR142" i="8"/>
  <c r="AQ142" i="8"/>
  <c r="AP142" i="8"/>
  <c r="AO142" i="8"/>
  <c r="AN142" i="8"/>
  <c r="AM142" i="8"/>
  <c r="AL142" i="8"/>
  <c r="AK142" i="8"/>
  <c r="AJ142" i="8"/>
  <c r="AI142" i="8"/>
  <c r="AH142" i="8"/>
  <c r="AG142" i="8"/>
  <c r="AF142" i="8"/>
  <c r="AE142" i="8"/>
  <c r="AD142" i="8"/>
  <c r="AC142" i="8"/>
  <c r="AB142" i="8"/>
  <c r="AA142" i="8"/>
  <c r="Z142" i="8"/>
  <c r="Y142" i="8"/>
  <c r="X142" i="8"/>
  <c r="W142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B142" i="8"/>
  <c r="A142" i="8"/>
  <c r="AX141" i="8"/>
  <c r="AW141" i="8"/>
  <c r="AV141" i="8"/>
  <c r="AU141" i="8"/>
  <c r="AT141" i="8"/>
  <c r="AS141" i="8"/>
  <c r="AR141" i="8"/>
  <c r="AQ141" i="8"/>
  <c r="AP141" i="8"/>
  <c r="AO141" i="8"/>
  <c r="AN141" i="8"/>
  <c r="AM141" i="8"/>
  <c r="AL141" i="8"/>
  <c r="AK141" i="8"/>
  <c r="AJ141" i="8"/>
  <c r="AI141" i="8"/>
  <c r="AH141" i="8"/>
  <c r="AG141" i="8"/>
  <c r="AF141" i="8"/>
  <c r="AE141" i="8"/>
  <c r="AD141" i="8"/>
  <c r="AC141" i="8"/>
  <c r="AB141" i="8"/>
  <c r="AA141" i="8"/>
  <c r="Z141" i="8"/>
  <c r="Y141" i="8"/>
  <c r="X141" i="8"/>
  <c r="W141" i="8"/>
  <c r="V141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A141" i="8"/>
  <c r="B141" i="8" s="1"/>
  <c r="AX140" i="8"/>
  <c r="AW140" i="8"/>
  <c r="AV140" i="8"/>
  <c r="AU140" i="8"/>
  <c r="AT140" i="8"/>
  <c r="AS140" i="8"/>
  <c r="AR140" i="8"/>
  <c r="AQ140" i="8"/>
  <c r="AP140" i="8"/>
  <c r="AO140" i="8"/>
  <c r="AN140" i="8"/>
  <c r="AM140" i="8"/>
  <c r="AL140" i="8"/>
  <c r="AK140" i="8"/>
  <c r="AJ140" i="8"/>
  <c r="AI140" i="8"/>
  <c r="AH140" i="8"/>
  <c r="AG140" i="8"/>
  <c r="AF140" i="8"/>
  <c r="AE140" i="8"/>
  <c r="AD140" i="8"/>
  <c r="AC140" i="8"/>
  <c r="AB140" i="8"/>
  <c r="AA140" i="8"/>
  <c r="Z140" i="8"/>
  <c r="Y140" i="8"/>
  <c r="X140" i="8"/>
  <c r="W140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A140" i="8"/>
  <c r="B140" i="8" s="1"/>
  <c r="AX139" i="8"/>
  <c r="AW139" i="8"/>
  <c r="AV139" i="8"/>
  <c r="AU139" i="8"/>
  <c r="AT139" i="8"/>
  <c r="AS139" i="8"/>
  <c r="AR139" i="8"/>
  <c r="AQ139" i="8"/>
  <c r="AP139" i="8"/>
  <c r="AO139" i="8"/>
  <c r="AN139" i="8"/>
  <c r="AM139" i="8"/>
  <c r="AL139" i="8"/>
  <c r="AK139" i="8"/>
  <c r="AJ139" i="8"/>
  <c r="AI139" i="8"/>
  <c r="AH139" i="8"/>
  <c r="AG139" i="8"/>
  <c r="AF139" i="8"/>
  <c r="AE139" i="8"/>
  <c r="AD139" i="8"/>
  <c r="AC139" i="8"/>
  <c r="AB139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B139" i="8"/>
  <c r="A139" i="8"/>
  <c r="AX138" i="8"/>
  <c r="AW138" i="8"/>
  <c r="AV138" i="8"/>
  <c r="AU138" i="8"/>
  <c r="AT138" i="8"/>
  <c r="AS138" i="8"/>
  <c r="AR138" i="8"/>
  <c r="AQ138" i="8"/>
  <c r="AP138" i="8"/>
  <c r="AO138" i="8"/>
  <c r="AN138" i="8"/>
  <c r="AM138" i="8"/>
  <c r="AL138" i="8"/>
  <c r="AK138" i="8"/>
  <c r="AJ138" i="8"/>
  <c r="AI138" i="8"/>
  <c r="AH138" i="8"/>
  <c r="AG138" i="8"/>
  <c r="AF138" i="8"/>
  <c r="AE138" i="8"/>
  <c r="AD138" i="8"/>
  <c r="AC138" i="8"/>
  <c r="AB138" i="8"/>
  <c r="AA138" i="8"/>
  <c r="Z138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A138" i="8"/>
  <c r="B138" i="8" s="1"/>
  <c r="AX137" i="8"/>
  <c r="AW137" i="8"/>
  <c r="AV137" i="8"/>
  <c r="AU137" i="8"/>
  <c r="AT137" i="8"/>
  <c r="AS137" i="8"/>
  <c r="AR137" i="8"/>
  <c r="AQ137" i="8"/>
  <c r="AP137" i="8"/>
  <c r="AO137" i="8"/>
  <c r="AN137" i="8"/>
  <c r="AM137" i="8"/>
  <c r="AL137" i="8"/>
  <c r="AK137" i="8"/>
  <c r="AJ137" i="8"/>
  <c r="AI137" i="8"/>
  <c r="AH137" i="8"/>
  <c r="AG137" i="8"/>
  <c r="AF137" i="8"/>
  <c r="AE137" i="8"/>
  <c r="AD137" i="8"/>
  <c r="AC137" i="8"/>
  <c r="AB137" i="8"/>
  <c r="AA137" i="8"/>
  <c r="Z137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A137" i="8"/>
  <c r="B137" i="8" s="1"/>
  <c r="AX136" i="8"/>
  <c r="AW136" i="8"/>
  <c r="AV136" i="8"/>
  <c r="AU136" i="8"/>
  <c r="AT136" i="8"/>
  <c r="AS136" i="8"/>
  <c r="AR136" i="8"/>
  <c r="AQ136" i="8"/>
  <c r="AP136" i="8"/>
  <c r="AO136" i="8"/>
  <c r="AN136" i="8"/>
  <c r="AM136" i="8"/>
  <c r="AL136" i="8"/>
  <c r="AK136" i="8"/>
  <c r="AJ136" i="8"/>
  <c r="AI136" i="8"/>
  <c r="AH136" i="8"/>
  <c r="AG136" i="8"/>
  <c r="AF136" i="8"/>
  <c r="AE136" i="8"/>
  <c r="AD136" i="8"/>
  <c r="AC136" i="8"/>
  <c r="AB136" i="8"/>
  <c r="AA136" i="8"/>
  <c r="Z136" i="8"/>
  <c r="Y136" i="8"/>
  <c r="X136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A136" i="8"/>
  <c r="B136" i="8" s="1"/>
  <c r="AX135" i="8"/>
  <c r="AW135" i="8"/>
  <c r="AV135" i="8"/>
  <c r="AU135" i="8"/>
  <c r="AT135" i="8"/>
  <c r="AS135" i="8"/>
  <c r="AR135" i="8"/>
  <c r="AQ135" i="8"/>
  <c r="AP135" i="8"/>
  <c r="AO135" i="8"/>
  <c r="AN135" i="8"/>
  <c r="AM135" i="8"/>
  <c r="AL135" i="8"/>
  <c r="AK135" i="8"/>
  <c r="AJ135" i="8"/>
  <c r="AI135" i="8"/>
  <c r="AH135" i="8"/>
  <c r="AG135" i="8"/>
  <c r="AF135" i="8"/>
  <c r="AE135" i="8"/>
  <c r="AD135" i="8"/>
  <c r="AC135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B135" i="8"/>
  <c r="A135" i="8"/>
  <c r="AX134" i="8"/>
  <c r="AW134" i="8"/>
  <c r="AV134" i="8"/>
  <c r="AU134" i="8"/>
  <c r="AT134" i="8"/>
  <c r="AS134" i="8"/>
  <c r="AR134" i="8"/>
  <c r="AQ134" i="8"/>
  <c r="AP134" i="8"/>
  <c r="AO134" i="8"/>
  <c r="AN134" i="8"/>
  <c r="AM134" i="8"/>
  <c r="AL134" i="8"/>
  <c r="AK134" i="8"/>
  <c r="AJ134" i="8"/>
  <c r="AI134" i="8"/>
  <c r="AH134" i="8"/>
  <c r="AG134" i="8"/>
  <c r="AF134" i="8"/>
  <c r="AE134" i="8"/>
  <c r="AD134" i="8"/>
  <c r="AC134" i="8"/>
  <c r="AB134" i="8"/>
  <c r="AA134" i="8"/>
  <c r="Z134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B134" i="8"/>
  <c r="A134" i="8"/>
  <c r="AX133" i="8"/>
  <c r="AW133" i="8"/>
  <c r="AV133" i="8"/>
  <c r="AU133" i="8"/>
  <c r="AT133" i="8"/>
  <c r="AS133" i="8"/>
  <c r="AR133" i="8"/>
  <c r="AQ133" i="8"/>
  <c r="AP133" i="8"/>
  <c r="AO133" i="8"/>
  <c r="AN133" i="8"/>
  <c r="AM133" i="8"/>
  <c r="AL133" i="8"/>
  <c r="AK133" i="8"/>
  <c r="AJ133" i="8"/>
  <c r="AI133" i="8"/>
  <c r="AH133" i="8"/>
  <c r="AG133" i="8"/>
  <c r="AF133" i="8"/>
  <c r="AE133" i="8"/>
  <c r="AD133" i="8"/>
  <c r="AC133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A133" i="8"/>
  <c r="B133" i="8" s="1"/>
  <c r="AX132" i="8"/>
  <c r="AW132" i="8"/>
  <c r="AV132" i="8"/>
  <c r="AU132" i="8"/>
  <c r="AT132" i="8"/>
  <c r="AS132" i="8"/>
  <c r="AR132" i="8"/>
  <c r="AQ132" i="8"/>
  <c r="AP132" i="8"/>
  <c r="AO132" i="8"/>
  <c r="AN132" i="8"/>
  <c r="AM132" i="8"/>
  <c r="AL132" i="8"/>
  <c r="AK132" i="8"/>
  <c r="AJ132" i="8"/>
  <c r="AI132" i="8"/>
  <c r="AH132" i="8"/>
  <c r="AG132" i="8"/>
  <c r="AF132" i="8"/>
  <c r="AE132" i="8"/>
  <c r="AD132" i="8"/>
  <c r="AC132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A132" i="8"/>
  <c r="B132" i="8" s="1"/>
  <c r="AX131" i="8"/>
  <c r="AW131" i="8"/>
  <c r="AV131" i="8"/>
  <c r="AU131" i="8"/>
  <c r="AT131" i="8"/>
  <c r="AS131" i="8"/>
  <c r="AR131" i="8"/>
  <c r="AQ131" i="8"/>
  <c r="AP131" i="8"/>
  <c r="AO131" i="8"/>
  <c r="AN131" i="8"/>
  <c r="AM131" i="8"/>
  <c r="AL131" i="8"/>
  <c r="AK131" i="8"/>
  <c r="AJ131" i="8"/>
  <c r="AI131" i="8"/>
  <c r="AH131" i="8"/>
  <c r="AG131" i="8"/>
  <c r="AF131" i="8"/>
  <c r="AE131" i="8"/>
  <c r="AD131" i="8"/>
  <c r="AC131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B131" i="8"/>
  <c r="A131" i="8"/>
  <c r="AX130" i="8"/>
  <c r="AW130" i="8"/>
  <c r="AV130" i="8"/>
  <c r="AU130" i="8"/>
  <c r="AT130" i="8"/>
  <c r="AS130" i="8"/>
  <c r="AR130" i="8"/>
  <c r="AQ130" i="8"/>
  <c r="AP130" i="8"/>
  <c r="AO130" i="8"/>
  <c r="AN130" i="8"/>
  <c r="AM130" i="8"/>
  <c r="AL130" i="8"/>
  <c r="AK130" i="8"/>
  <c r="AJ130" i="8"/>
  <c r="AI130" i="8"/>
  <c r="AH130" i="8"/>
  <c r="AG130" i="8"/>
  <c r="AF130" i="8"/>
  <c r="AE130" i="8"/>
  <c r="AD130" i="8"/>
  <c r="AC130" i="8"/>
  <c r="AB130" i="8"/>
  <c r="AA130" i="8"/>
  <c r="Z130" i="8"/>
  <c r="Y130" i="8"/>
  <c r="X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A130" i="8"/>
  <c r="B130" i="8" s="1"/>
  <c r="AX129" i="8"/>
  <c r="AW129" i="8"/>
  <c r="AV129" i="8"/>
  <c r="AU129" i="8"/>
  <c r="AT129" i="8"/>
  <c r="AS129" i="8"/>
  <c r="AR129" i="8"/>
  <c r="AQ129" i="8"/>
  <c r="AP129" i="8"/>
  <c r="AO129" i="8"/>
  <c r="AN129" i="8"/>
  <c r="AM129" i="8"/>
  <c r="AL129" i="8"/>
  <c r="AK129" i="8"/>
  <c r="AJ129" i="8"/>
  <c r="AI129" i="8"/>
  <c r="AH129" i="8"/>
  <c r="AG129" i="8"/>
  <c r="AF129" i="8"/>
  <c r="AE129" i="8"/>
  <c r="AD129" i="8"/>
  <c r="AC129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A129" i="8"/>
  <c r="B129" i="8" s="1"/>
  <c r="AX128" i="8"/>
  <c r="AW128" i="8"/>
  <c r="AV128" i="8"/>
  <c r="AU128" i="8"/>
  <c r="AT128" i="8"/>
  <c r="AS128" i="8"/>
  <c r="AR128" i="8"/>
  <c r="AQ128" i="8"/>
  <c r="AP128" i="8"/>
  <c r="AO128" i="8"/>
  <c r="AN128" i="8"/>
  <c r="AM128" i="8"/>
  <c r="AL128" i="8"/>
  <c r="AK128" i="8"/>
  <c r="AJ128" i="8"/>
  <c r="AI128" i="8"/>
  <c r="AH128" i="8"/>
  <c r="AG128" i="8"/>
  <c r="AF128" i="8"/>
  <c r="AE128" i="8"/>
  <c r="AD128" i="8"/>
  <c r="AC128" i="8"/>
  <c r="AB128" i="8"/>
  <c r="AA128" i="8"/>
  <c r="Z128" i="8"/>
  <c r="Y128" i="8"/>
  <c r="X128" i="8"/>
  <c r="W128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A128" i="8"/>
  <c r="B128" i="8" s="1"/>
  <c r="AX127" i="8"/>
  <c r="AW127" i="8"/>
  <c r="AV127" i="8"/>
  <c r="AU127" i="8"/>
  <c r="AT127" i="8"/>
  <c r="AS127" i="8"/>
  <c r="AR127" i="8"/>
  <c r="AQ127" i="8"/>
  <c r="AP127" i="8"/>
  <c r="AO127" i="8"/>
  <c r="AN127" i="8"/>
  <c r="AM127" i="8"/>
  <c r="AL127" i="8"/>
  <c r="AK127" i="8"/>
  <c r="AJ127" i="8"/>
  <c r="AI127" i="8"/>
  <c r="AH127" i="8"/>
  <c r="AG127" i="8"/>
  <c r="AF127" i="8"/>
  <c r="AE127" i="8"/>
  <c r="AD127" i="8"/>
  <c r="AC127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B127" i="8"/>
  <c r="A127" i="8"/>
  <c r="AX126" i="8"/>
  <c r="AW126" i="8"/>
  <c r="AV126" i="8"/>
  <c r="AU126" i="8"/>
  <c r="AT126" i="8"/>
  <c r="AS126" i="8"/>
  <c r="AR126" i="8"/>
  <c r="AQ126" i="8"/>
  <c r="AP126" i="8"/>
  <c r="AO126" i="8"/>
  <c r="AN126" i="8"/>
  <c r="AM126" i="8"/>
  <c r="AL126" i="8"/>
  <c r="AK126" i="8"/>
  <c r="AJ126" i="8"/>
  <c r="AI126" i="8"/>
  <c r="AH126" i="8"/>
  <c r="AG126" i="8"/>
  <c r="AF126" i="8"/>
  <c r="AE126" i="8"/>
  <c r="AD126" i="8"/>
  <c r="AC126" i="8"/>
  <c r="AB126" i="8"/>
  <c r="AA126" i="8"/>
  <c r="Z126" i="8"/>
  <c r="Y126" i="8"/>
  <c r="X126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B126" i="8"/>
  <c r="A126" i="8"/>
  <c r="AX125" i="8"/>
  <c r="AW125" i="8"/>
  <c r="AV125" i="8"/>
  <c r="AU125" i="8"/>
  <c r="AT125" i="8"/>
  <c r="AS125" i="8"/>
  <c r="AR125" i="8"/>
  <c r="AQ125" i="8"/>
  <c r="AP125" i="8"/>
  <c r="AO125" i="8"/>
  <c r="AN125" i="8"/>
  <c r="AM125" i="8"/>
  <c r="AL125" i="8"/>
  <c r="AK125" i="8"/>
  <c r="AJ125" i="8"/>
  <c r="AI125" i="8"/>
  <c r="AH125" i="8"/>
  <c r="AG125" i="8"/>
  <c r="AF125" i="8"/>
  <c r="AE125" i="8"/>
  <c r="AD125" i="8"/>
  <c r="AC125" i="8"/>
  <c r="AB125" i="8"/>
  <c r="AA125" i="8"/>
  <c r="Z125" i="8"/>
  <c r="Y125" i="8"/>
  <c r="X125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A125" i="8"/>
  <c r="B125" i="8" s="1"/>
  <c r="AX124" i="8"/>
  <c r="AW124" i="8"/>
  <c r="AV124" i="8"/>
  <c r="AU124" i="8"/>
  <c r="AT124" i="8"/>
  <c r="AS124" i="8"/>
  <c r="AR124" i="8"/>
  <c r="AQ124" i="8"/>
  <c r="AP124" i="8"/>
  <c r="AO124" i="8"/>
  <c r="AN124" i="8"/>
  <c r="AM124" i="8"/>
  <c r="AL124" i="8"/>
  <c r="AK124" i="8"/>
  <c r="AJ124" i="8"/>
  <c r="AI124" i="8"/>
  <c r="AH124" i="8"/>
  <c r="AG124" i="8"/>
  <c r="AF124" i="8"/>
  <c r="AE124" i="8"/>
  <c r="AD124" i="8"/>
  <c r="AC124" i="8"/>
  <c r="AB124" i="8"/>
  <c r="AA124" i="8"/>
  <c r="Z124" i="8"/>
  <c r="Y124" i="8"/>
  <c r="X124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A124" i="8"/>
  <c r="B124" i="8" s="1"/>
  <c r="AX123" i="8"/>
  <c r="AW123" i="8"/>
  <c r="AV123" i="8"/>
  <c r="AU123" i="8"/>
  <c r="AT123" i="8"/>
  <c r="AS123" i="8"/>
  <c r="AR123" i="8"/>
  <c r="AQ123" i="8"/>
  <c r="AP123" i="8"/>
  <c r="AO123" i="8"/>
  <c r="AN123" i="8"/>
  <c r="AM123" i="8"/>
  <c r="AL123" i="8"/>
  <c r="AK123" i="8"/>
  <c r="AJ123" i="8"/>
  <c r="AI123" i="8"/>
  <c r="AH123" i="8"/>
  <c r="AG123" i="8"/>
  <c r="AF123" i="8"/>
  <c r="AE123" i="8"/>
  <c r="AD123" i="8"/>
  <c r="AC123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B123" i="8"/>
  <c r="A123" i="8"/>
  <c r="AX122" i="8"/>
  <c r="AW122" i="8"/>
  <c r="AV122" i="8"/>
  <c r="AU122" i="8"/>
  <c r="AT122" i="8"/>
  <c r="AS122" i="8"/>
  <c r="AR122" i="8"/>
  <c r="AQ122" i="8"/>
  <c r="AP122" i="8"/>
  <c r="AO122" i="8"/>
  <c r="AN122" i="8"/>
  <c r="AM122" i="8"/>
  <c r="AL122" i="8"/>
  <c r="AK122" i="8"/>
  <c r="AJ122" i="8"/>
  <c r="AI122" i="8"/>
  <c r="AH122" i="8"/>
  <c r="AG122" i="8"/>
  <c r="AF122" i="8"/>
  <c r="AE122" i="8"/>
  <c r="AD122" i="8"/>
  <c r="AC122" i="8"/>
  <c r="AB122" i="8"/>
  <c r="AA122" i="8"/>
  <c r="Z122" i="8"/>
  <c r="Y122" i="8"/>
  <c r="X122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A122" i="8"/>
  <c r="B122" i="8" s="1"/>
  <c r="AX121" i="8"/>
  <c r="AW121" i="8"/>
  <c r="AV121" i="8"/>
  <c r="AU121" i="8"/>
  <c r="AT121" i="8"/>
  <c r="AS121" i="8"/>
  <c r="AR121" i="8"/>
  <c r="AQ121" i="8"/>
  <c r="AP121" i="8"/>
  <c r="AO121" i="8"/>
  <c r="AN121" i="8"/>
  <c r="AM121" i="8"/>
  <c r="AL121" i="8"/>
  <c r="AK121" i="8"/>
  <c r="AJ121" i="8"/>
  <c r="AI121" i="8"/>
  <c r="AH121" i="8"/>
  <c r="AG121" i="8"/>
  <c r="AF121" i="8"/>
  <c r="AE121" i="8"/>
  <c r="AD121" i="8"/>
  <c r="AC121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A121" i="8"/>
  <c r="B121" i="8" s="1"/>
  <c r="AX120" i="8"/>
  <c r="AW120" i="8"/>
  <c r="AV120" i="8"/>
  <c r="AU120" i="8"/>
  <c r="AT120" i="8"/>
  <c r="AS120" i="8"/>
  <c r="AR120" i="8"/>
  <c r="AQ120" i="8"/>
  <c r="AP120" i="8"/>
  <c r="AO120" i="8"/>
  <c r="AN120" i="8"/>
  <c r="AM120" i="8"/>
  <c r="AL120" i="8"/>
  <c r="AK120" i="8"/>
  <c r="AJ120" i="8"/>
  <c r="AI120" i="8"/>
  <c r="AH120" i="8"/>
  <c r="AG120" i="8"/>
  <c r="AF120" i="8"/>
  <c r="AE120" i="8"/>
  <c r="AD120" i="8"/>
  <c r="AC120" i="8"/>
  <c r="AB120" i="8"/>
  <c r="AA120" i="8"/>
  <c r="Z120" i="8"/>
  <c r="Y120" i="8"/>
  <c r="X120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A120" i="8"/>
  <c r="B120" i="8" s="1"/>
  <c r="AX119" i="8"/>
  <c r="AW119" i="8"/>
  <c r="AV119" i="8"/>
  <c r="AU119" i="8"/>
  <c r="AT119" i="8"/>
  <c r="AS119" i="8"/>
  <c r="AR119" i="8"/>
  <c r="AQ119" i="8"/>
  <c r="AP119" i="8"/>
  <c r="AO119" i="8"/>
  <c r="AN119" i="8"/>
  <c r="AM119" i="8"/>
  <c r="AL119" i="8"/>
  <c r="AK119" i="8"/>
  <c r="AJ119" i="8"/>
  <c r="AI119" i="8"/>
  <c r="AH119" i="8"/>
  <c r="AG119" i="8"/>
  <c r="AF119" i="8"/>
  <c r="AE119" i="8"/>
  <c r="AD119" i="8"/>
  <c r="AC119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B119" i="8"/>
  <c r="A119" i="8"/>
  <c r="AX118" i="8"/>
  <c r="AW118" i="8"/>
  <c r="AV118" i="8"/>
  <c r="AU118" i="8"/>
  <c r="AT118" i="8"/>
  <c r="AS118" i="8"/>
  <c r="AR118" i="8"/>
  <c r="AQ118" i="8"/>
  <c r="AP118" i="8"/>
  <c r="AO118" i="8"/>
  <c r="AN118" i="8"/>
  <c r="AM118" i="8"/>
  <c r="AL118" i="8"/>
  <c r="AK118" i="8"/>
  <c r="AJ118" i="8"/>
  <c r="AI118" i="8"/>
  <c r="AH118" i="8"/>
  <c r="AG118" i="8"/>
  <c r="AF118" i="8"/>
  <c r="AE118" i="8"/>
  <c r="AD118" i="8"/>
  <c r="AC118" i="8"/>
  <c r="AB118" i="8"/>
  <c r="AA118" i="8"/>
  <c r="Z118" i="8"/>
  <c r="Y118" i="8"/>
  <c r="X118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B118" i="8"/>
  <c r="A118" i="8"/>
  <c r="AX117" i="8"/>
  <c r="AW117" i="8"/>
  <c r="AV117" i="8"/>
  <c r="AU117" i="8"/>
  <c r="AT117" i="8"/>
  <c r="AS117" i="8"/>
  <c r="AR117" i="8"/>
  <c r="AQ117" i="8"/>
  <c r="AP117" i="8"/>
  <c r="AO117" i="8"/>
  <c r="AN117" i="8"/>
  <c r="AM117" i="8"/>
  <c r="AL117" i="8"/>
  <c r="AK117" i="8"/>
  <c r="AJ117" i="8"/>
  <c r="AI117" i="8"/>
  <c r="AH117" i="8"/>
  <c r="AG117" i="8"/>
  <c r="AF117" i="8"/>
  <c r="AE117" i="8"/>
  <c r="AD117" i="8"/>
  <c r="AC117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A117" i="8"/>
  <c r="B117" i="8" s="1"/>
  <c r="AX116" i="8"/>
  <c r="AW116" i="8"/>
  <c r="AV116" i="8"/>
  <c r="AU116" i="8"/>
  <c r="AT116" i="8"/>
  <c r="AS116" i="8"/>
  <c r="AR116" i="8"/>
  <c r="AQ116" i="8"/>
  <c r="AP116" i="8"/>
  <c r="AO116" i="8"/>
  <c r="AN116" i="8"/>
  <c r="AM116" i="8"/>
  <c r="AL116" i="8"/>
  <c r="AK116" i="8"/>
  <c r="AJ116" i="8"/>
  <c r="AI116" i="8"/>
  <c r="AH116" i="8"/>
  <c r="AG116" i="8"/>
  <c r="AF116" i="8"/>
  <c r="AE116" i="8"/>
  <c r="AD116" i="8"/>
  <c r="AC116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A116" i="8"/>
  <c r="B116" i="8" s="1"/>
  <c r="AX115" i="8"/>
  <c r="AW115" i="8"/>
  <c r="AV115" i="8"/>
  <c r="AU115" i="8"/>
  <c r="AT115" i="8"/>
  <c r="AS115" i="8"/>
  <c r="AR115" i="8"/>
  <c r="AQ115" i="8"/>
  <c r="AP115" i="8"/>
  <c r="AO115" i="8"/>
  <c r="AN115" i="8"/>
  <c r="AM115" i="8"/>
  <c r="AL115" i="8"/>
  <c r="AK115" i="8"/>
  <c r="AJ115" i="8"/>
  <c r="AI115" i="8"/>
  <c r="AH115" i="8"/>
  <c r="AG115" i="8"/>
  <c r="AF115" i="8"/>
  <c r="AE115" i="8"/>
  <c r="AD115" i="8"/>
  <c r="AC115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B115" i="8"/>
  <c r="A115" i="8"/>
  <c r="AX114" i="8"/>
  <c r="AW114" i="8"/>
  <c r="AV114" i="8"/>
  <c r="AU114" i="8"/>
  <c r="AT114" i="8"/>
  <c r="AS114" i="8"/>
  <c r="AR114" i="8"/>
  <c r="AQ114" i="8"/>
  <c r="AP114" i="8"/>
  <c r="AO114" i="8"/>
  <c r="AN114" i="8"/>
  <c r="AM114" i="8"/>
  <c r="AL114" i="8"/>
  <c r="AK114" i="8"/>
  <c r="AJ114" i="8"/>
  <c r="AI114" i="8"/>
  <c r="AH114" i="8"/>
  <c r="AG114" i="8"/>
  <c r="AF114" i="8"/>
  <c r="AE114" i="8"/>
  <c r="AD114" i="8"/>
  <c r="AC114" i="8"/>
  <c r="AB114" i="8"/>
  <c r="AA114" i="8"/>
  <c r="Z114" i="8"/>
  <c r="Y114" i="8"/>
  <c r="X114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A114" i="8"/>
  <c r="B114" i="8" s="1"/>
  <c r="AX113" i="8"/>
  <c r="AW113" i="8"/>
  <c r="AV113" i="8"/>
  <c r="AU113" i="8"/>
  <c r="AT113" i="8"/>
  <c r="AS113" i="8"/>
  <c r="AR113" i="8"/>
  <c r="AQ113" i="8"/>
  <c r="AP113" i="8"/>
  <c r="AO113" i="8"/>
  <c r="AN113" i="8"/>
  <c r="AM113" i="8"/>
  <c r="AL113" i="8"/>
  <c r="AK113" i="8"/>
  <c r="AJ113" i="8"/>
  <c r="AI113" i="8"/>
  <c r="AH113" i="8"/>
  <c r="AG113" i="8"/>
  <c r="AF113" i="8"/>
  <c r="AE113" i="8"/>
  <c r="AD113" i="8"/>
  <c r="AC113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A113" i="8"/>
  <c r="B113" i="8" s="1"/>
  <c r="AX112" i="8"/>
  <c r="AW112" i="8"/>
  <c r="AV112" i="8"/>
  <c r="AU112" i="8"/>
  <c r="AT112" i="8"/>
  <c r="AS112" i="8"/>
  <c r="AR112" i="8"/>
  <c r="AQ112" i="8"/>
  <c r="AP112" i="8"/>
  <c r="AO112" i="8"/>
  <c r="AN112" i="8"/>
  <c r="AM112" i="8"/>
  <c r="AL112" i="8"/>
  <c r="AK112" i="8"/>
  <c r="AJ112" i="8"/>
  <c r="AI112" i="8"/>
  <c r="AH112" i="8"/>
  <c r="AG112" i="8"/>
  <c r="AF112" i="8"/>
  <c r="AE112" i="8"/>
  <c r="AD112" i="8"/>
  <c r="AC112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A112" i="8"/>
  <c r="B112" i="8" s="1"/>
  <c r="AX111" i="8"/>
  <c r="AW111" i="8"/>
  <c r="AV111" i="8"/>
  <c r="AU111" i="8"/>
  <c r="AT111" i="8"/>
  <c r="AS111" i="8"/>
  <c r="AR111" i="8"/>
  <c r="AQ111" i="8"/>
  <c r="AP111" i="8"/>
  <c r="AO111" i="8"/>
  <c r="AN111" i="8"/>
  <c r="AM111" i="8"/>
  <c r="AL111" i="8"/>
  <c r="AK111" i="8"/>
  <c r="AJ111" i="8"/>
  <c r="AI111" i="8"/>
  <c r="AH111" i="8"/>
  <c r="AG111" i="8"/>
  <c r="AF111" i="8"/>
  <c r="AE111" i="8"/>
  <c r="AD111" i="8"/>
  <c r="AC111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B111" i="8"/>
  <c r="A111" i="8"/>
  <c r="AX110" i="8"/>
  <c r="AW110" i="8"/>
  <c r="AV110" i="8"/>
  <c r="AU110" i="8"/>
  <c r="AT110" i="8"/>
  <c r="AS110" i="8"/>
  <c r="AR110" i="8"/>
  <c r="AQ110" i="8"/>
  <c r="AP110" i="8"/>
  <c r="AO110" i="8"/>
  <c r="AN110" i="8"/>
  <c r="AM110" i="8"/>
  <c r="AL110" i="8"/>
  <c r="AK110" i="8"/>
  <c r="AJ110" i="8"/>
  <c r="AI110" i="8"/>
  <c r="AH110" i="8"/>
  <c r="AG110" i="8"/>
  <c r="AF110" i="8"/>
  <c r="AE110" i="8"/>
  <c r="AD110" i="8"/>
  <c r="AC110" i="8"/>
  <c r="AB110" i="8"/>
  <c r="AA110" i="8"/>
  <c r="Z110" i="8"/>
  <c r="Y110" i="8"/>
  <c r="X110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B110" i="8"/>
  <c r="A110" i="8"/>
  <c r="AX109" i="8"/>
  <c r="AW109" i="8"/>
  <c r="AV109" i="8"/>
  <c r="AU109" i="8"/>
  <c r="AT109" i="8"/>
  <c r="AS109" i="8"/>
  <c r="AR109" i="8"/>
  <c r="AQ109" i="8"/>
  <c r="AP109" i="8"/>
  <c r="AO109" i="8"/>
  <c r="AN109" i="8"/>
  <c r="AM109" i="8"/>
  <c r="AL109" i="8"/>
  <c r="AK109" i="8"/>
  <c r="AJ109" i="8"/>
  <c r="AI109" i="8"/>
  <c r="AH109" i="8"/>
  <c r="AG109" i="8"/>
  <c r="AF109" i="8"/>
  <c r="AE109" i="8"/>
  <c r="AD109" i="8"/>
  <c r="AC109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A109" i="8"/>
  <c r="B109" i="8" s="1"/>
  <c r="AX108" i="8"/>
  <c r="AW108" i="8"/>
  <c r="AV108" i="8"/>
  <c r="AU108" i="8"/>
  <c r="AT108" i="8"/>
  <c r="AS108" i="8"/>
  <c r="AR108" i="8"/>
  <c r="AQ108" i="8"/>
  <c r="AP108" i="8"/>
  <c r="AO108" i="8"/>
  <c r="AN108" i="8"/>
  <c r="AM108" i="8"/>
  <c r="AL108" i="8"/>
  <c r="AK108" i="8"/>
  <c r="AJ108" i="8"/>
  <c r="AI108" i="8"/>
  <c r="AH108" i="8"/>
  <c r="AG108" i="8"/>
  <c r="AF108" i="8"/>
  <c r="AE108" i="8"/>
  <c r="AD108" i="8"/>
  <c r="AC108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A108" i="8"/>
  <c r="B108" i="8" s="1"/>
  <c r="AX107" i="8"/>
  <c r="AW107" i="8"/>
  <c r="AV107" i="8"/>
  <c r="AU107" i="8"/>
  <c r="AT107" i="8"/>
  <c r="AS107" i="8"/>
  <c r="AR107" i="8"/>
  <c r="AQ107" i="8"/>
  <c r="AP107" i="8"/>
  <c r="AO107" i="8"/>
  <c r="AN107" i="8"/>
  <c r="AM107" i="8"/>
  <c r="AL107" i="8"/>
  <c r="AK107" i="8"/>
  <c r="AJ107" i="8"/>
  <c r="AI107" i="8"/>
  <c r="AH107" i="8"/>
  <c r="AG107" i="8"/>
  <c r="AF107" i="8"/>
  <c r="AE107" i="8"/>
  <c r="AD107" i="8"/>
  <c r="AC107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B107" i="8"/>
  <c r="A107" i="8"/>
  <c r="AX106" i="8"/>
  <c r="AW106" i="8"/>
  <c r="AV106" i="8"/>
  <c r="AU106" i="8"/>
  <c r="AT106" i="8"/>
  <c r="AS106" i="8"/>
  <c r="AR106" i="8"/>
  <c r="AQ106" i="8"/>
  <c r="AP106" i="8"/>
  <c r="AO106" i="8"/>
  <c r="AN106" i="8"/>
  <c r="AM106" i="8"/>
  <c r="AL106" i="8"/>
  <c r="AK106" i="8"/>
  <c r="AJ106" i="8"/>
  <c r="AI106" i="8"/>
  <c r="AH106" i="8"/>
  <c r="AG106" i="8"/>
  <c r="AF106" i="8"/>
  <c r="AE106" i="8"/>
  <c r="AD106" i="8"/>
  <c r="AC106" i="8"/>
  <c r="AB106" i="8"/>
  <c r="AA106" i="8"/>
  <c r="Z106" i="8"/>
  <c r="Y106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A106" i="8"/>
  <c r="B106" i="8" s="1"/>
  <c r="AX105" i="8"/>
  <c r="AW105" i="8"/>
  <c r="AV105" i="8"/>
  <c r="AU105" i="8"/>
  <c r="AT105" i="8"/>
  <c r="AS105" i="8"/>
  <c r="AR105" i="8"/>
  <c r="AQ105" i="8"/>
  <c r="AP105" i="8"/>
  <c r="AO105" i="8"/>
  <c r="AN105" i="8"/>
  <c r="AM105" i="8"/>
  <c r="AL105" i="8"/>
  <c r="AK105" i="8"/>
  <c r="AJ105" i="8"/>
  <c r="AI105" i="8"/>
  <c r="AH105" i="8"/>
  <c r="AG105" i="8"/>
  <c r="AF105" i="8"/>
  <c r="AE105" i="8"/>
  <c r="AD105" i="8"/>
  <c r="AC105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A105" i="8"/>
  <c r="B105" i="8" s="1"/>
  <c r="AX104" i="8"/>
  <c r="AW104" i="8"/>
  <c r="AV104" i="8"/>
  <c r="AU104" i="8"/>
  <c r="AT104" i="8"/>
  <c r="AS104" i="8"/>
  <c r="AR104" i="8"/>
  <c r="AQ104" i="8"/>
  <c r="AP104" i="8"/>
  <c r="AO104" i="8"/>
  <c r="AN104" i="8"/>
  <c r="AM104" i="8"/>
  <c r="AL104" i="8"/>
  <c r="AK104" i="8"/>
  <c r="AJ104" i="8"/>
  <c r="AI104" i="8"/>
  <c r="AH104" i="8"/>
  <c r="AG104" i="8"/>
  <c r="AF104" i="8"/>
  <c r="AE104" i="8"/>
  <c r="AD104" i="8"/>
  <c r="AC104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A104" i="8"/>
  <c r="B104" i="8" s="1"/>
  <c r="AX103" i="8"/>
  <c r="AW103" i="8"/>
  <c r="AV103" i="8"/>
  <c r="AU103" i="8"/>
  <c r="AT103" i="8"/>
  <c r="AS103" i="8"/>
  <c r="AR103" i="8"/>
  <c r="AQ103" i="8"/>
  <c r="AP103" i="8"/>
  <c r="AO103" i="8"/>
  <c r="AN103" i="8"/>
  <c r="AM103" i="8"/>
  <c r="AL103" i="8"/>
  <c r="AK103" i="8"/>
  <c r="AJ103" i="8"/>
  <c r="AI103" i="8"/>
  <c r="AH103" i="8"/>
  <c r="AG103" i="8"/>
  <c r="AF103" i="8"/>
  <c r="AE103" i="8"/>
  <c r="AD103" i="8"/>
  <c r="AC103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B103" i="8"/>
  <c r="A103" i="8"/>
  <c r="AX102" i="8"/>
  <c r="AW102" i="8"/>
  <c r="AV102" i="8"/>
  <c r="AU102" i="8"/>
  <c r="AT102" i="8"/>
  <c r="AS102" i="8"/>
  <c r="AR102" i="8"/>
  <c r="AQ102" i="8"/>
  <c r="AP102" i="8"/>
  <c r="AO102" i="8"/>
  <c r="AN102" i="8"/>
  <c r="AM102" i="8"/>
  <c r="AL102" i="8"/>
  <c r="AK102" i="8"/>
  <c r="AJ102" i="8"/>
  <c r="AI102" i="8"/>
  <c r="AH102" i="8"/>
  <c r="AG102" i="8"/>
  <c r="AF102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A102" i="8"/>
  <c r="B102" i="8" s="1"/>
  <c r="AX101" i="8"/>
  <c r="AW101" i="8"/>
  <c r="AV101" i="8"/>
  <c r="AU101" i="8"/>
  <c r="AT101" i="8"/>
  <c r="AS101" i="8"/>
  <c r="AR101" i="8"/>
  <c r="AQ101" i="8"/>
  <c r="AP101" i="8"/>
  <c r="AO101" i="8"/>
  <c r="AN101" i="8"/>
  <c r="AM101" i="8"/>
  <c r="AL101" i="8"/>
  <c r="AK101" i="8"/>
  <c r="AJ101" i="8"/>
  <c r="AI101" i="8"/>
  <c r="AH101" i="8"/>
  <c r="AG101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A101" i="8"/>
  <c r="B101" i="8" s="1"/>
  <c r="AX100" i="8"/>
  <c r="AW100" i="8"/>
  <c r="AV100" i="8"/>
  <c r="AU100" i="8"/>
  <c r="AT100" i="8"/>
  <c r="AS100" i="8"/>
  <c r="AR100" i="8"/>
  <c r="AQ100" i="8"/>
  <c r="AP100" i="8"/>
  <c r="AO100" i="8"/>
  <c r="AN100" i="8"/>
  <c r="AM100" i="8"/>
  <c r="AL100" i="8"/>
  <c r="AK100" i="8"/>
  <c r="AJ100" i="8"/>
  <c r="AI100" i="8"/>
  <c r="AH100" i="8"/>
  <c r="AG100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A100" i="8"/>
  <c r="B100" i="8" s="1"/>
  <c r="AX99" i="8"/>
  <c r="AW99" i="8"/>
  <c r="AV99" i="8"/>
  <c r="AU99" i="8"/>
  <c r="AT99" i="8"/>
  <c r="AS99" i="8"/>
  <c r="AR99" i="8"/>
  <c r="AQ99" i="8"/>
  <c r="AP99" i="8"/>
  <c r="AO99" i="8"/>
  <c r="AN99" i="8"/>
  <c r="AM99" i="8"/>
  <c r="AL99" i="8"/>
  <c r="AK99" i="8"/>
  <c r="AJ99" i="8"/>
  <c r="AI99" i="8"/>
  <c r="AH99" i="8"/>
  <c r="AG99" i="8"/>
  <c r="AF99" i="8"/>
  <c r="AE99" i="8"/>
  <c r="AD99" i="8"/>
  <c r="AC99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B99" i="8"/>
  <c r="A99" i="8"/>
  <c r="AX98" i="8"/>
  <c r="AW98" i="8"/>
  <c r="AV98" i="8"/>
  <c r="AU98" i="8"/>
  <c r="AT98" i="8"/>
  <c r="AS98" i="8"/>
  <c r="AR98" i="8"/>
  <c r="AQ98" i="8"/>
  <c r="AP98" i="8"/>
  <c r="AO98" i="8"/>
  <c r="AN98" i="8"/>
  <c r="AM98" i="8"/>
  <c r="AL98" i="8"/>
  <c r="AK98" i="8"/>
  <c r="AJ98" i="8"/>
  <c r="AI98" i="8"/>
  <c r="AH98" i="8"/>
  <c r="AG98" i="8"/>
  <c r="AF98" i="8"/>
  <c r="AE98" i="8"/>
  <c r="AD98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A98" i="8"/>
  <c r="B98" i="8" s="1"/>
  <c r="AX97" i="8"/>
  <c r="AW97" i="8"/>
  <c r="AV97" i="8"/>
  <c r="AU97" i="8"/>
  <c r="AT97" i="8"/>
  <c r="AS97" i="8"/>
  <c r="AR97" i="8"/>
  <c r="AQ97" i="8"/>
  <c r="AP97" i="8"/>
  <c r="AO97" i="8"/>
  <c r="AN97" i="8"/>
  <c r="AM97" i="8"/>
  <c r="AL97" i="8"/>
  <c r="AK97" i="8"/>
  <c r="AJ97" i="8"/>
  <c r="AI97" i="8"/>
  <c r="AH97" i="8"/>
  <c r="AG97" i="8"/>
  <c r="AF97" i="8"/>
  <c r="AE97" i="8"/>
  <c r="AD97" i="8"/>
  <c r="AC97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A97" i="8"/>
  <c r="B97" i="8" s="1"/>
  <c r="AX96" i="8"/>
  <c r="AW96" i="8"/>
  <c r="AV96" i="8"/>
  <c r="AU96" i="8"/>
  <c r="AT96" i="8"/>
  <c r="AS96" i="8"/>
  <c r="AR96" i="8"/>
  <c r="AQ96" i="8"/>
  <c r="AP96" i="8"/>
  <c r="AO96" i="8"/>
  <c r="AN96" i="8"/>
  <c r="AM96" i="8"/>
  <c r="AL96" i="8"/>
  <c r="AK96" i="8"/>
  <c r="AJ96" i="8"/>
  <c r="AI96" i="8"/>
  <c r="AH96" i="8"/>
  <c r="AG96" i="8"/>
  <c r="AF96" i="8"/>
  <c r="AE96" i="8"/>
  <c r="AD96" i="8"/>
  <c r="AC96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A96" i="8"/>
  <c r="B96" i="8" s="1"/>
  <c r="AX95" i="8"/>
  <c r="AW95" i="8"/>
  <c r="AV95" i="8"/>
  <c r="AU95" i="8"/>
  <c r="AT95" i="8"/>
  <c r="AS95" i="8"/>
  <c r="AR95" i="8"/>
  <c r="AQ95" i="8"/>
  <c r="AP95" i="8"/>
  <c r="AO95" i="8"/>
  <c r="AN95" i="8"/>
  <c r="AM95" i="8"/>
  <c r="AL95" i="8"/>
  <c r="AK95" i="8"/>
  <c r="AJ95" i="8"/>
  <c r="AI95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B95" i="8"/>
  <c r="A95" i="8"/>
  <c r="AX94" i="8"/>
  <c r="AW94" i="8"/>
  <c r="AV94" i="8"/>
  <c r="AU94" i="8"/>
  <c r="AT94" i="8"/>
  <c r="AS94" i="8"/>
  <c r="AR94" i="8"/>
  <c r="AQ94" i="8"/>
  <c r="AP94" i="8"/>
  <c r="AO94" i="8"/>
  <c r="AN94" i="8"/>
  <c r="AM94" i="8"/>
  <c r="AL94" i="8"/>
  <c r="AK94" i="8"/>
  <c r="AJ94" i="8"/>
  <c r="AI94" i="8"/>
  <c r="AH94" i="8"/>
  <c r="AG94" i="8"/>
  <c r="AF94" i="8"/>
  <c r="AE94" i="8"/>
  <c r="AD94" i="8"/>
  <c r="AC94" i="8"/>
  <c r="AB94" i="8"/>
  <c r="AA94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A94" i="8"/>
  <c r="B94" i="8" s="1"/>
  <c r="AX93" i="8"/>
  <c r="AW93" i="8"/>
  <c r="AV93" i="8"/>
  <c r="AU93" i="8"/>
  <c r="AT93" i="8"/>
  <c r="AS93" i="8"/>
  <c r="AR93" i="8"/>
  <c r="AQ93" i="8"/>
  <c r="AP93" i="8"/>
  <c r="AO93" i="8"/>
  <c r="AN93" i="8"/>
  <c r="AM93" i="8"/>
  <c r="AL93" i="8"/>
  <c r="AK93" i="8"/>
  <c r="AJ93" i="8"/>
  <c r="AI93" i="8"/>
  <c r="AH93" i="8"/>
  <c r="AG93" i="8"/>
  <c r="AF93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A93" i="8"/>
  <c r="B93" i="8" s="1"/>
  <c r="AX92" i="8"/>
  <c r="AW92" i="8"/>
  <c r="AV92" i="8"/>
  <c r="AU92" i="8"/>
  <c r="AT92" i="8"/>
  <c r="AS92" i="8"/>
  <c r="AR92" i="8"/>
  <c r="AQ92" i="8"/>
  <c r="AP92" i="8"/>
  <c r="AO92" i="8"/>
  <c r="AN92" i="8"/>
  <c r="AM92" i="8"/>
  <c r="AL92" i="8"/>
  <c r="AK92" i="8"/>
  <c r="AJ92" i="8"/>
  <c r="AI92" i="8"/>
  <c r="AH92" i="8"/>
  <c r="AG92" i="8"/>
  <c r="AF92" i="8"/>
  <c r="AE92" i="8"/>
  <c r="AD92" i="8"/>
  <c r="AC92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A92" i="8"/>
  <c r="B92" i="8" s="1"/>
  <c r="AX91" i="8"/>
  <c r="AW91" i="8"/>
  <c r="AV91" i="8"/>
  <c r="AU91" i="8"/>
  <c r="AT91" i="8"/>
  <c r="AS91" i="8"/>
  <c r="AR91" i="8"/>
  <c r="AQ91" i="8"/>
  <c r="AP91" i="8"/>
  <c r="AO91" i="8"/>
  <c r="AN91" i="8"/>
  <c r="AM91" i="8"/>
  <c r="AL91" i="8"/>
  <c r="AK91" i="8"/>
  <c r="AJ91" i="8"/>
  <c r="AI91" i="8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B91" i="8"/>
  <c r="A91" i="8"/>
  <c r="AX90" i="8"/>
  <c r="AW90" i="8"/>
  <c r="AV90" i="8"/>
  <c r="AU90" i="8"/>
  <c r="AT90" i="8"/>
  <c r="AS90" i="8"/>
  <c r="AR90" i="8"/>
  <c r="AQ90" i="8"/>
  <c r="AP90" i="8"/>
  <c r="AO90" i="8"/>
  <c r="AN90" i="8"/>
  <c r="AM90" i="8"/>
  <c r="AL90" i="8"/>
  <c r="AK90" i="8"/>
  <c r="AJ90" i="8"/>
  <c r="AI90" i="8"/>
  <c r="AH90" i="8"/>
  <c r="AG90" i="8"/>
  <c r="AF90" i="8"/>
  <c r="AE90" i="8"/>
  <c r="AD90" i="8"/>
  <c r="AC90" i="8"/>
  <c r="AB90" i="8"/>
  <c r="AA90" i="8"/>
  <c r="Z90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A90" i="8"/>
  <c r="B90" i="8" s="1"/>
  <c r="AX89" i="8"/>
  <c r="AW89" i="8"/>
  <c r="AV89" i="8"/>
  <c r="AU89" i="8"/>
  <c r="AT89" i="8"/>
  <c r="AS89" i="8"/>
  <c r="AR89" i="8"/>
  <c r="AQ89" i="8"/>
  <c r="AP89" i="8"/>
  <c r="AO89" i="8"/>
  <c r="AN89" i="8"/>
  <c r="AM89" i="8"/>
  <c r="AL89" i="8"/>
  <c r="AK89" i="8"/>
  <c r="AJ89" i="8"/>
  <c r="AI89" i="8"/>
  <c r="AH89" i="8"/>
  <c r="AG89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A89" i="8"/>
  <c r="B89" i="8" s="1"/>
  <c r="AX88" i="8"/>
  <c r="AW88" i="8"/>
  <c r="AV88" i="8"/>
  <c r="AU88" i="8"/>
  <c r="AT88" i="8"/>
  <c r="AS88" i="8"/>
  <c r="AR88" i="8"/>
  <c r="AQ88" i="8"/>
  <c r="AP88" i="8"/>
  <c r="AO88" i="8"/>
  <c r="AN88" i="8"/>
  <c r="AM88" i="8"/>
  <c r="AL88" i="8"/>
  <c r="AK88" i="8"/>
  <c r="AJ88" i="8"/>
  <c r="AI88" i="8"/>
  <c r="AH88" i="8"/>
  <c r="AG88" i="8"/>
  <c r="AF88" i="8"/>
  <c r="AE88" i="8"/>
  <c r="AD88" i="8"/>
  <c r="AC88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A88" i="8"/>
  <c r="B88" i="8" s="1"/>
  <c r="AX87" i="8"/>
  <c r="AW87" i="8"/>
  <c r="AV87" i="8"/>
  <c r="AU87" i="8"/>
  <c r="AT87" i="8"/>
  <c r="AS87" i="8"/>
  <c r="AR87" i="8"/>
  <c r="AQ87" i="8"/>
  <c r="AP87" i="8"/>
  <c r="AO87" i="8"/>
  <c r="AN87" i="8"/>
  <c r="AM87" i="8"/>
  <c r="AL87" i="8"/>
  <c r="AK87" i="8"/>
  <c r="AJ87" i="8"/>
  <c r="AI87" i="8"/>
  <c r="AH87" i="8"/>
  <c r="AG87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B87" i="8"/>
  <c r="A87" i="8"/>
  <c r="AX86" i="8"/>
  <c r="AW86" i="8"/>
  <c r="AV86" i="8"/>
  <c r="AU86" i="8"/>
  <c r="AT86" i="8"/>
  <c r="AS86" i="8"/>
  <c r="AR86" i="8"/>
  <c r="AQ86" i="8"/>
  <c r="AP86" i="8"/>
  <c r="AO86" i="8"/>
  <c r="AN86" i="8"/>
  <c r="AM86" i="8"/>
  <c r="AL86" i="8"/>
  <c r="AK86" i="8"/>
  <c r="AJ86" i="8"/>
  <c r="AI86" i="8"/>
  <c r="AH86" i="8"/>
  <c r="AG86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A86" i="8"/>
  <c r="B86" i="8" s="1"/>
  <c r="AX85" i="8"/>
  <c r="AW85" i="8"/>
  <c r="AV85" i="8"/>
  <c r="AU85" i="8"/>
  <c r="AT85" i="8"/>
  <c r="AS85" i="8"/>
  <c r="AR85" i="8"/>
  <c r="AQ85" i="8"/>
  <c r="AP85" i="8"/>
  <c r="AO85" i="8"/>
  <c r="AN85" i="8"/>
  <c r="AM85" i="8"/>
  <c r="AL85" i="8"/>
  <c r="AK85" i="8"/>
  <c r="AJ85" i="8"/>
  <c r="AI85" i="8"/>
  <c r="AH85" i="8"/>
  <c r="AG85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A85" i="8"/>
  <c r="B85" i="8" s="1"/>
  <c r="AX84" i="8"/>
  <c r="AW84" i="8"/>
  <c r="AV84" i="8"/>
  <c r="AU84" i="8"/>
  <c r="AT84" i="8"/>
  <c r="AS84" i="8"/>
  <c r="AR84" i="8"/>
  <c r="AQ84" i="8"/>
  <c r="AP84" i="8"/>
  <c r="AO84" i="8"/>
  <c r="AN84" i="8"/>
  <c r="AM84" i="8"/>
  <c r="AL84" i="8"/>
  <c r="AK84" i="8"/>
  <c r="AJ84" i="8"/>
  <c r="AI84" i="8"/>
  <c r="AH84" i="8"/>
  <c r="AG84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A84" i="8"/>
  <c r="B84" i="8" s="1"/>
  <c r="AX83" i="8"/>
  <c r="AW83" i="8"/>
  <c r="AV83" i="8"/>
  <c r="AU83" i="8"/>
  <c r="AT83" i="8"/>
  <c r="AS83" i="8"/>
  <c r="AR83" i="8"/>
  <c r="AQ83" i="8"/>
  <c r="AP83" i="8"/>
  <c r="AO83" i="8"/>
  <c r="AN83" i="8"/>
  <c r="AM83" i="8"/>
  <c r="AL83" i="8"/>
  <c r="AK83" i="8"/>
  <c r="AJ83" i="8"/>
  <c r="AI83" i="8"/>
  <c r="AH83" i="8"/>
  <c r="AG83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B83" i="8"/>
  <c r="A83" i="8"/>
  <c r="AX82" i="8"/>
  <c r="AW82" i="8"/>
  <c r="AV82" i="8"/>
  <c r="AU82" i="8"/>
  <c r="AT82" i="8"/>
  <c r="AS82" i="8"/>
  <c r="AR82" i="8"/>
  <c r="AQ82" i="8"/>
  <c r="AP82" i="8"/>
  <c r="AO82" i="8"/>
  <c r="AN82" i="8"/>
  <c r="AM82" i="8"/>
  <c r="AL82" i="8"/>
  <c r="AK82" i="8"/>
  <c r="AJ82" i="8"/>
  <c r="AI82" i="8"/>
  <c r="AH82" i="8"/>
  <c r="AG82" i="8"/>
  <c r="AF82" i="8"/>
  <c r="AE82" i="8"/>
  <c r="AD82" i="8"/>
  <c r="AC82" i="8"/>
  <c r="AB82" i="8"/>
  <c r="AA82" i="8"/>
  <c r="Z82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A82" i="8"/>
  <c r="B82" i="8" s="1"/>
  <c r="AX81" i="8"/>
  <c r="AW81" i="8"/>
  <c r="AV81" i="8"/>
  <c r="AU81" i="8"/>
  <c r="AT81" i="8"/>
  <c r="AS81" i="8"/>
  <c r="AR81" i="8"/>
  <c r="AQ81" i="8"/>
  <c r="AP81" i="8"/>
  <c r="AO81" i="8"/>
  <c r="AN81" i="8"/>
  <c r="AM81" i="8"/>
  <c r="AL81" i="8"/>
  <c r="AK81" i="8"/>
  <c r="AJ81" i="8"/>
  <c r="AI81" i="8"/>
  <c r="AH81" i="8"/>
  <c r="AG81" i="8"/>
  <c r="AF81" i="8"/>
  <c r="AE81" i="8"/>
  <c r="AD81" i="8"/>
  <c r="AC81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A81" i="8"/>
  <c r="B81" i="8" s="1"/>
  <c r="AX80" i="8"/>
  <c r="AW80" i="8"/>
  <c r="AV80" i="8"/>
  <c r="AU80" i="8"/>
  <c r="AT80" i="8"/>
  <c r="AS80" i="8"/>
  <c r="AR80" i="8"/>
  <c r="AQ80" i="8"/>
  <c r="AP80" i="8"/>
  <c r="AO80" i="8"/>
  <c r="AN80" i="8"/>
  <c r="AM80" i="8"/>
  <c r="AL80" i="8"/>
  <c r="AK80" i="8"/>
  <c r="AJ80" i="8"/>
  <c r="AI80" i="8"/>
  <c r="AH80" i="8"/>
  <c r="AG80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A80" i="8"/>
  <c r="B80" i="8" s="1"/>
  <c r="AX79" i="8"/>
  <c r="AW79" i="8"/>
  <c r="AV79" i="8"/>
  <c r="AU79" i="8"/>
  <c r="AT79" i="8"/>
  <c r="AS79" i="8"/>
  <c r="AR79" i="8"/>
  <c r="AQ79" i="8"/>
  <c r="AP79" i="8"/>
  <c r="AO79" i="8"/>
  <c r="AN79" i="8"/>
  <c r="AM79" i="8"/>
  <c r="AL79" i="8"/>
  <c r="AK79" i="8"/>
  <c r="AJ79" i="8"/>
  <c r="AI79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B79" i="8"/>
  <c r="A79" i="8"/>
  <c r="AX78" i="8"/>
  <c r="AW78" i="8"/>
  <c r="AV78" i="8"/>
  <c r="AU78" i="8"/>
  <c r="AT78" i="8"/>
  <c r="AS78" i="8"/>
  <c r="AR78" i="8"/>
  <c r="AQ78" i="8"/>
  <c r="AP78" i="8"/>
  <c r="AO78" i="8"/>
  <c r="AN78" i="8"/>
  <c r="AM78" i="8"/>
  <c r="AL78" i="8"/>
  <c r="AK78" i="8"/>
  <c r="AJ78" i="8"/>
  <c r="AI78" i="8"/>
  <c r="AH78" i="8"/>
  <c r="AG78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A78" i="8"/>
  <c r="B78" i="8" s="1"/>
  <c r="AX77" i="8"/>
  <c r="AW77" i="8"/>
  <c r="AV77" i="8"/>
  <c r="AU77" i="8"/>
  <c r="AT77" i="8"/>
  <c r="AS77" i="8"/>
  <c r="AR77" i="8"/>
  <c r="AQ77" i="8"/>
  <c r="AP77" i="8"/>
  <c r="AO77" i="8"/>
  <c r="AN77" i="8"/>
  <c r="AM77" i="8"/>
  <c r="AL77" i="8"/>
  <c r="AK77" i="8"/>
  <c r="AJ77" i="8"/>
  <c r="AI77" i="8"/>
  <c r="AH77" i="8"/>
  <c r="AG77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A77" i="8"/>
  <c r="B77" i="8" s="1"/>
  <c r="AX76" i="8"/>
  <c r="AW76" i="8"/>
  <c r="AV76" i="8"/>
  <c r="AU76" i="8"/>
  <c r="AT76" i="8"/>
  <c r="AS76" i="8"/>
  <c r="AR76" i="8"/>
  <c r="AQ76" i="8"/>
  <c r="AP76" i="8"/>
  <c r="AO76" i="8"/>
  <c r="AN76" i="8"/>
  <c r="AM76" i="8"/>
  <c r="AL76" i="8"/>
  <c r="AK76" i="8"/>
  <c r="AJ76" i="8"/>
  <c r="AI76" i="8"/>
  <c r="AH76" i="8"/>
  <c r="AG76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A76" i="8"/>
  <c r="B76" i="8" s="1"/>
  <c r="AX75" i="8"/>
  <c r="AW75" i="8"/>
  <c r="AV75" i="8"/>
  <c r="AU75" i="8"/>
  <c r="AT75" i="8"/>
  <c r="AS75" i="8"/>
  <c r="AR75" i="8"/>
  <c r="AQ75" i="8"/>
  <c r="AP75" i="8"/>
  <c r="AO75" i="8"/>
  <c r="AN75" i="8"/>
  <c r="AM75" i="8"/>
  <c r="AL75" i="8"/>
  <c r="AK75" i="8"/>
  <c r="AJ75" i="8"/>
  <c r="AI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A75" i="8"/>
  <c r="AX74" i="8"/>
  <c r="AW74" i="8"/>
  <c r="AV74" i="8"/>
  <c r="AU74" i="8"/>
  <c r="AT74" i="8"/>
  <c r="AS74" i="8"/>
  <c r="AR74" i="8"/>
  <c r="AQ74" i="8"/>
  <c r="AP74" i="8"/>
  <c r="AO74" i="8"/>
  <c r="AN74" i="8"/>
  <c r="AM74" i="8"/>
  <c r="AL74" i="8"/>
  <c r="AK74" i="8"/>
  <c r="AJ74" i="8"/>
  <c r="AI74" i="8"/>
  <c r="AH74" i="8"/>
  <c r="AG74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A74" i="8"/>
  <c r="AX73" i="8"/>
  <c r="AW73" i="8"/>
  <c r="AV73" i="8"/>
  <c r="AU73" i="8"/>
  <c r="AT73" i="8"/>
  <c r="AS73" i="8"/>
  <c r="AR73" i="8"/>
  <c r="AQ73" i="8"/>
  <c r="AP73" i="8"/>
  <c r="AO73" i="8"/>
  <c r="AN73" i="8"/>
  <c r="AM73" i="8"/>
  <c r="AL73" i="8"/>
  <c r="AK73" i="8"/>
  <c r="AJ73" i="8"/>
  <c r="AI73" i="8"/>
  <c r="AH73" i="8"/>
  <c r="AG73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A73" i="8"/>
  <c r="AX72" i="8"/>
  <c r="AW72" i="8"/>
  <c r="AV72" i="8"/>
  <c r="AU72" i="8"/>
  <c r="AT72" i="8"/>
  <c r="AS72" i="8"/>
  <c r="AR72" i="8"/>
  <c r="AQ72" i="8"/>
  <c r="AP72" i="8"/>
  <c r="AO72" i="8"/>
  <c r="AN72" i="8"/>
  <c r="AM72" i="8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A72" i="8"/>
  <c r="AX71" i="8"/>
  <c r="AW71" i="8"/>
  <c r="AV71" i="8"/>
  <c r="AU71" i="8"/>
  <c r="AT71" i="8"/>
  <c r="AS71" i="8"/>
  <c r="AR71" i="8"/>
  <c r="AQ71" i="8"/>
  <c r="AP71" i="8"/>
  <c r="AO71" i="8"/>
  <c r="AN71" i="8"/>
  <c r="AM71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A71" i="8"/>
  <c r="AX70" i="8"/>
  <c r="AW70" i="8"/>
  <c r="AV70" i="8"/>
  <c r="AU70" i="8"/>
  <c r="AT70" i="8"/>
  <c r="AS70" i="8"/>
  <c r="AR70" i="8"/>
  <c r="AQ70" i="8"/>
  <c r="AP70" i="8"/>
  <c r="AO70" i="8"/>
  <c r="AN70" i="8"/>
  <c r="AM70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A70" i="8"/>
  <c r="AX69" i="8"/>
  <c r="AW69" i="8"/>
  <c r="AV69" i="8"/>
  <c r="AU69" i="8"/>
  <c r="AT69" i="8"/>
  <c r="AS69" i="8"/>
  <c r="AR69" i="8"/>
  <c r="AQ69" i="8"/>
  <c r="AP69" i="8"/>
  <c r="AO69" i="8"/>
  <c r="AN69" i="8"/>
  <c r="AM69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A69" i="8"/>
  <c r="AX68" i="8"/>
  <c r="AW68" i="8"/>
  <c r="AV68" i="8"/>
  <c r="AU68" i="8"/>
  <c r="AT68" i="8"/>
  <c r="AS68" i="8"/>
  <c r="AR68" i="8"/>
  <c r="AQ68" i="8"/>
  <c r="AP68" i="8"/>
  <c r="AO68" i="8"/>
  <c r="AN68" i="8"/>
  <c r="AM68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A68" i="8"/>
  <c r="AX67" i="8"/>
  <c r="AW67" i="8"/>
  <c r="AV67" i="8"/>
  <c r="AU67" i="8"/>
  <c r="AT67" i="8"/>
  <c r="AS67" i="8"/>
  <c r="AR67" i="8"/>
  <c r="AQ67" i="8"/>
  <c r="AP67" i="8"/>
  <c r="AO67" i="8"/>
  <c r="AN67" i="8"/>
  <c r="AM67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A67" i="8"/>
  <c r="AX66" i="8"/>
  <c r="AW66" i="8"/>
  <c r="AV66" i="8"/>
  <c r="AU66" i="8"/>
  <c r="AT66" i="8"/>
  <c r="AS66" i="8"/>
  <c r="AR66" i="8"/>
  <c r="AQ66" i="8"/>
  <c r="AP66" i="8"/>
  <c r="AO66" i="8"/>
  <c r="AN66" i="8"/>
  <c r="AM66" i="8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A66" i="8"/>
  <c r="AX65" i="8"/>
  <c r="AW65" i="8"/>
  <c r="AV65" i="8"/>
  <c r="AU65" i="8"/>
  <c r="AT65" i="8"/>
  <c r="AS65" i="8"/>
  <c r="AR65" i="8"/>
  <c r="AQ65" i="8"/>
  <c r="AP65" i="8"/>
  <c r="AO65" i="8"/>
  <c r="AN65" i="8"/>
  <c r="AM65" i="8"/>
  <c r="AL65" i="8"/>
  <c r="AK65" i="8"/>
  <c r="AJ65" i="8"/>
  <c r="AI65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A65" i="8"/>
  <c r="AX64" i="8"/>
  <c r="AW64" i="8"/>
  <c r="AV64" i="8"/>
  <c r="AU64" i="8"/>
  <c r="AT64" i="8"/>
  <c r="AS64" i="8"/>
  <c r="AR64" i="8"/>
  <c r="AQ64" i="8"/>
  <c r="AP64" i="8"/>
  <c r="AO64" i="8"/>
  <c r="AN64" i="8"/>
  <c r="AM64" i="8"/>
  <c r="AL64" i="8"/>
  <c r="AK64" i="8"/>
  <c r="AJ64" i="8"/>
  <c r="AI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A64" i="8"/>
  <c r="AX63" i="8"/>
  <c r="AW63" i="8"/>
  <c r="AV63" i="8"/>
  <c r="AU63" i="8"/>
  <c r="AT63" i="8"/>
  <c r="AS63" i="8"/>
  <c r="AR63" i="8"/>
  <c r="AQ63" i="8"/>
  <c r="AP63" i="8"/>
  <c r="AO63" i="8"/>
  <c r="AN63" i="8"/>
  <c r="AM63" i="8"/>
  <c r="AL63" i="8"/>
  <c r="AK63" i="8"/>
  <c r="AJ63" i="8"/>
  <c r="AI63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A63" i="8"/>
  <c r="AX62" i="8"/>
  <c r="AW62" i="8"/>
  <c r="AV62" i="8"/>
  <c r="AU62" i="8"/>
  <c r="AT62" i="8"/>
  <c r="AS62" i="8"/>
  <c r="AR62" i="8"/>
  <c r="AQ62" i="8"/>
  <c r="AP62" i="8"/>
  <c r="AO62" i="8"/>
  <c r="AN62" i="8"/>
  <c r="AM62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A62" i="8"/>
  <c r="AX61" i="8"/>
  <c r="AW61" i="8"/>
  <c r="AV61" i="8"/>
  <c r="AU61" i="8"/>
  <c r="AT61" i="8"/>
  <c r="AS61" i="8"/>
  <c r="AR61" i="8"/>
  <c r="AQ61" i="8"/>
  <c r="AP61" i="8"/>
  <c r="AO61" i="8"/>
  <c r="AN61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A61" i="8"/>
  <c r="AX60" i="8"/>
  <c r="AW60" i="8"/>
  <c r="AV60" i="8"/>
  <c r="AU60" i="8"/>
  <c r="AT60" i="8"/>
  <c r="AS60" i="8"/>
  <c r="AR60" i="8"/>
  <c r="AQ60" i="8"/>
  <c r="AP60" i="8"/>
  <c r="AO60" i="8"/>
  <c r="AN60" i="8"/>
  <c r="AM60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A60" i="8"/>
  <c r="AX59" i="8"/>
  <c r="AW59" i="8"/>
  <c r="AV59" i="8"/>
  <c r="AU59" i="8"/>
  <c r="AT59" i="8"/>
  <c r="AS59" i="8"/>
  <c r="AR59" i="8"/>
  <c r="AQ59" i="8"/>
  <c r="AP59" i="8"/>
  <c r="AO59" i="8"/>
  <c r="AN59" i="8"/>
  <c r="AM59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A59" i="8"/>
  <c r="AX58" i="8"/>
  <c r="AW58" i="8"/>
  <c r="AV58" i="8"/>
  <c r="AU58" i="8"/>
  <c r="AT58" i="8"/>
  <c r="AS58" i="8"/>
  <c r="AR58" i="8"/>
  <c r="AQ58" i="8"/>
  <c r="AP58" i="8"/>
  <c r="AO58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A58" i="8"/>
  <c r="AX57" i="8"/>
  <c r="AW57" i="8"/>
  <c r="AV57" i="8"/>
  <c r="AU57" i="8"/>
  <c r="AT57" i="8"/>
  <c r="AS57" i="8"/>
  <c r="AR57" i="8"/>
  <c r="AQ57" i="8"/>
  <c r="AP57" i="8"/>
  <c r="AO57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A57" i="8"/>
  <c r="AX56" i="8"/>
  <c r="AW56" i="8"/>
  <c r="AV56" i="8"/>
  <c r="AU56" i="8"/>
  <c r="AT56" i="8"/>
  <c r="AS56" i="8"/>
  <c r="AR56" i="8"/>
  <c r="AQ56" i="8"/>
  <c r="AP56" i="8"/>
  <c r="AO56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A56" i="8"/>
  <c r="AX55" i="8"/>
  <c r="AW55" i="8"/>
  <c r="AV55" i="8"/>
  <c r="AU55" i="8"/>
  <c r="AT55" i="8"/>
  <c r="AS55" i="8"/>
  <c r="AR55" i="8"/>
  <c r="AQ55" i="8"/>
  <c r="AP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A55" i="8"/>
  <c r="AX54" i="8"/>
  <c r="AW54" i="8"/>
  <c r="AV54" i="8"/>
  <c r="AU54" i="8"/>
  <c r="AT54" i="8"/>
  <c r="AS54" i="8"/>
  <c r="AR54" i="8"/>
  <c r="AQ54" i="8"/>
  <c r="AP54" i="8"/>
  <c r="AO54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A54" i="8"/>
  <c r="AX53" i="8"/>
  <c r="AW53" i="8"/>
  <c r="AV53" i="8"/>
  <c r="AU53" i="8"/>
  <c r="AT53" i="8"/>
  <c r="AS53" i="8"/>
  <c r="AR53" i="8"/>
  <c r="AQ53" i="8"/>
  <c r="AP53" i="8"/>
  <c r="AO53" i="8"/>
  <c r="AN53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A53" i="8"/>
  <c r="AX52" i="8"/>
  <c r="AW52" i="8"/>
  <c r="AV52" i="8"/>
  <c r="AU52" i="8"/>
  <c r="AT52" i="8"/>
  <c r="AS52" i="8"/>
  <c r="AR52" i="8"/>
  <c r="AQ52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A52" i="8"/>
  <c r="AX51" i="8"/>
  <c r="AW51" i="8"/>
  <c r="AV51" i="8"/>
  <c r="AU51" i="8"/>
  <c r="AT51" i="8"/>
  <c r="AS51" i="8"/>
  <c r="AR51" i="8"/>
  <c r="AQ51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A51" i="8"/>
  <c r="AX50" i="8"/>
  <c r="AW50" i="8"/>
  <c r="AV50" i="8"/>
  <c r="AU50" i="8"/>
  <c r="AT50" i="8"/>
  <c r="AS50" i="8"/>
  <c r="AR50" i="8"/>
  <c r="AQ50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A50" i="8"/>
  <c r="AX49" i="8"/>
  <c r="AW49" i="8"/>
  <c r="AV49" i="8"/>
  <c r="AU49" i="8"/>
  <c r="AT49" i="8"/>
  <c r="AS49" i="8"/>
  <c r="AR49" i="8"/>
  <c r="AQ49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A49" i="8"/>
  <c r="AX48" i="8"/>
  <c r="AW48" i="8"/>
  <c r="AV48" i="8"/>
  <c r="AU48" i="8"/>
  <c r="AT48" i="8"/>
  <c r="AS48" i="8"/>
  <c r="AR48" i="8"/>
  <c r="AQ48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A48" i="8"/>
  <c r="AX47" i="8"/>
  <c r="AW47" i="8"/>
  <c r="AV47" i="8"/>
  <c r="AU47" i="8"/>
  <c r="AT47" i="8"/>
  <c r="AS47" i="8"/>
  <c r="AR47" i="8"/>
  <c r="AQ47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A47" i="8"/>
  <c r="AX46" i="8"/>
  <c r="AW46" i="8"/>
  <c r="AV46" i="8"/>
  <c r="AU46" i="8"/>
  <c r="AT46" i="8"/>
  <c r="AS46" i="8"/>
  <c r="AR46" i="8"/>
  <c r="AQ46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A46" i="8"/>
  <c r="AX45" i="8"/>
  <c r="AW45" i="8"/>
  <c r="AV45" i="8"/>
  <c r="AU45" i="8"/>
  <c r="AT45" i="8"/>
  <c r="AS45" i="8"/>
  <c r="AR45" i="8"/>
  <c r="AQ45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A45" i="8"/>
  <c r="AX44" i="8"/>
  <c r="AW44" i="8"/>
  <c r="AV44" i="8"/>
  <c r="AU44" i="8"/>
  <c r="AT44" i="8"/>
  <c r="AS44" i="8"/>
  <c r="AR44" i="8"/>
  <c r="AQ44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A44" i="8"/>
  <c r="AX43" i="8"/>
  <c r="AW43" i="8"/>
  <c r="AV43" i="8"/>
  <c r="AU43" i="8"/>
  <c r="AT43" i="8"/>
  <c r="AS43" i="8"/>
  <c r="AR43" i="8"/>
  <c r="AQ43" i="8"/>
  <c r="AP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A43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A42" i="8"/>
  <c r="AX41" i="8"/>
  <c r="AW41" i="8"/>
  <c r="AV41" i="8"/>
  <c r="AU41" i="8"/>
  <c r="AT41" i="8"/>
  <c r="AS41" i="8"/>
  <c r="AR41" i="8"/>
  <c r="AQ41" i="8"/>
  <c r="AP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A41" i="8"/>
  <c r="AX40" i="8"/>
  <c r="AW40" i="8"/>
  <c r="AV40" i="8"/>
  <c r="AU40" i="8"/>
  <c r="AT40" i="8"/>
  <c r="AS40" i="8"/>
  <c r="AR40" i="8"/>
  <c r="AQ40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A40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A39" i="8"/>
  <c r="AX38" i="8"/>
  <c r="AW38" i="8"/>
  <c r="AV38" i="8"/>
  <c r="AU38" i="8"/>
  <c r="AT38" i="8"/>
  <c r="AS38" i="8"/>
  <c r="AR38" i="8"/>
  <c r="AQ38" i="8"/>
  <c r="AP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A38" i="8"/>
  <c r="AX37" i="8"/>
  <c r="AW37" i="8"/>
  <c r="AV37" i="8"/>
  <c r="AU37" i="8"/>
  <c r="AT37" i="8"/>
  <c r="AS37" i="8"/>
  <c r="AR37" i="8"/>
  <c r="AQ37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A37" i="8"/>
  <c r="AX36" i="8"/>
  <c r="AW36" i="8"/>
  <c r="AV36" i="8"/>
  <c r="AU36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A36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A35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A34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A33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A32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A31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A30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A29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A28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A27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A26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A25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A24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A23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A22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A21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A20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A19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A18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A17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A16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A15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A14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A13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A12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A11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A10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A9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A8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A7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A6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A5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A4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A3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A2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A1" i="8"/>
</calcChain>
</file>

<file path=xl/sharedStrings.xml><?xml version="1.0" encoding="utf-8"?>
<sst xmlns="http://schemas.openxmlformats.org/spreadsheetml/2006/main" count="2041" uniqueCount="888">
  <si>
    <t>File</t>
  </si>
  <si>
    <t xml:space="preserve"> Std Err</t>
  </si>
  <si>
    <t xml:space="preserve"> R_sqrd</t>
  </si>
  <si>
    <t xml:space="preserve"> D pos</t>
  </si>
  <si>
    <t xml:space="preserve"> D ht</t>
  </si>
  <si>
    <t xml:space="preserve"> D fwhm</t>
  </si>
  <si>
    <t xml:space="preserve"> D area</t>
  </si>
  <si>
    <t xml:space="preserve"> D %area</t>
  </si>
  <si>
    <t xml:space="preserve"> G_G pos</t>
  </si>
  <si>
    <t xml:space="preserve"> G_G ht</t>
  </si>
  <si>
    <t xml:space="preserve"> G_G fwhm</t>
  </si>
  <si>
    <t xml:space="preserve"> G_G area</t>
  </si>
  <si>
    <t xml:space="preserve"> G_G %area</t>
  </si>
  <si>
    <t xml:space="preserve"> S_L pos</t>
  </si>
  <si>
    <t xml:space="preserve"> S_L ht</t>
  </si>
  <si>
    <t xml:space="preserve"> S_L fwhm</t>
  </si>
  <si>
    <t xml:space="preserve"> S_L area</t>
  </si>
  <si>
    <t xml:space="preserve"> S_L %area</t>
  </si>
  <si>
    <t xml:space="preserve"> S pos</t>
  </si>
  <si>
    <t xml:space="preserve"> S ht</t>
  </si>
  <si>
    <t xml:space="preserve"> S fwhm</t>
  </si>
  <si>
    <t xml:space="preserve"> S area</t>
  </si>
  <si>
    <t xml:space="preserve"> S %area</t>
  </si>
  <si>
    <t xml:space="preserve"> D_S pos</t>
  </si>
  <si>
    <t xml:space="preserve"> D_S ht</t>
  </si>
  <si>
    <t xml:space="preserve"> D_S fwhm</t>
  </si>
  <si>
    <t xml:space="preserve"> D_S area</t>
  </si>
  <si>
    <t xml:space="preserve"> D_S %area</t>
  </si>
  <si>
    <t xml:space="preserve"> A_1 pos</t>
  </si>
  <si>
    <t xml:space="preserve"> A_1 ht</t>
  </si>
  <si>
    <t xml:space="preserve"> A_1 fwhm</t>
  </si>
  <si>
    <t xml:space="preserve"> A_1 area</t>
  </si>
  <si>
    <t xml:space="preserve"> A_1 %area</t>
  </si>
  <si>
    <t xml:space="preserve"> A_2 pos</t>
  </si>
  <si>
    <t xml:space="preserve"> A_2 ht</t>
  </si>
  <si>
    <t xml:space="preserve"> A_2 fwhm</t>
  </si>
  <si>
    <t xml:space="preserve"> A_2 area</t>
  </si>
  <si>
    <t xml:space="preserve"> A_2 %area</t>
  </si>
  <si>
    <t xml:space="preserve"> G_L pos</t>
  </si>
  <si>
    <t xml:space="preserve"> G_L ht</t>
  </si>
  <si>
    <t xml:space="preserve"> G_L fwhm</t>
  </si>
  <si>
    <t xml:space="preserve"> G_L area</t>
  </si>
  <si>
    <t xml:space="preserve"> G_L %area</t>
  </si>
  <si>
    <t xml:space="preserve"> C pos</t>
  </si>
  <si>
    <t xml:space="preserve"> C ht</t>
  </si>
  <si>
    <t xml:space="preserve"> C fwhm</t>
  </si>
  <si>
    <t xml:space="preserve"> C area</t>
  </si>
  <si>
    <t xml:space="preserve"> C %area</t>
  </si>
  <si>
    <t>/Users/christophermarjo/Documents/Python/Projects/data/bushfire Raman/Corrale Swamp/CS 0.5 (1)</t>
  </si>
  <si>
    <t>7.16 counts</t>
  </si>
  <si>
    <t xml:space="preserve">/Users/christophermarjo/Documents/Python/Projects/data/bushfire Raman/Corrale Swamp/CS 0.5 (2) </t>
  </si>
  <si>
    <t>15.30 counts</t>
  </si>
  <si>
    <t xml:space="preserve">/Users/christophermarjo/Documents/Python/Projects/data/bushfire Raman/Corrale Swamp/CS 0.5 (4) </t>
  </si>
  <si>
    <t>46.94 counts</t>
  </si>
  <si>
    <t>/Users/christophermarjo/Documents/Python/Projects/data/bushfire Raman/Corrale Swamp/CS 0.5 (5)</t>
  </si>
  <si>
    <t>29.58 counts</t>
  </si>
  <si>
    <t xml:space="preserve">/Users/christophermarjo/Documents/Python/Projects/data/bushfire Raman/Corrale Swamp/CS 0.5 (6) </t>
  </si>
  <si>
    <t>44.67 counts</t>
  </si>
  <si>
    <t xml:space="preserve">/Users/christophermarjo/Documents/Python/Projects/data/bushfire Raman/Corrale Swamp/CS 2.5 (1) </t>
  </si>
  <si>
    <t>75.77 counts</t>
  </si>
  <si>
    <t xml:space="preserve">/Users/christophermarjo/Documents/Python/Projects/data/bushfire Raman/Corrale Swamp/CS 2.5 (2) </t>
  </si>
  <si>
    <t>115.68 counts</t>
  </si>
  <si>
    <t>/Users/christophermarjo/Documents/Python/Projects/data/bushfire Raman/Corrale Swamp/CS 2.5 (3)</t>
  </si>
  <si>
    <t>48.13 counts</t>
  </si>
  <si>
    <t>/Users/christophermarjo/Documents/Python/Projects/data/bushfire Raman/Corrale Swamp/CS 2.5 (4)</t>
  </si>
  <si>
    <t>105.68 counts</t>
  </si>
  <si>
    <t>/Users/christophermarjo/Documents/Python/Projects/data/bushfire Raman/Corrale Swamp/CS 2.5 (5)</t>
  </si>
  <si>
    <t>98.11 counts</t>
  </si>
  <si>
    <t>/Users/christophermarjo/Documents/Python/Projects/data/bushfire Raman/Corrale Swamp/CS 3.5 (1)</t>
  </si>
  <si>
    <t>18.10 counts</t>
  </si>
  <si>
    <t>/Users/christophermarjo/Documents/Python/Projects/data/bushfire Raman/Corrale Swamp/CS 3.5 (2)</t>
  </si>
  <si>
    <t>37.27 counts</t>
  </si>
  <si>
    <t>/Users/christophermarjo/Documents/Python/Projects/data/bushfire Raman/Corrale Swamp/CS 3.5 (3)</t>
  </si>
  <si>
    <t>25.19 counts</t>
  </si>
  <si>
    <t>/Users/christophermarjo/Documents/Python/Projects/data/bushfire Raman/Corrale Swamp/CS 3.5 (4)</t>
  </si>
  <si>
    <t>21.77 counts</t>
  </si>
  <si>
    <t>/Users/christophermarjo/Documents/Python/Projects/data/bushfire Raman/Corrale Swamp/CS 3.5 (5)</t>
  </si>
  <si>
    <t>16.52 counts</t>
  </si>
  <si>
    <t>/Users/christophermarjo/Documents/Python/Projects/data/bushfire Raman/Corrale Swamp/CS 7.5 (1)</t>
  </si>
  <si>
    <t>6.54 counts</t>
  </si>
  <si>
    <t>/Users/christophermarjo/Documents/Python/Projects/data/bushfire Raman/Corrale Swamp/CS 7.5 (2)</t>
  </si>
  <si>
    <t>14.35 counts</t>
  </si>
  <si>
    <t>/Users/christophermarjo/Documents/Python/Projects/data/bushfire Raman/Corrale Swamp/CS 7.5 (3)</t>
  </si>
  <si>
    <t>9.77 counts</t>
  </si>
  <si>
    <t>/Users/christophermarjo/Documents/Python/Projects/data/bushfire Raman/Corrale Swamp/CS 7.5 (4)</t>
  </si>
  <si>
    <t>14.59 counts</t>
  </si>
  <si>
    <t>/Users/christophermarjo/Documents/Python/Projects/data/bushfire Raman/Corrale Swamp/CS 7.5 (5)</t>
  </si>
  <si>
    <t>13.76 counts</t>
  </si>
  <si>
    <t>/Users/christophermarjo/Documents/Python/Projects/data/bushfire Raman/Corrale Swamp/CS 8.5 (1)</t>
  </si>
  <si>
    <t>21.02 counts</t>
  </si>
  <si>
    <t>/Users/christophermarjo/Documents/Python/Projects/data/bushfire Raman/Corrale Swamp/CS 8.5 (2)</t>
  </si>
  <si>
    <t>8.54 counts</t>
  </si>
  <si>
    <t>/Users/christophermarjo/Documents/Python/Projects/data/bushfire Raman/Corrale Swamp/CS 8.5 (3)</t>
  </si>
  <si>
    <t>31.75 counts</t>
  </si>
  <si>
    <t>/Users/christophermarjo/Documents/Python/Projects/data/bushfire Raman/Corrale Swamp/CS 8.5 (4)</t>
  </si>
  <si>
    <t>13.11 counts</t>
  </si>
  <si>
    <t>/Users/christophermarjo/Documents/Python/Projects/data/bushfire Raman/Corrale Swamp/CS 8.5 (5)</t>
  </si>
  <si>
    <t>24.81 counts</t>
  </si>
  <si>
    <t>/Users/christophermarjo/Documents/Python/Projects/data/bushfire Raman/Corrale Swamp/CS 9.5 (1)</t>
  </si>
  <si>
    <t>32.88 counts</t>
  </si>
  <si>
    <t xml:space="preserve">/Users/christophermarjo/Documents/Python/Projects/data/bushfire Raman/Corrale Swamp/CS 9.5 (2) </t>
  </si>
  <si>
    <t>48.81 counts</t>
  </si>
  <si>
    <t>/Users/christophermarjo/Documents/Python/Projects/data/bushfire Raman/Corrale Swamp/CS 9.5 (3)</t>
  </si>
  <si>
    <t>49.73 counts</t>
  </si>
  <si>
    <t>/Users/christophermarjo/Documents/Python/Projects/data/bushfire Raman/Corrale Swamp/CS 9.5 (4)</t>
  </si>
  <si>
    <t>17.75 counts</t>
  </si>
  <si>
    <t>/Users/christophermarjo/Documents/Python/Projects/data/bushfire Raman/Corrale Swamp/CS 9.5 (5)</t>
  </si>
  <si>
    <t>41.03 counts</t>
  </si>
  <si>
    <t>/Users/christophermarjo/Documents/Python/Projects/data/bushfire Raman/Corrale Swamp/CS 10.5 (1)</t>
  </si>
  <si>
    <t>21.01 counts</t>
  </si>
  <si>
    <t>/Users/christophermarjo/Documents/Python/Projects/data/bushfire Raman/Corrale Swamp/CS 10.5 (2)</t>
  </si>
  <si>
    <t>13.59 counts</t>
  </si>
  <si>
    <t>/Users/christophermarjo/Documents/Python/Projects/data/bushfire Raman/Corrale Swamp/CS 10.5 (3)</t>
  </si>
  <si>
    <t>18.31 counts</t>
  </si>
  <si>
    <t>/Users/christophermarjo/Documents/Python/Projects/data/bushfire Raman/Corrale Swamp/CS 10.5 (4)</t>
  </si>
  <si>
    <t>30.78 counts</t>
  </si>
  <si>
    <t>/Users/christophermarjo/Documents/Python/Projects/data/bushfire Raman/Corrale Swamp/CS 10.5 (5)</t>
  </si>
  <si>
    <t>15.51 counts</t>
  </si>
  <si>
    <t>/Users/christophermarjo/Documents/Python/Projects/data/bushfire Raman/Corrale Swamp/CS 11.5 (1)</t>
  </si>
  <si>
    <t>26.48 counts</t>
  </si>
  <si>
    <t>/Users/christophermarjo/Documents/Python/Projects/data/bushfire Raman/Corrale Swamp/CS 11.5 (2)</t>
  </si>
  <si>
    <t>16.86 counts</t>
  </si>
  <si>
    <t>/Users/christophermarjo/Documents/Python/Projects/data/bushfire Raman/Corrale Swamp/CS 11.5 (3)</t>
  </si>
  <si>
    <t>15.78 counts</t>
  </si>
  <si>
    <t>/Users/christophermarjo/Documents/Python/Projects/data/bushfire Raman/Corrale Swamp/CS 11.5 (4)</t>
  </si>
  <si>
    <t>9.67 counts</t>
  </si>
  <si>
    <t>/Users/christophermarjo/Documents/Python/Projects/data/bushfire Raman/Corrale Swamp/CS 11.5 (5)</t>
  </si>
  <si>
    <t>15.05 counts</t>
  </si>
  <si>
    <t>/Users/christophermarjo/Documents/Python/Projects/data/bushfire Raman/Corrale Swamp/CS 12.5 (1)</t>
  </si>
  <si>
    <t>39.51 counts</t>
  </si>
  <si>
    <t>/Users/christophermarjo/Documents/Python/Projects/data/bushfire Raman/Corrale Swamp/CS 12.5 (2)</t>
  </si>
  <si>
    <t>50.86 counts</t>
  </si>
  <si>
    <t>/Users/christophermarjo/Documents/Python/Projects/data/bushfire Raman/Corrale Swamp/CS 12.5 (3)</t>
  </si>
  <si>
    <t>44.53 counts</t>
  </si>
  <si>
    <t>/Users/christophermarjo/Documents/Python/Projects/data/bushfire Raman/Corrale Swamp/CS 12.5 (4)</t>
  </si>
  <si>
    <t>14.47 counts</t>
  </si>
  <si>
    <t>/Users/christophermarjo/Documents/Python/Projects/data/bushfire Raman/Corrale Swamp/CS 12.5 (5)</t>
  </si>
  <si>
    <t>27.30 counts</t>
  </si>
  <si>
    <t>/Users/christophermarjo/Documents/Python/Projects/data/bushfire Raman/Corrale Swamp/CS 13 (1)</t>
  </si>
  <si>
    <t>92.75 counts</t>
  </si>
  <si>
    <t>/Users/christophermarjo/Documents/Python/Projects/data/bushfire Raman/Corrale Swamp/CS 13 (2)</t>
  </si>
  <si>
    <t>128.70 counts</t>
  </si>
  <si>
    <t>/Users/christophermarjo/Documents/Python/Projects/data/bushfire Raman/Corrale Swamp/CS 13 (3)</t>
  </si>
  <si>
    <t>23.21 counts</t>
  </si>
  <si>
    <t>/Users/christophermarjo/Documents/Python/Projects/data/bushfire Raman/Corrale Swamp/CS 13 (4)</t>
  </si>
  <si>
    <t>9.61 counts</t>
  </si>
  <si>
    <t xml:space="preserve">/Users/christophermarjo/Documents/Python/Projects/data/bushfire Raman/Corrale Swamp/CS 13 (5) </t>
  </si>
  <si>
    <t>7.15 counts</t>
  </si>
  <si>
    <t xml:space="preserve">/Users/christophermarjo/Documents/Python/Projects/data/bushfire Raman/Corrale Swamp/CS 13 (6) </t>
  </si>
  <si>
    <t>7.46 counts</t>
  </si>
  <si>
    <t xml:space="preserve">/Users/christophermarjo/Documents/Python/Projects/data/bushfire Raman/Corrale Swamp/CS 13.5 (1) </t>
  </si>
  <si>
    <t>20.81 counts</t>
  </si>
  <si>
    <t xml:space="preserve">/Users/christophermarjo/Documents/Python/Projects/data/bushfire Raman/Corrale Swamp/CS 13.5 (2) </t>
  </si>
  <si>
    <t>23.29 counts</t>
  </si>
  <si>
    <t xml:space="preserve">/Users/christophermarjo/Documents/Python/Projects/data/bushfire Raman/Corrale Swamp/CS 13.5 (3) </t>
  </si>
  <si>
    <t>14.02 counts</t>
  </si>
  <si>
    <t>/Users/christophermarjo/Documents/Python/Projects/data/bushfire Raman/Corrale Swamp/CS 13.5 (4)</t>
  </si>
  <si>
    <t>22.71 counts</t>
  </si>
  <si>
    <t xml:space="preserve">/Users/christophermarjo/Documents/Python/Projects/data/bushfire Raman/Corrale Swamp/CS 13.5 (5) </t>
  </si>
  <si>
    <t>16.76 counts</t>
  </si>
  <si>
    <t>/Users/christophermarjo/Documents/Python/Projects/data/bushfire Raman/Corrale Swamp/CS 14.5 (1)</t>
  </si>
  <si>
    <t>18.16 counts</t>
  </si>
  <si>
    <t xml:space="preserve">/Users/christophermarjo/Documents/Python/Projects/data/bushfire Raman/Corrale Swamp/CS 14.5 (2) </t>
  </si>
  <si>
    <t>15.06 counts</t>
  </si>
  <si>
    <t>/Users/christophermarjo/Documents/Python/Projects/data/bushfire Raman/Corrale Swamp/CS 14.5 (3)</t>
  </si>
  <si>
    <t>22.46 counts</t>
  </si>
  <si>
    <t>/Users/christophermarjo/Documents/Python/Projects/data/bushfire Raman/Corrale Swamp/CS 14.5 (4)</t>
  </si>
  <si>
    <t>14.24 counts</t>
  </si>
  <si>
    <t>/Users/christophermarjo/Documents/Python/Projects/data/bushfire Raman/Corrale Swamp/CS 14.5 (5)</t>
  </si>
  <si>
    <t>14.26 counts</t>
  </si>
  <si>
    <t>/Users/christophermarjo/Documents/Python/Projects/data/bushfire Raman/Corrale Swamp/CS 14.5 (6)</t>
  </si>
  <si>
    <t>42.96 counts</t>
  </si>
  <si>
    <t xml:space="preserve">/Users/christophermarjo/Documents/Python/Projects/data/bushfire Raman/Corrale Swamp/CS 15 (1) </t>
  </si>
  <si>
    <t>18.93 counts</t>
  </si>
  <si>
    <t>/Users/christophermarjo/Documents/Python/Projects/data/bushfire Raman/Corrale Swamp/CS 15 (2)</t>
  </si>
  <si>
    <t>23.28 counts</t>
  </si>
  <si>
    <t xml:space="preserve">/Users/christophermarjo/Documents/Python/Projects/data/bushfire Raman/Corrale Swamp/CS 15 (3) </t>
  </si>
  <si>
    <t>29.42 counts</t>
  </si>
  <si>
    <t xml:space="preserve">/Users/christophermarjo/Documents/Python/Projects/data/bushfire Raman/Corrale Swamp/CS 15 (4) </t>
  </si>
  <si>
    <t>23.44 counts</t>
  </si>
  <si>
    <t xml:space="preserve">/Users/christophermarjo/Documents/Python/Projects/data/bushfire Raman/Corrale Swamp/CS 15 (5) </t>
  </si>
  <si>
    <t>42.13 counts</t>
  </si>
  <si>
    <t>/Users/christophermarjo/Documents/Python/Projects/data/bushfire Raman/Corrale Swamp/CS 15 (6)</t>
  </si>
  <si>
    <t>40.13 counts</t>
  </si>
  <si>
    <t>/Users/christophermarjo/Documents/Python/Projects/data/bushfire Raman/Corrale Swamp/CS 18.5 (1)</t>
  </si>
  <si>
    <t>16.62 counts</t>
  </si>
  <si>
    <t>/Users/christophermarjo/Documents/Python/Projects/data/bushfire Raman/Corrale Swamp/CS 18.5 (2)</t>
  </si>
  <si>
    <t>17.19 counts</t>
  </si>
  <si>
    <t>/Users/christophermarjo/Documents/Python/Projects/data/bushfire Raman/Corrale Swamp/CS 18.5 (3)</t>
  </si>
  <si>
    <t>10.48 counts</t>
  </si>
  <si>
    <t>/Users/christophermarjo/Documents/Python/Projects/data/bushfire Raman/Corrale Swamp/CS 18.5 (4)</t>
  </si>
  <si>
    <t>7.74 counts</t>
  </si>
  <si>
    <t>/Users/christophermarjo/Documents/Python/Projects/data/bushfire Raman/Corrale Swamp/CS 18.5 (5)</t>
  </si>
  <si>
    <t>10.91 counts</t>
  </si>
  <si>
    <t>/Users/christophermarjo/Documents/Python/Projects/data/bushfire Raman/Corrale Swamp/CS 18.5 (6)</t>
  </si>
  <si>
    <t>9.46 counts</t>
  </si>
  <si>
    <t>/Users/christophermarjo/Documents/Python/Projects/data/bushfire Raman/Horsefly Swamp/HF 0(1)</t>
  </si>
  <si>
    <t>38.17 counts</t>
  </si>
  <si>
    <t>/Users/christophermarjo/Documents/Python/Projects/data/bushfire Raman/Horsefly Swamp/HF 0(2)</t>
  </si>
  <si>
    <t>20.12 counts</t>
  </si>
  <si>
    <t>/Users/christophermarjo/Documents/Python/Projects/data/bushfire Raman/Horsefly Swamp/HF 0(3)</t>
  </si>
  <si>
    <t>15.54 counts</t>
  </si>
  <si>
    <t>/Users/christophermarjo/Documents/Python/Projects/data/bushfire Raman/Horsefly Swamp/HF 0(4)</t>
  </si>
  <si>
    <t>13.94 counts</t>
  </si>
  <si>
    <t>/Users/christophermarjo/Documents/Python/Projects/data/bushfire Raman/Horsefly Swamp/HF 0(5)</t>
  </si>
  <si>
    <t>18.22 counts</t>
  </si>
  <si>
    <t>/Users/christophermarjo/Documents/Python/Projects/data/bushfire Raman/Horsefly Swamp/HF 1.5 (1)</t>
  </si>
  <si>
    <t>107.62 counts</t>
  </si>
  <si>
    <t>/Users/christophermarjo/Documents/Python/Projects/data/bushfire Raman/Horsefly Swamp/HF 1.5 (2)</t>
  </si>
  <si>
    <t>11.21 counts</t>
  </si>
  <si>
    <t>/Users/christophermarjo/Documents/Python/Projects/data/bushfire Raman/Horsefly Swamp/HF 1.5 (3)</t>
  </si>
  <si>
    <t>7.68 counts</t>
  </si>
  <si>
    <t>/Users/christophermarjo/Documents/Python/Projects/data/bushfire Raman/Horsefly Swamp/HF 1(1)</t>
  </si>
  <si>
    <t>16.73 counts</t>
  </si>
  <si>
    <t>/Users/christophermarjo/Documents/Python/Projects/data/bushfire Raman/Horsefly Swamp/HF 1(2)</t>
  </si>
  <si>
    <t>25.40 counts</t>
  </si>
  <si>
    <t>/Users/christophermarjo/Documents/Python/Projects/data/bushfire Raman/Horsefly Swamp/HF 1(3)</t>
  </si>
  <si>
    <t>33.14 counts</t>
  </si>
  <si>
    <t>/Users/christophermarjo/Documents/Python/Projects/data/bushfire Raman/Horsefly Swamp/HF 1(4)</t>
  </si>
  <si>
    <t>/Users/christophermarjo/Documents/Python/Projects/data/bushfire Raman/Horsefly Swamp/HF 1(5)</t>
  </si>
  <si>
    <t>24.03 counts</t>
  </si>
  <si>
    <t>/Users/christophermarjo/Documents/Python/Projects/data/bushfire Raman/Horsefly Swamp/HF 2 (1)</t>
  </si>
  <si>
    <t>17.92 counts</t>
  </si>
  <si>
    <t>/Users/christophermarjo/Documents/Python/Projects/data/bushfire Raman/Horsefly Swamp/HF 2 (2)</t>
  </si>
  <si>
    <t>20.44 counts</t>
  </si>
  <si>
    <t>/Users/christophermarjo/Documents/Python/Projects/data/bushfire Raman/Horsefly Swamp/HF 2 (3)</t>
  </si>
  <si>
    <t>22.18 counts</t>
  </si>
  <si>
    <t>/Users/christophermarjo/Documents/Python/Projects/data/bushfire Raman/Horsefly Swamp/HF 2 (4)</t>
  </si>
  <si>
    <t>17.84 counts</t>
  </si>
  <si>
    <t>/Users/christophermarjo/Documents/Python/Projects/data/bushfire Raman/Horsefly Swamp/HF 2 (5)</t>
  </si>
  <si>
    <t>82.57 counts</t>
  </si>
  <si>
    <t>/Users/christophermarjo/Documents/Python/Projects/data/bushfire Raman/Horsefly Swamp/HF 2.5 (1)</t>
  </si>
  <si>
    <t>10.04 counts</t>
  </si>
  <si>
    <t>/Users/christophermarjo/Documents/Python/Projects/data/bushfire Raman/Horsefly Swamp/HF 2.5 (2)</t>
  </si>
  <si>
    <t>16.83 counts</t>
  </si>
  <si>
    <t>/Users/christophermarjo/Documents/Python/Projects/data/bushfire Raman/Horsefly Swamp/HF 2.5 (3)</t>
  </si>
  <si>
    <t>29.59 counts</t>
  </si>
  <si>
    <t>/Users/christophermarjo/Documents/Python/Projects/data/bushfire Raman/Horsefly Swamp/HF 3 (1)</t>
  </si>
  <si>
    <t>67.53 counts</t>
  </si>
  <si>
    <t>/Users/christophermarjo/Documents/Python/Projects/data/bushfire Raman/Horsefly Swamp/HF 3 (2)</t>
  </si>
  <si>
    <t>86.68 counts</t>
  </si>
  <si>
    <t>/Users/christophermarjo/Documents/Python/Projects/data/bushfire Raman/Horsefly Swamp/HF 3 (3)</t>
  </si>
  <si>
    <t>123.03 counts</t>
  </si>
  <si>
    <t>/Users/christophermarjo/Documents/Python/Projects/data/bushfire Raman/Horsefly Swamp/HF 3 (4)</t>
  </si>
  <si>
    <t>121.00 counts</t>
  </si>
  <si>
    <t>/Users/christophermarjo/Documents/Python/Projects/data/bushfire Raman/Horsefly Swamp/HF 3 (5)</t>
  </si>
  <si>
    <t>155.92 counts</t>
  </si>
  <si>
    <t>/Users/christophermarjo/Documents/Python/Projects/data/bushfire Raman/Horsefly Swamp/HF 3.5 (1)</t>
  </si>
  <si>
    <t>12.29 counts</t>
  </si>
  <si>
    <t>/Users/christophermarjo/Documents/Python/Projects/data/bushfire Raman/Horsefly Swamp/HF 3.5 (2)</t>
  </si>
  <si>
    <t>19.19 counts</t>
  </si>
  <si>
    <t>/Users/christophermarjo/Documents/Python/Projects/data/bushfire Raman/Horsefly Swamp/HF 3.5 (3)</t>
  </si>
  <si>
    <t>14.10 counts</t>
  </si>
  <si>
    <t>/Users/christophermarjo/Documents/Python/Projects/data/bushfire Raman/Horsefly Swamp/HF 3.5 (4)</t>
  </si>
  <si>
    <t>42.36 counts</t>
  </si>
  <si>
    <t>/Users/christophermarjo/Documents/Python/Projects/data/bushfire Raman/Horsefly Swamp/HF 3.5 (5)</t>
  </si>
  <si>
    <t>28.72 counts</t>
  </si>
  <si>
    <t>/Users/christophermarjo/Documents/Python/Projects/data/bushfire Raman/Horsefly Swamp/HF 4 (1)</t>
  </si>
  <si>
    <t>19.16 counts</t>
  </si>
  <si>
    <t>/Users/christophermarjo/Documents/Python/Projects/data/bushfire Raman/Horsefly Swamp/HF 4 (2)</t>
  </si>
  <si>
    <t>42.78 counts</t>
  </si>
  <si>
    <t>/Users/christophermarjo/Documents/Python/Projects/data/bushfire Raman/Horsefly Swamp/HF 4 (3)</t>
  </si>
  <si>
    <t>55.68 counts</t>
  </si>
  <si>
    <t>/Users/christophermarjo/Documents/Python/Projects/data/bushfire Raman/Horsefly Swamp/HF 4 (4)</t>
  </si>
  <si>
    <t>32.50 counts</t>
  </si>
  <si>
    <t>/Users/christophermarjo/Documents/Python/Projects/data/bushfire Raman/Horsefly Swamp/HF 4 (5)</t>
  </si>
  <si>
    <t>29.70 counts</t>
  </si>
  <si>
    <t>/Users/christophermarjo/Documents/Python/Projects/data/bushfire Raman/Horsefly Swamp/HF 4.5 (1)</t>
  </si>
  <si>
    <t>10.90 counts</t>
  </si>
  <si>
    <t>/Users/christophermarjo/Documents/Python/Projects/data/bushfire Raman/Horsefly Swamp/HF 4.5 (2)</t>
  </si>
  <si>
    <t>18.28 counts</t>
  </si>
  <si>
    <t>/Users/christophermarjo/Documents/Python/Projects/data/bushfire Raman/Horsefly Swamp/HF 4.5 (3)</t>
  </si>
  <si>
    <t>11.72 counts</t>
  </si>
  <si>
    <t>/Users/christophermarjo/Documents/Python/Projects/data/bushfire Raman/Horsefly Swamp/HF 4.5 (4)</t>
  </si>
  <si>
    <t>16.70 counts</t>
  </si>
  <si>
    <t>/Users/christophermarjo/Documents/Python/Projects/data/bushfire Raman/Horsefly Swamp/HF 5 (1)</t>
  </si>
  <si>
    <t>12.81 counts</t>
  </si>
  <si>
    <t>/Users/christophermarjo/Documents/Python/Projects/data/bushfire Raman/Horsefly Swamp/HF 5 (2)</t>
  </si>
  <si>
    <t>10.02 counts</t>
  </si>
  <si>
    <t>/Users/christophermarjo/Documents/Python/Projects/data/bushfire Raman/Horsefly Swamp/HF 5 (3)</t>
  </si>
  <si>
    <t>14.45 counts</t>
  </si>
  <si>
    <t>/Users/christophermarjo/Documents/Python/Projects/data/bushfire Raman/Horsefly Swamp/HF 6 (1)</t>
  </si>
  <si>
    <t>16.75 counts</t>
  </si>
  <si>
    <t>/Users/christophermarjo/Documents/Python/Projects/data/bushfire Raman/Horsefly Swamp/HF 6 (2)</t>
  </si>
  <si>
    <t>17.94 counts</t>
  </si>
  <si>
    <t>/Users/christophermarjo/Documents/Python/Projects/data/bushfire Raman/Horsefly Swamp/HF 6 (3)</t>
  </si>
  <si>
    <t>17.44 counts</t>
  </si>
  <si>
    <t>/Users/christophermarjo/Documents/Python/Projects/data/bushfire Raman/Horsefly Swamp/HF 6.5 (1)</t>
  </si>
  <si>
    <t>27.35 counts</t>
  </si>
  <si>
    <t>/Users/christophermarjo/Documents/Python/Projects/data/bushfire Raman/Horsefly Swamp/HF 6.5 (2)</t>
  </si>
  <si>
    <t>42.80 counts</t>
  </si>
  <si>
    <t>/Users/christophermarjo/Documents/Python/Projects/data/bushfire Raman/Horsefly Swamp/HF 6.5 (3)</t>
  </si>
  <si>
    <t>10.19 counts</t>
  </si>
  <si>
    <t>/Users/christophermarjo/Documents/Python/Projects/data/bushfire Raman/Horsefly Swamp/HF 6.5 (4)</t>
  </si>
  <si>
    <t>26.95 counts</t>
  </si>
  <si>
    <t>/Users/christophermarjo/Documents/Python/Projects/data/bushfire Raman/Horsefly Swamp/HF 6.5 (5)</t>
  </si>
  <si>
    <t>30.81 counts</t>
  </si>
  <si>
    <t>/Users/christophermarjo/Documents/Python/Projects/data/bushfire Raman/Horsefly Swamp/HF 7 (1)</t>
  </si>
  <si>
    <t>4.11 counts</t>
  </si>
  <si>
    <t>/Users/christophermarjo/Documents/Python/Projects/data/bushfire Raman/Horsefly Swamp/HF 7 (2)</t>
  </si>
  <si>
    <t>3.85 counts</t>
  </si>
  <si>
    <t>/Users/christophermarjo/Documents/Python/Projects/data/bushfire Raman/Horsefly Swamp/HF 7 (3)</t>
  </si>
  <si>
    <t>6.94 counts</t>
  </si>
  <si>
    <t>/Users/christophermarjo/Documents/Python/Projects/data/bushfire Raman/Horsefly Swamp/HF 7 (4)</t>
  </si>
  <si>
    <t>3.13 counts</t>
  </si>
  <si>
    <t>/Users/christophermarjo/Documents/Python/Projects/data/bushfire Raman/Horsefly Swamp/HF 7 (5)</t>
  </si>
  <si>
    <t>5.10 counts</t>
  </si>
  <si>
    <t>/Users/christophermarjo/Documents/Python/Projects/data/bushfire Raman/Horsefly Swamp/HF 7.5 (1)</t>
  </si>
  <si>
    <t>14.13 counts</t>
  </si>
  <si>
    <t xml:space="preserve">/Users/christophermarjo/Documents/Python/Projects/data/bushfire Raman/Horsefly Swamp/HF 7.5 (2) </t>
  </si>
  <si>
    <t>706.68 counts</t>
  </si>
  <si>
    <t>/Users/christophermarjo/Documents/Python/Projects/data/bushfire Raman/Horsefly Swamp/HF 7.5 (3)</t>
  </si>
  <si>
    <t>1195.97 counts</t>
  </si>
  <si>
    <t>/Users/christophermarjo/Documents/Python/Projects/data/bushfire Raman/Horsefly Swamp/HF 7.5 (4)</t>
  </si>
  <si>
    <t>24.34 counts</t>
  </si>
  <si>
    <t>/Users/christophermarjo/Documents/Python/Projects/data/bushfire Raman/Horsefly Swamp/HF 7.5 (5)</t>
  </si>
  <si>
    <t>15.32 counts</t>
  </si>
  <si>
    <t>/Users/christophermarjo/Documents/Python/Projects/data/bushfire Raman/Horsefly Swamp/HF 8 (1)</t>
  </si>
  <si>
    <t>24.39 counts</t>
  </si>
  <si>
    <t>/Users/christophermarjo/Documents/Python/Projects/data/bushfire Raman/Horsefly Swamp/HF 8 (2)</t>
  </si>
  <si>
    <t>16.23 counts</t>
  </si>
  <si>
    <t>/Users/christophermarjo/Documents/Python/Projects/data/bushfire Raman/Horsefly Swamp/HF 8 (3)</t>
  </si>
  <si>
    <t>19.15 counts</t>
  </si>
  <si>
    <t>/Users/christophermarjo/Documents/Python/Projects/data/bushfire Raman/Horsefly Swamp/HF 8 (4)</t>
  </si>
  <si>
    <t>18.02 counts</t>
  </si>
  <si>
    <t>/Users/christophermarjo/Documents/Python/Projects/data/bushfire Raman/Horsefly Swamp/HF 8 (5)</t>
  </si>
  <si>
    <t>58.03 counts</t>
  </si>
  <si>
    <t>/Users/christophermarjo/Documents/Python/Projects/data/bushfire Raman/Horsefly Swamp/HF 9 (1)</t>
  </si>
  <si>
    <t>10.84 counts</t>
  </si>
  <si>
    <t>/Users/christophermarjo/Documents/Python/Projects/data/bushfire Raman/Horsefly Swamp/HF 9 (2)</t>
  </si>
  <si>
    <t>11.19 counts</t>
  </si>
  <si>
    <t>/Users/christophermarjo/Documents/Python/Projects/data/bushfire Raman/Horsefly Swamp/HF 9 (3)</t>
  </si>
  <si>
    <t>10.95 counts</t>
  </si>
  <si>
    <t>/Users/christophermarjo/Documents/Python/Projects/data/bushfire Raman/Horsefly Swamp/HF 9 (4)</t>
  </si>
  <si>
    <t>11.93 counts</t>
  </si>
  <si>
    <t>/Users/christophermarjo/Documents/Python/Projects/data/bushfire Raman/Horsefly Swamp/HF 9 (5)</t>
  </si>
  <si>
    <t>12.65 counts</t>
  </si>
  <si>
    <t>/Users/christophermarjo/Documents/Python/Projects/data/bushfire Raman/Waterfall Creek/WFC 0 (1)</t>
  </si>
  <si>
    <t>10.86 counts</t>
  </si>
  <si>
    <t>/Users/christophermarjo/Documents/Python/Projects/data/bushfire Raman/Waterfall Creek/WFC 0 (2)</t>
  </si>
  <si>
    <t>4.82 counts</t>
  </si>
  <si>
    <t>/Users/christophermarjo/Documents/Python/Projects/data/bushfire Raman/Waterfall Creek/WFC 0 (3)</t>
  </si>
  <si>
    <t>21.92 counts</t>
  </si>
  <si>
    <t>/Users/christophermarjo/Documents/Python/Projects/data/bushfire Raman/Waterfall Creek/WFC 0.5 (1)</t>
  </si>
  <si>
    <t>18.47 counts</t>
  </si>
  <si>
    <t>/Users/christophermarjo/Documents/Python/Projects/data/bushfire Raman/Waterfall Creek/WFC 0.5 (2)</t>
  </si>
  <si>
    <t>12.99 counts</t>
  </si>
  <si>
    <t>/Users/christophermarjo/Documents/Python/Projects/data/bushfire Raman/Waterfall Creek/WFC 0.5 (3)</t>
  </si>
  <si>
    <t>9.94 counts</t>
  </si>
  <si>
    <t>/Users/christophermarjo/Documents/Python/Projects/data/bushfire Raman/Waterfall Creek/WFC 0.5 (4)</t>
  </si>
  <si>
    <t>67.50 counts</t>
  </si>
  <si>
    <t>/Users/christophermarjo/Documents/Python/Projects/data/bushfire Raman/Waterfall Creek/WFC 0.5 (5)</t>
  </si>
  <si>
    <t>102.15 counts</t>
  </si>
  <si>
    <t>/Users/christophermarjo/Documents/Python/Projects/data/bushfire Raman/Waterfall Creek/WFC 1 (1)</t>
  </si>
  <si>
    <t>24.29 counts</t>
  </si>
  <si>
    <t>/Users/christophermarjo/Documents/Python/Projects/data/bushfire Raman/Waterfall Creek/WFC 1 (2)</t>
  </si>
  <si>
    <t>35.18 counts</t>
  </si>
  <si>
    <t>/Users/christophermarjo/Documents/Python/Projects/data/bushfire Raman/Waterfall Creek/WFC 1 (3)</t>
  </si>
  <si>
    <t>/Users/christophermarjo/Documents/Python/Projects/data/bushfire Raman/Waterfall Creek/WFC 1.5 (1)</t>
  </si>
  <si>
    <t>28.92 counts</t>
  </si>
  <si>
    <t>/Users/christophermarjo/Documents/Python/Projects/data/bushfire Raman/Waterfall Creek/WFC 1.5 (2)</t>
  </si>
  <si>
    <t>24.99 counts</t>
  </si>
  <si>
    <t>/Users/christophermarjo/Documents/Python/Projects/data/bushfire Raman/Waterfall Creek/WFC 1.5 (3)</t>
  </si>
  <si>
    <t>40.49 counts</t>
  </si>
  <si>
    <t>/Users/christophermarjo/Documents/Python/Projects/data/bushfire Raman/Waterfall Creek/WFC 2 (1)</t>
  </si>
  <si>
    <t>10.12 counts</t>
  </si>
  <si>
    <t>/Users/christophermarjo/Documents/Python/Projects/data/bushfire Raman/Waterfall Creek/WFC 2 (2)</t>
  </si>
  <si>
    <t>64.00 counts</t>
  </si>
  <si>
    <t>/Users/christophermarjo/Documents/Python/Projects/data/bushfire Raman/Waterfall Creek/WFC 2 (3)</t>
  </si>
  <si>
    <t>19.59 counts</t>
  </si>
  <si>
    <t>/Users/christophermarjo/Documents/Python/Projects/data/bushfire Raman/Waterfall Creek/WFC 2.5 (1)</t>
  </si>
  <si>
    <t>11.53 counts</t>
  </si>
  <si>
    <t>/Users/christophermarjo/Documents/Python/Projects/data/bushfire Raman/Waterfall Creek/WFC 2.5 (2)</t>
  </si>
  <si>
    <t>31.97 counts</t>
  </si>
  <si>
    <t>/Users/christophermarjo/Documents/Python/Projects/data/bushfire Raman/Waterfall Creek/WFC 2.5 (3)</t>
  </si>
  <si>
    <t>13.41 counts</t>
  </si>
  <si>
    <t>/Users/christophermarjo/Documents/Python/Projects/data/bushfire Raman/Waterfall Creek/WFC 2.5 (4)</t>
  </si>
  <si>
    <t>31.28 counts</t>
  </si>
  <si>
    <t>/Users/christophermarjo/Documents/Python/Projects/data/bushfire Raman/Waterfall Creek/WFC 2.5 (5)</t>
  </si>
  <si>
    <t>40.70 counts</t>
  </si>
  <si>
    <t>/Users/christophermarjo/Documents/Python/Projects/data/bushfire Raman/Waterfall Creek/WFC 3 (1)</t>
  </si>
  <si>
    <t>28.49 counts</t>
  </si>
  <si>
    <t>/Users/christophermarjo/Documents/Python/Projects/data/bushfire Raman/Waterfall Creek/WFC 3 (2)</t>
  </si>
  <si>
    <t>12.03 counts</t>
  </si>
  <si>
    <t>/Users/christophermarjo/Documents/Python/Projects/data/bushfire Raman/Waterfall Creek/WFC 3 (3)</t>
  </si>
  <si>
    <t>44.41 counts</t>
  </si>
  <si>
    <t>/Users/christophermarjo/Documents/Python/Projects/data/bushfire Raman/Waterfall Creek/WFC 3.5 (1)</t>
  </si>
  <si>
    <t>23.34 counts</t>
  </si>
  <si>
    <t>/Users/christophermarjo/Documents/Python/Projects/data/bushfire Raman/Waterfall Creek/WFC 3.5 (2 )</t>
  </si>
  <si>
    <t>20.40 counts</t>
  </si>
  <si>
    <t>/Users/christophermarjo/Documents/Python/Projects/data/bushfire Raman/Waterfall Creek/WFC 3.5 (3)</t>
  </si>
  <si>
    <t>/Users/christophermarjo/Documents/Python/Projects/data/bushfire Raman/Waterfall Creek/WFC 3.5 (4)</t>
  </si>
  <si>
    <t>41.65 counts</t>
  </si>
  <si>
    <t>/Users/christophermarjo/Documents/Python/Projects/data/bushfire Raman/Waterfall Creek/WFC 3.5 (5)</t>
  </si>
  <si>
    <t>66.98 counts</t>
  </si>
  <si>
    <t>/Users/christophermarjo/Documents/Python/Projects/data/bushfire Raman/Waterfall Creek/WFC 4 (1)</t>
  </si>
  <si>
    <t>20.01 counts</t>
  </si>
  <si>
    <t>/Users/christophermarjo/Documents/Python/Projects/data/bushfire Raman/Waterfall Creek/WFC 4 (2)</t>
  </si>
  <si>
    <t>23.56 counts</t>
  </si>
  <si>
    <t>/Users/christophermarjo/Documents/Python/Projects/data/bushfire Raman/Waterfall Creek/WFC 4 (3)</t>
  </si>
  <si>
    <t>20.92 counts</t>
  </si>
  <si>
    <t>/Users/christophermarjo/Documents/Python/Projects/data/bushfire Raman/Waterfall Creek/WFC 4.5 (1)</t>
  </si>
  <si>
    <t>4.51 counts</t>
  </si>
  <si>
    <t>/Users/christophermarjo/Documents/Python/Projects/data/bushfire Raman/Waterfall Creek/WFC 4.5 (2)</t>
  </si>
  <si>
    <t>15.47 counts</t>
  </si>
  <si>
    <t>/Users/christophermarjo/Documents/Python/Projects/data/bushfire Raman/Waterfall Creek/WFC 4.5 (3)</t>
  </si>
  <si>
    <t>36.26 counts</t>
  </si>
  <si>
    <t>/Users/christophermarjo/Documents/Python/Projects/data/bushfire Raman/Waterfall Creek/WFC 4.5 (4)</t>
  </si>
  <si>
    <t>36.76 counts</t>
  </si>
  <si>
    <t>/Users/christophermarjo/Documents/Python/Projects/data/bushfire Raman/Waterfall Creek/WFC 4.5 (5)</t>
  </si>
  <si>
    <t>65.01 counts</t>
  </si>
  <si>
    <t>/Users/christophermarjo/Documents/Python/Projects/data/bushfire Raman/Waterfall Creek/WFC 5 (1)</t>
  </si>
  <si>
    <t>31.63 counts</t>
  </si>
  <si>
    <t>/Users/christophermarjo/Documents/Python/Projects/data/bushfire Raman/Waterfall Creek/WFC 5 (2)</t>
  </si>
  <si>
    <t>27.02 counts</t>
  </si>
  <si>
    <t>/Users/christophermarjo/Documents/Python/Projects/data/bushfire Raman/Waterfall Creek/WFC 5 (3)</t>
  </si>
  <si>
    <t>15.67 counts</t>
  </si>
  <si>
    <t>/Users/christophermarjo/Documents/Python/Projects/data/bushfire Raman/Waterfall Creek/WFC 5.5 (1)</t>
  </si>
  <si>
    <t>23.47 counts</t>
  </si>
  <si>
    <t>/Users/christophermarjo/Documents/Python/Projects/data/bushfire Raman/Waterfall Creek/WFC 5.5 (2)</t>
  </si>
  <si>
    <t>42.14 counts</t>
  </si>
  <si>
    <t>/Users/christophermarjo/Documents/Python/Projects/data/bushfire Raman/Waterfall Creek/WFC 5.5 (3)</t>
  </si>
  <si>
    <t>32.52 counts</t>
  </si>
  <si>
    <t>/Users/christophermarjo/Documents/Python/Projects/data/bushfire Raman/Waterfall Creek/WFC 5.5 (4)</t>
  </si>
  <si>
    <t>40.92 counts</t>
  </si>
  <si>
    <t>/Users/christophermarjo/Documents/Python/Projects/data/bushfire Raman/Waterfall Creek/WFC 5.5 (5)</t>
  </si>
  <si>
    <t>39.52 counts</t>
  </si>
  <si>
    <t>/Users/christophermarjo/Documents/Python/Projects/data/bushfire Raman/Waterfall Creek/WFC 6 .5 (1)</t>
  </si>
  <si>
    <t>/Users/christophermarjo/Documents/Python/Projects/data/bushfire Raman/Waterfall Creek/WFC 6.5 (2)</t>
  </si>
  <si>
    <t>58.67 counts</t>
  </si>
  <si>
    <t>/Users/christophermarjo/Documents/Python/Projects/data/bushfire Raman/Waterfall Creek/WFC 6.5 (3)</t>
  </si>
  <si>
    <t>50.69 counts</t>
  </si>
  <si>
    <t>/Users/christophermarjo/Documents/Python/Projects/data/bushfire Raman/Waterfall Creek/WFC 6.5 (4)</t>
  </si>
  <si>
    <t>29.55 counts</t>
  </si>
  <si>
    <t>/Users/christophermarjo/Documents/Python/Projects/data/bushfire Raman/Waterfall Creek/WFC 6.5 (5)</t>
  </si>
  <si>
    <t>21.95 counts</t>
  </si>
  <si>
    <t>/Users/christophermarjo/Documents/Python/Projects/data/bushfire Raman/Waterfall Creek/WFC 7 .5 (1)</t>
  </si>
  <si>
    <t>18.84 counts</t>
  </si>
  <si>
    <t>/Users/christophermarjo/Documents/Python/Projects/data/bushfire Raman/Waterfall Creek/WFC 7 .5 (2)</t>
  </si>
  <si>
    <t>24.82 counts</t>
  </si>
  <si>
    <t>/Users/christophermarjo/Documents/Python/Projects/data/bushfire Raman/Waterfall Creek/WFC 7 .5 (3)</t>
  </si>
  <si>
    <t>21.05 counts</t>
  </si>
  <si>
    <t>/Users/christophermarjo/Documents/Python/Projects/data/bushfire Raman/Waterfall Creek/WFC 7 .5 (4)</t>
  </si>
  <si>
    <t>18.44 counts</t>
  </si>
  <si>
    <t>/Users/christophermarjo/Documents/Python/Projects/data/bushfire Raman/Waterfall Creek/WFC 7 .5 (5)</t>
  </si>
  <si>
    <t>17.07 counts</t>
  </si>
  <si>
    <t>/Users/christophermarjo/Documents/Python/Projects/data/bushfire Raman/Waterfall Creek/WFC 8.5 (1)</t>
  </si>
  <si>
    <t>52.60 counts</t>
  </si>
  <si>
    <t>/Users/christophermarjo/Documents/Python/Projects/data/bushfire Raman/Waterfall Creek/WFC 8.5 (2)</t>
  </si>
  <si>
    <t>27.84 counts</t>
  </si>
  <si>
    <t>/Users/christophermarjo/Documents/Python/Projects/data/bushfire Raman/Waterfall Creek/WFC 8.5 (3)</t>
  </si>
  <si>
    <t>51.65 counts</t>
  </si>
  <si>
    <t>/Users/christophermarjo/Documents/Python/Projects/data/bushfire Raman/Waterfall Creek/WFC 8.5 (4)</t>
  </si>
  <si>
    <t>24.63 counts</t>
  </si>
  <si>
    <t>/Users/christophermarjo/Documents/Python/Projects/data/bushfire Raman/Waterfall Creek/WFC 8.5 (5)</t>
  </si>
  <si>
    <t>44.69 counts</t>
  </si>
  <si>
    <t>/Users/z2134519/Documents/python/data/bushfire Raman/Rocky Point swamp/RP_M 2 (2)</t>
  </si>
  <si>
    <t>15.50 counts</t>
  </si>
  <si>
    <t>/Users/z2134519/Documents/python/data/bushfire Raman/Rocky Point swamp/RP_M 1.5 (2) BL</t>
  </si>
  <si>
    <t>6.48 counts</t>
  </si>
  <si>
    <t>/Users/z2134519/Documents/python/data/bushfire Raman/Rocky Point swamp/RP_M 1.5 (2)</t>
  </si>
  <si>
    <t>5.52 counts</t>
  </si>
  <si>
    <t>/Users/z2134519/Documents/python/data/bushfire Raman/Rocky Point swamp/RP_M 1(2) BL</t>
  </si>
  <si>
    <t>/Users/z2134519/Documents/python/data/bushfire Raman/Rocky Point swamp/RP_M 1BL</t>
  </si>
  <si>
    <t>13.87 counts</t>
  </si>
  <si>
    <t>/Users/z2134519/Documents/python/data/bushfire Raman/Rocky Point swamp/RP_M 2(2) BL</t>
  </si>
  <si>
    <t>9.33 counts</t>
  </si>
  <si>
    <t>/Users/z2134519/Documents/python/data/bushfire Raman/Rocky Point swamp/RP_M 5.5 (1)</t>
  </si>
  <si>
    <t>19.61 counts</t>
  </si>
  <si>
    <t>/Users/z2134519/Documents/python/data/bushfire Raman/Rocky Point swamp/RP_M 5.5 (2) BL</t>
  </si>
  <si>
    <t>14.99 counts</t>
  </si>
  <si>
    <t>/Users/z2134519/Documents/python/data/bushfire Raman/Rocky Point swamp/RP_M 5.5 (3) BL</t>
  </si>
  <si>
    <t>6.93 counts</t>
  </si>
  <si>
    <t>/Users/z2134519/Documents/python/data/bushfire Raman/Rocky Point swamp/RP_M 5.5 (3)</t>
  </si>
  <si>
    <t>1.46 counts</t>
  </si>
  <si>
    <t>/Users/z2134519/Documents/python/data/bushfire Raman/Rocky Point swamp/RP_M 5.5 (4)</t>
  </si>
  <si>
    <t>21.83 counts</t>
  </si>
  <si>
    <t>/Users/z2134519/Documents/python/data/bushfire Raman/Rocky Point swamp/RP_M 5.5 (5)</t>
  </si>
  <si>
    <t>14.11 counts</t>
  </si>
  <si>
    <t>/Users/z2134519/Documents/python/data/bushfire Raman/Rocky Point swamp/RP_M 5.5 BL</t>
  </si>
  <si>
    <t>30.01 counts</t>
  </si>
  <si>
    <t>/Users/z2134519/Documents/python/data/bushfire Raman/Rocky Point swamp/RP_M 5.5-6</t>
  </si>
  <si>
    <t>7.27 counts</t>
  </si>
  <si>
    <t>/Users/z2134519/Documents/python/data/bushfire Raman/Rocky Point swamp/RP_M 5.5-6txt</t>
  </si>
  <si>
    <t>3.99 counts</t>
  </si>
  <si>
    <t>/Users/z2134519/Documents/python/data/bushfire Raman/Rocky Point swamp/RP_M 6.5 (2)</t>
  </si>
  <si>
    <t>4.31 counts</t>
  </si>
  <si>
    <t>/Users/z2134519/Documents/python/data/bushfire Raman/Rocky Point swamp/RP_M 6.5</t>
  </si>
  <si>
    <t>5.12 counts</t>
  </si>
  <si>
    <t>/Users/z2134519/Documents/python/data/bushfire Raman/Rocky Point swamp/RP- M 1 (3) BLwdf</t>
  </si>
  <si>
    <t>12.77 counts</t>
  </si>
  <si>
    <t>/Users/z2134519/Documents/python/data/bushfire Raman/Rocky Point swamp/RP-M 0 (2)_Copy</t>
  </si>
  <si>
    <t>1.27 counts</t>
  </si>
  <si>
    <t>/Users/z2134519/Documents/python/data/bushfire Raman/Rocky Point swamp/RP-M 0 (2)</t>
  </si>
  <si>
    <t>18.07 counts</t>
  </si>
  <si>
    <t>/Users/z2134519/Documents/python/data/bushfire Raman/Rocky Point swamp/RP-M 0 (3)</t>
  </si>
  <si>
    <t>13.86 counts</t>
  </si>
  <si>
    <t>/Users/z2134519/Documents/python/data/bushfire Raman/Rocky Point swamp/RP-M 0.5 (1)</t>
  </si>
  <si>
    <t>18.08 counts</t>
  </si>
  <si>
    <t>/Users/z2134519/Documents/python/data/bushfire Raman/Rocky Point swamp/RP-M 0.5 (2)</t>
  </si>
  <si>
    <t>14.92 counts</t>
  </si>
  <si>
    <t>/Users/z2134519/Documents/python/data/bushfire Raman/Rocky Point swamp/RP-M 0.5 (3)</t>
  </si>
  <si>
    <t>9.74 counts</t>
  </si>
  <si>
    <t>/Users/z2134519/Documents/python/data/bushfire Raman/Rocky Point swamp/RP-M 1 (1)</t>
  </si>
  <si>
    <t>24.86 counts</t>
  </si>
  <si>
    <t>/Users/z2134519/Documents/python/data/bushfire Raman/Rocky Point swamp/RP-M 1.5 (1) BL</t>
  </si>
  <si>
    <t>1.57 counts</t>
  </si>
  <si>
    <t>/Users/z2134519/Documents/python/data/bushfire Raman/Rocky Point swamp/RP-M 1.5 (2)</t>
  </si>
  <si>
    <t>4.09 counts</t>
  </si>
  <si>
    <t xml:space="preserve">/Users/z2134519/Documents/python/data/bushfire Raman/Rocky Point swamp/RP-M 1.5 (3) BL </t>
  </si>
  <si>
    <t>3.64 counts</t>
  </si>
  <si>
    <t>/Users/z2134519/Documents/python/data/bushfire Raman/Rocky Point swamp/RP-M 1.5 (4)</t>
  </si>
  <si>
    <t>1.64 counts</t>
  </si>
  <si>
    <t>/Users/z2134519/Documents/python/data/bushfire Raman/Rocky Point swamp/RP-M 1.5 BL</t>
  </si>
  <si>
    <t>3.09 counts</t>
  </si>
  <si>
    <t>/Users/z2134519/Documents/python/data/bushfire Raman/Rocky Point swamp/RP-M 1(2)</t>
  </si>
  <si>
    <t>14.69 counts</t>
  </si>
  <si>
    <t xml:space="preserve">/Users/z2134519/Documents/python/data/bushfire Raman/Rocky Point swamp/RP-M 2 (3) </t>
  </si>
  <si>
    <t>10.54 counts</t>
  </si>
  <si>
    <t>/Users/z2134519/Documents/python/data/bushfire Raman/Rocky Point swamp/RP-M 2 (3) BL</t>
  </si>
  <si>
    <t>7.85 counts</t>
  </si>
  <si>
    <t>/Users/z2134519/Documents/python/data/bushfire Raman/Rocky Point swamp/RP-M 2_BL</t>
  </si>
  <si>
    <t>2.77 counts</t>
  </si>
  <si>
    <t>/Users/z2134519/Documents/python/data/bushfire Raman/Rocky Point swamp/RP-M 2. 5 BL</t>
  </si>
  <si>
    <t>6.26 counts</t>
  </si>
  <si>
    <t>/Users/z2134519/Documents/python/data/bushfire Raman/Rocky Point swamp/RP-M 2.5 (1)</t>
  </si>
  <si>
    <t>7.18 counts</t>
  </si>
  <si>
    <t>/Users/z2134519/Documents/python/data/bushfire Raman/Rocky Point swamp/RP-M 2.5 (2) BL</t>
  </si>
  <si>
    <t>8.79 counts</t>
  </si>
  <si>
    <t xml:space="preserve">/Users/z2134519/Documents/python/data/bushfire Raman/Rocky Point swamp/RP-M 2.5 (3) </t>
  </si>
  <si>
    <t>11.80 counts</t>
  </si>
  <si>
    <t>/Users/z2134519/Documents/python/data/bushfire Raman/Rocky Point swamp/RP-M 2.5 (3) BL</t>
  </si>
  <si>
    <t>6.25 counts</t>
  </si>
  <si>
    <t>/Users/z2134519/Documents/python/data/bushfire Raman/Rocky Point swamp/RP-M 2.5(2)</t>
  </si>
  <si>
    <t>3.42 counts</t>
  </si>
  <si>
    <t>/Users/z2134519/Documents/python/data/bushfire Raman/Rocky Point swamp/RP-M 2</t>
  </si>
  <si>
    <t>3.93 counts</t>
  </si>
  <si>
    <t>/Users/z2134519/Documents/python/data/bushfire Raman/Rocky Point swamp/RP-M 3 (1)</t>
  </si>
  <si>
    <t>11.86 counts</t>
  </si>
  <si>
    <t>/Users/z2134519/Documents/python/data/bushfire Raman/Rocky Point swamp/RP-M 3 (3)</t>
  </si>
  <si>
    <t>11.78 counts</t>
  </si>
  <si>
    <t>/Users/z2134519/Documents/python/data/bushfire Raman/Rocky Point swamp/RP-M 3 BL</t>
  </si>
  <si>
    <t>10.98 counts</t>
  </si>
  <si>
    <t>/Users/z2134519/Documents/python/data/bushfire Raman/Rocky Point swamp/RP-M 3.5 (1)</t>
  </si>
  <si>
    <t>8.31 counts</t>
  </si>
  <si>
    <t>/Users/z2134519/Documents/python/data/bushfire Raman/Rocky Point swamp/RP-M 3.5 (2)</t>
  </si>
  <si>
    <t>8.70 counts</t>
  </si>
  <si>
    <t>/Users/z2134519/Documents/python/data/bushfire Raman/Rocky Point swamp/RP-M 3.5 (3)</t>
  </si>
  <si>
    <t>10.69 counts</t>
  </si>
  <si>
    <t>/Users/z2134519/Documents/python/data/bushfire Raman/Rocky Point swamp/RP-M 3.5 (4)</t>
  </si>
  <si>
    <t>5.58 counts</t>
  </si>
  <si>
    <t>/Users/z2134519/Documents/python/data/bushfire Raman/Rocky Point swamp/RP-M 3.5 (5)</t>
  </si>
  <si>
    <t>6.79 counts</t>
  </si>
  <si>
    <t>/Users/z2134519/Documents/python/data/bushfire Raman/Rocky Point swamp/RP-M 3(3)_BL</t>
  </si>
  <si>
    <t>10.44 counts</t>
  </si>
  <si>
    <t>/Users/z2134519/Documents/python/data/bushfire Raman/Rocky Point swamp/RP-M 4.5 (1)</t>
  </si>
  <si>
    <t>3.11 counts</t>
  </si>
  <si>
    <t>/Users/z2134519/Documents/python/data/bushfire Raman/Rocky Point swamp/RP-M 4.5 (2)</t>
  </si>
  <si>
    <t>19.42 counts</t>
  </si>
  <si>
    <t>/Users/z2134519/Documents/python/data/bushfire Raman/Rocky Point swamp/RP-M 4.5 (3) BL</t>
  </si>
  <si>
    <t>10.20 counts</t>
  </si>
  <si>
    <t>/Users/z2134519/Documents/python/data/bushfire Raman/Rocky Point swamp/RP-M 4.5 BL</t>
  </si>
  <si>
    <t>2.85 counts</t>
  </si>
  <si>
    <t>/Users/z2134519/Documents/python/data/bushfire Raman/Rocky Point swamp/RP-M 4.5(2)</t>
  </si>
  <si>
    <t>/Users/z2134519/Documents/python/data/bushfire Raman/Rocky Point swamp/RP-M 4.5(3) BL txt</t>
  </si>
  <si>
    <t>13.40 counts</t>
  </si>
  <si>
    <t>/Users/z2134519/Documents/python/data/bushfire Raman/Rocky Point swamp/RP-M 4.5(4)txt</t>
  </si>
  <si>
    <t>9.32 counts</t>
  </si>
  <si>
    <t>/Users/z2134519/Documents/python/data/bushfire Raman/Rocky Point swamp/RP-M 4.5(5)txt</t>
  </si>
  <si>
    <t>28.12 counts</t>
  </si>
  <si>
    <t>/Users/z2134519/Documents/python/data/bushfire Raman/Rocky Point swamp/RP-M 5 (1)</t>
  </si>
  <si>
    <t>/Users/z2134519/Documents/python/data/bushfire Raman/Rocky Point swamp/RP-M 5 (2)</t>
  </si>
  <si>
    <t>16.33 counts</t>
  </si>
  <si>
    <t>/Users/z2134519/Documents/python/data/bushfire Raman/Rocky Point swamp/RP-M 5(2)_BL</t>
  </si>
  <si>
    <t>10.28 counts</t>
  </si>
  <si>
    <t xml:space="preserve">/Users/z2134519/Documents/python/data/bushfire Raman/Rocky Point swamp/RP-M 6 (2) </t>
  </si>
  <si>
    <t>/Users/z2134519/Documents/python/data/bushfire Raman/Rocky Point swamp/RP-M 11(2)</t>
  </si>
  <si>
    <t>1.66 counts</t>
  </si>
  <si>
    <t>/Users/z2134519/Documents/python/data/bushfire Raman/Rocky Point swamp/RP-M 11(3)</t>
  </si>
  <si>
    <t>/Users/z2134519/Documents/python/data/bushfire Raman/Rocky Point swamp/RPM 3 (2)</t>
  </si>
  <si>
    <t>14.30 counts</t>
  </si>
  <si>
    <t>/Users/z2134519/Documents/python/data/bushfire Raman/Rocky Point swamp/RPM-5 (3)_BL</t>
  </si>
  <si>
    <t>3.88 counts</t>
  </si>
  <si>
    <t>/Users/z2134519/Documents/python/data/bushfire Raman/Rocky Point swamp/RPM-5 (3)</t>
  </si>
  <si>
    <t>2.87 counts</t>
  </si>
  <si>
    <t>/Users/christophermarjo/Documents/Python/Projects/data/bushfire Raman/Fortress Creek/FCM 0 (1)</t>
  </si>
  <si>
    <t>18.60 counts</t>
  </si>
  <si>
    <t>/Users/christophermarjo/Documents/Python/Projects/data/bushfire Raman/Fortress Creek/FCM 0 (2)</t>
  </si>
  <si>
    <t>21.66 counts</t>
  </si>
  <si>
    <t>/Users/christophermarjo/Documents/Python/Projects/data/bushfire Raman/Fortress Creek/FCM 0 (3)</t>
  </si>
  <si>
    <t>/Users/christophermarjo/Documents/Python/Projects/data/bushfire Raman/Fortress Creek/FCM 0 (4)</t>
  </si>
  <si>
    <t>21.53 counts</t>
  </si>
  <si>
    <t>/Users/christophermarjo/Documents/Python/Projects/data/bushfire Raman/Fortress Creek/FCM 0.5 (1)</t>
  </si>
  <si>
    <t>/Users/christophermarjo/Documents/Python/Projects/data/bushfire Raman/Fortress Creek/FCM 0.5 (2 )</t>
  </si>
  <si>
    <t>21.71 counts</t>
  </si>
  <si>
    <t>/Users/christophermarjo/Documents/Python/Projects/data/bushfire Raman/Fortress Creek/FCM 0.5 (3)</t>
  </si>
  <si>
    <t>11.05 counts</t>
  </si>
  <si>
    <t>/Users/christophermarjo/Documents/Python/Projects/data/bushfire Raman/Fortress Creek/FCM 1.5 (1)</t>
  </si>
  <si>
    <t>9.01 counts</t>
  </si>
  <si>
    <t>/Users/christophermarjo/Documents/Python/Projects/data/bushfire Raman/Fortress Creek/FCM 1.5 (2)</t>
  </si>
  <si>
    <t>8.43 counts</t>
  </si>
  <si>
    <t>/Users/christophermarjo/Documents/Python/Projects/data/bushfire Raman/Fortress Creek/FCM 1.5 (3)</t>
  </si>
  <si>
    <t>12.19 counts</t>
  </si>
  <si>
    <t>/Users/christophermarjo/Documents/Python/Projects/data/bushfire Raman/Fortress Creek/FCM 1(1)</t>
  </si>
  <si>
    <t>15.75 counts</t>
  </si>
  <si>
    <t>/Users/christophermarjo/Documents/Python/Projects/data/bushfire Raman/Fortress Creek/FCM 1(2)</t>
  </si>
  <si>
    <t>19.84 counts</t>
  </si>
  <si>
    <t xml:space="preserve">/Users/christophermarjo/Documents/Python/Projects/data/bushfire Raman/Fortress Creek/FCM 1(3) </t>
  </si>
  <si>
    <t>24.84 counts</t>
  </si>
  <si>
    <t>/Users/christophermarjo/Documents/Python/Projects/data/bushfire Raman/Fortress Creek/FCM 2 (1)</t>
  </si>
  <si>
    <t>11.91 counts</t>
  </si>
  <si>
    <t>/Users/christophermarjo/Documents/Python/Projects/data/bushfire Raman/Fortress Creek/FCM 2.5 (1)</t>
  </si>
  <si>
    <t>2.54 counts</t>
  </si>
  <si>
    <t>/Users/christophermarjo/Documents/Python/Projects/data/bushfire Raman/Fortress Creek/FCM 2.5 (2)</t>
  </si>
  <si>
    <t>2.99 counts</t>
  </si>
  <si>
    <t xml:space="preserve">/Users/christophermarjo/Documents/Python/Projects/data/bushfire Raman/Fortress Creek/FCM 2.5 (3) </t>
  </si>
  <si>
    <t xml:space="preserve">/Users/christophermarjo/Documents/Python/Projects/data/bushfire Raman/Fortress Creek/FCM 2.5 (4) </t>
  </si>
  <si>
    <t>2.00 counts</t>
  </si>
  <si>
    <t xml:space="preserve">/Users/christophermarjo/Documents/Python/Projects/data/bushfire Raman/Fortress Creek/FCM 2.5 (5) </t>
  </si>
  <si>
    <t>1.43 counts</t>
  </si>
  <si>
    <t>/Users/christophermarjo/Documents/Python/Projects/data/bushfire Raman/Fortress Creek/FCM 2(2)</t>
  </si>
  <si>
    <t>15.26 counts</t>
  </si>
  <si>
    <t>/Users/christophermarjo/Documents/Python/Projects/data/bushfire Raman/Fortress Creek/FCM 3 (4)</t>
  </si>
  <si>
    <t>/Users/christophermarjo/Documents/Python/Projects/data/bushfire Raman/Fortress Creek/FCM 3.5 (1)</t>
  </si>
  <si>
    <t>8.26 counts</t>
  </si>
  <si>
    <t>/Users/christophermarjo/Documents/Python/Projects/data/bushfire Raman/Fortress Creek/FCM 3.5 (2)</t>
  </si>
  <si>
    <t>10.35 counts</t>
  </si>
  <si>
    <t>/Users/christophermarjo/Documents/Python/Projects/data/bushfire Raman/Fortress Creek/FCM 3.5 (3)</t>
  </si>
  <si>
    <t>11.38 counts</t>
  </si>
  <si>
    <t>/Users/christophermarjo/Documents/Python/Projects/data/bushfire Raman/Fortress Creek/FCM 3(1)</t>
  </si>
  <si>
    <t>13.36 counts</t>
  </si>
  <si>
    <t>/Users/christophermarjo/Documents/Python/Projects/data/bushfire Raman/Fortress Creek/FCM 3(2)</t>
  </si>
  <si>
    <t>/Users/christophermarjo/Documents/Python/Projects/data/bushfire Raman/Fortress Creek/FCM 3(3)</t>
  </si>
  <si>
    <t>35.91 counts</t>
  </si>
  <si>
    <t>/Users/christophermarjo/Documents/Python/Projects/data/bushfire Raman/Fortress Creek/FCM 4 (1)</t>
  </si>
  <si>
    <t>13.43 counts</t>
  </si>
  <si>
    <t>/Users/christophermarjo/Documents/Python/Projects/data/bushfire Raman/Fortress Creek/FCM 4.5 (1)</t>
  </si>
  <si>
    <t>37.70 counts</t>
  </si>
  <si>
    <t>/Users/christophermarjo/Documents/Python/Projects/data/bushfire Raman/Fortress Creek/FCM 4.5 (2)</t>
  </si>
  <si>
    <t>2.04 counts</t>
  </si>
  <si>
    <t>/Users/christophermarjo/Documents/Python/Projects/data/bushfire Raman/Fortress Creek/FCM 4.5 (3)</t>
  </si>
  <si>
    <t>3.57 counts</t>
  </si>
  <si>
    <t>/Users/christophermarjo/Documents/Python/Projects/data/bushfire Raman/Fortress Creek/FCM 4.5 (4)</t>
  </si>
  <si>
    <t>9.41 counts</t>
  </si>
  <si>
    <t>/Users/christophermarjo/Documents/Python/Projects/data/bushfire Raman/Fortress Creek/FCM 4.5 (5)</t>
  </si>
  <si>
    <t>2.88 counts</t>
  </si>
  <si>
    <t>/Users/christophermarjo/Documents/Python/Projects/data/bushfire Raman/Fortress Creek/FCM 4(2)</t>
  </si>
  <si>
    <t>26.56 counts</t>
  </si>
  <si>
    <t xml:space="preserve">/Users/christophermarjo/Documents/Python/Projects/data/bushfire Raman/Fortress Creek/FCM 4(3) </t>
  </si>
  <si>
    <t>30.39 counts</t>
  </si>
  <si>
    <t>/Users/christophermarjo/Documents/Python/Projects/data/bushfire Raman/Fortress Creek/FCM 5 (1)</t>
  </si>
  <si>
    <t>/Users/christophermarjo/Documents/Python/Projects/data/bushfire Raman/Fortress Creek/FCM 5 (2)</t>
  </si>
  <si>
    <t>17.15 counts</t>
  </si>
  <si>
    <t>/Users/christophermarjo/Documents/Python/Projects/data/bushfire Raman/Fortress Creek/FCM 5 (3)</t>
  </si>
  <si>
    <t>8.22 counts</t>
  </si>
  <si>
    <t>/Users/christophermarjo/Documents/Python/Projects/data/bushfire Raman/Fortress Creek/FCM 5.5 (1)</t>
  </si>
  <si>
    <t>3.03 counts</t>
  </si>
  <si>
    <t>/Users/christophermarjo/Documents/Python/Projects/data/bushfire Raman/Fortress Creek/FCM 5.5 (2)</t>
  </si>
  <si>
    <t>4.64 counts</t>
  </si>
  <si>
    <t>/Users/christophermarjo/Documents/Python/Projects/data/bushfire Raman/Fortress Creek/FCM 5.5 (3)</t>
  </si>
  <si>
    <t>2.37 counts</t>
  </si>
  <si>
    <t>/Users/christophermarjo/Documents/Python/Projects/data/bushfire Raman/Fortress Creek/FCM 5.5 (4)</t>
  </si>
  <si>
    <t>4.04 counts</t>
  </si>
  <si>
    <t>/Users/christophermarjo/Documents/Python/Projects/data/bushfire Raman/Fortress Creek/FCM 5.5 (5)</t>
  </si>
  <si>
    <t>2.47 counts</t>
  </si>
  <si>
    <t>/Users/christophermarjo/Documents/Python/Projects/data/bushfire Raman/Fortress Creek/FCM 6.5 (1)</t>
  </si>
  <si>
    <t>/Users/christophermarjo/Documents/Python/Projects/data/bushfire Raman/Fortress Creek/FCM 6.5 (2)</t>
  </si>
  <si>
    <t>1.32 counts</t>
  </si>
  <si>
    <t>/Users/christophermarjo/Documents/Python/Projects/data/bushfire Raman/Fortress Creek/FCM 6.5 (3)</t>
  </si>
  <si>
    <t>/Users/christophermarjo/Documents/Python/Projects/data/bushfire Raman/Fortress Creek/FCM 6.5 (4)</t>
  </si>
  <si>
    <t>2.05 counts</t>
  </si>
  <si>
    <t>/Users/christophermarjo/Documents/Python/Projects/data/bushfire Raman/Fortress Creek/FCM 6.5 (5)</t>
  </si>
  <si>
    <t>2.56 counts</t>
  </si>
  <si>
    <t>/Users/christophermarjo/Documents/Python/Projects/data/bushfire Raman/Fortress Creek/FCM 8.5 (1)</t>
  </si>
  <si>
    <t>31.98 counts</t>
  </si>
  <si>
    <t>/Users/christophermarjo/Documents/Python/Projects/data/bushfire Raman/Fortress Creek/FCM 8.5 (2)</t>
  </si>
  <si>
    <t>12.00 counts</t>
  </si>
  <si>
    <t>/Users/christophermarjo/Documents/Python/Projects/data/bushfire Raman/Fortress Creek/FCM 8.5 (3)</t>
  </si>
  <si>
    <t>22.15 counts</t>
  </si>
  <si>
    <t>/Users/christophermarjo/Documents/Python/Projects/data/bushfire Raman/Fortress Creek/FCM 9.5 (1)</t>
  </si>
  <si>
    <t>24.14 counts</t>
  </si>
  <si>
    <t>/Users/christophermarjo/Documents/Python/Projects/data/bushfire Raman/Fortress Creek/FCM 9.5 (2)</t>
  </si>
  <si>
    <t>15.35 counts</t>
  </si>
  <si>
    <t>/Users/christophermarjo/Documents/Python/Projects/data/bushfire Raman/Fortress Creek/FCM 9.5 (3)</t>
  </si>
  <si>
    <t>40.03 counts</t>
  </si>
  <si>
    <t>/Users/christophermarjo/Documents/Python/Projects/data/bushfire Raman/Fortress Creek/FCM 10.5 (1)</t>
  </si>
  <si>
    <t>18.57 counts</t>
  </si>
  <si>
    <t>/Users/christophermarjo/Documents/Python/Projects/data/bushfire Raman/Fortress Creek/FCM 10.5 (2)</t>
  </si>
  <si>
    <t>/Users/christophermarjo/Documents/Python/Projects/data/bushfire Raman/Fortress Creek/FCM 10.5 (3)</t>
  </si>
  <si>
    <t>21.67 counts</t>
  </si>
  <si>
    <t>/Users/christophermarjo/Documents/Python/Projects/data/bushfire Raman/Kings Tableland (RHS)/KT-M 1.5 (1) txt</t>
  </si>
  <si>
    <t>44.96 counts</t>
  </si>
  <si>
    <t>/Users/christophermarjo/Documents/Python/Projects/data/bushfire Raman/Kings Tableland (RHS)/KT-M 1.5 (2) txt</t>
  </si>
  <si>
    <t>23.90 counts</t>
  </si>
  <si>
    <t>/Users/christophermarjo/Documents/Python/Projects/data/bushfire Raman/Kings Tableland (RHS)/KTM 0 (1) .txt</t>
  </si>
  <si>
    <t>11.00 counts</t>
  </si>
  <si>
    <t>/Users/christophermarjo/Documents/Python/Projects/data/bushfire Raman/Kings Tableland (RHS)/KTM 0 (2). txt</t>
  </si>
  <si>
    <t>9.49 counts</t>
  </si>
  <si>
    <t>/Users/christophermarjo/Documents/Python/Projects/data/bushfire Raman/Kings Tableland (RHS)/KTM 0 (3) .txt</t>
  </si>
  <si>
    <t>11.04 counts</t>
  </si>
  <si>
    <t>/Users/christophermarjo/Documents/Python/Projects/data/bushfire Raman/Kings Tableland (RHS)/KTM 0. 5 (2) .txt</t>
  </si>
  <si>
    <t>14.79 counts</t>
  </si>
  <si>
    <t>/Users/christophermarjo/Documents/Python/Projects/data/bushfire Raman/Kings Tableland (RHS)/KTM 0.5 (1). txt</t>
  </si>
  <si>
    <t>11.92 counts</t>
  </si>
  <si>
    <t>/Users/christophermarjo/Documents/Python/Projects/data/bushfire Raman/Kings Tableland (RHS)/KTM 1 (3).txt</t>
  </si>
  <si>
    <t>13.95 counts</t>
  </si>
  <si>
    <t>/Users/christophermarjo/Documents/Python/Projects/data/bushfire Raman/Kings Tableland (RHS)/KTM 1(4).txt</t>
  </si>
  <si>
    <t>6.04 counts</t>
  </si>
  <si>
    <t>/Users/christophermarjo/Documents/Python/Projects/data/bushfire Raman/Kings Tableland (RHS)/KTM 2 (3) .txt</t>
  </si>
  <si>
    <t>2.75 counts</t>
  </si>
  <si>
    <t>/Users/christophermarjo/Documents/Python/Projects/data/bushfire Raman/Kings Tableland (RHS)/KTM 2.5 (1) txt</t>
  </si>
  <si>
    <t>/Users/christophermarjo/Documents/Python/Projects/data/bushfire Raman/Kings Tableland (RHS)/KTM 2.5 (2).txt</t>
  </si>
  <si>
    <t>14.15 counts</t>
  </si>
  <si>
    <t>/Users/christophermarjo/Documents/Python/Projects/data/bushfire Raman/Kings Tableland (RHS)/KTM 2.5 (3) .txt</t>
  </si>
  <si>
    <t>14.78 counts</t>
  </si>
  <si>
    <t>/Users/christophermarjo/Documents/Python/Projects/data/bushfire Raman/Kings Tableland (RHS)/KTM 3 (1) .txt</t>
  </si>
  <si>
    <t>8.05 counts</t>
  </si>
  <si>
    <t>/Users/christophermarjo/Documents/Python/Projects/data/bushfire Raman/Kings Tableland (RHS)/KTM 3 (1).txt</t>
  </si>
  <si>
    <t>1.41 counts</t>
  </si>
  <si>
    <t>/Users/christophermarjo/Documents/Python/Projects/data/bushfire Raman/Kings Tableland (RHS)/KTM 3 (2).txt</t>
  </si>
  <si>
    <t>6.45 counts</t>
  </si>
  <si>
    <t>/Users/christophermarjo/Documents/Python/Projects/data/bushfire Raman/Kings Tableland (RHS)/KTM 3(3).txt</t>
  </si>
  <si>
    <t>/Users/christophermarjo/Documents/Python/Projects/data/bushfire Raman/Kings Tableland (RHS)/KTM 4 (1).txt</t>
  </si>
  <si>
    <t>32.57 counts</t>
  </si>
  <si>
    <t>/Users/christophermarjo/Documents/Python/Projects/data/bushfire Raman/Kings Tableland (RHS)/KTM 4.5 (1).txt</t>
  </si>
  <si>
    <t>37.85 counts</t>
  </si>
  <si>
    <t>/Users/christophermarjo/Documents/Python/Projects/data/bushfire Raman/Kings Tableland (RHS)/KTM 4.5 (2).txt</t>
  </si>
  <si>
    <t>22.72 counts</t>
  </si>
  <si>
    <t>/Users/christophermarjo/Documents/Python/Projects/data/bushfire Raman/Kings Tableland (RHS)/KTM 4.5 (3) .txt</t>
  </si>
  <si>
    <t>14.40 counts</t>
  </si>
  <si>
    <t>/Users/christophermarjo/Documents/Python/Projects/data/bushfire Raman/Kings Tableland (RHS)/KTM 4.5 (4).txt</t>
  </si>
  <si>
    <t>62.98 counts</t>
  </si>
  <si>
    <t>/Users/christophermarjo/Documents/Python/Projects/data/bushfire Raman/Kings Tableland (RHS)/KTM 4(2).txt</t>
  </si>
  <si>
    <t>26.83 counts</t>
  </si>
  <si>
    <t>/Users/christophermarjo/Documents/Python/Projects/data/bushfire Raman/Kings Tableland (RHS)/KTM 4(3).txt</t>
  </si>
  <si>
    <t>18.06 counts</t>
  </si>
  <si>
    <t>/Users/christophermarjo/Documents/Python/Projects/data/bushfire Raman/Kings Tableland (RHS)/KTM 5 (1).txt</t>
  </si>
  <si>
    <t>12.97 counts</t>
  </si>
  <si>
    <t>/Users/christophermarjo/Documents/Python/Projects/data/bushfire Raman/Kings Tableland (RHS)/KTM 5(2).txt</t>
  </si>
  <si>
    <t>14.00 counts</t>
  </si>
  <si>
    <t>/Users/christophermarjo/Documents/Python/Projects/data/bushfire Raman/Kings Tableland (RHS)/KTM 5(3).txt</t>
  </si>
  <si>
    <t>13.24 counts</t>
  </si>
  <si>
    <t>/Users/christophermarjo/Documents/Python/Projects/data/bushfire Raman/Kings Tableland (RHS)/KTM 6 (2).txt</t>
  </si>
  <si>
    <t>7.52 counts</t>
  </si>
  <si>
    <t>/Users/christophermarjo/Documents/Python/Projects/data/bushfire Raman/Kings Tableland (RHS)/KTM 6 (3) .txt</t>
  </si>
  <si>
    <t>7.63 counts</t>
  </si>
  <si>
    <t>/Users/christophermarjo/Documents/Python/Projects/data/bushfire Raman/Kings Tableland (RHS)/KTM 6.5 (1) .txt</t>
  </si>
  <si>
    <t>32.05 counts</t>
  </si>
  <si>
    <t>/Users/christophermarjo/Documents/Python/Projects/data/bushfire Raman/Kings Tableland (RHS)/KTM 6.5 (2).txt</t>
  </si>
  <si>
    <t>10.58 counts</t>
  </si>
  <si>
    <t>/Users/christophermarjo/Documents/Python/Projects/data/bushfire Raman/Kings Tableland (RHS)/KTM 6.5 (3) .txt</t>
  </si>
  <si>
    <t>17.70 counts</t>
  </si>
  <si>
    <t>/Users/christophermarjo/Documents/Python/Projects/data/bushfire Raman/Kings Tableland (RHS)/KTM 7 (1) .txt</t>
  </si>
  <si>
    <t>14.64 counts</t>
  </si>
  <si>
    <t>/Users/christophermarjo/Documents/Python/Projects/data/bushfire Raman/Kings Tableland (RHS)/KTM 7 (2).txt</t>
  </si>
  <si>
    <t>19.05 counts</t>
  </si>
  <si>
    <t>/Users/christophermarjo/Documents/Python/Projects/data/bushfire Raman/Kings Tableland (RHS)/KTM 7.5 (2). txt</t>
  </si>
  <si>
    <t>15.12 counts</t>
  </si>
  <si>
    <t>/Users/christophermarjo/Documents/Python/Projects/data/bushfire Raman/Kings Tableland (RHS)/KTM 7(3).txt</t>
  </si>
  <si>
    <t>/Users/christophermarjo/Documents/Python/Projects/data/bushfire Raman/Kings Tableland (RHS)/KTM 8 (1) .txt</t>
  </si>
  <si>
    <t>/Users/christophermarjo/Documents/Python/Projects/data/bushfire Raman/Kings Tableland (RHS)/KTM 8 (2).txt</t>
  </si>
  <si>
    <t>9.05 counts</t>
  </si>
  <si>
    <t>/Users/christophermarjo/Documents/Python/Projects/data/bushfire Raman/Kings Tableland (RHS)/KTM- 1.5 (3) txt</t>
  </si>
  <si>
    <t>21.89 counts</t>
  </si>
  <si>
    <t>/Users/christophermarjo/Documents/Python/Projects/data/bushfire Raman/Urella Brook/UB  9 (1)</t>
  </si>
  <si>
    <t>5.39 counts</t>
  </si>
  <si>
    <t>/Users/christophermarjo/Documents/Python/Projects/data/bushfire Raman/Urella Brook/UB 0.5 (1)</t>
  </si>
  <si>
    <t>13.52 counts</t>
  </si>
  <si>
    <t>/Users/christophermarjo/Documents/Python/Projects/data/bushfire Raman/Urella Brook/UB 0.5 (2)</t>
  </si>
  <si>
    <t>4.47 counts</t>
  </si>
  <si>
    <t>/Users/christophermarjo/Documents/Python/Projects/data/bushfire Raman/Urella Brook/UB 0.5 (3)</t>
  </si>
  <si>
    <t>15.34 counts</t>
  </si>
  <si>
    <t>/Users/christophermarjo/Documents/Python/Projects/data/bushfire Raman/Urella Brook/UB 1.5 (1)</t>
  </si>
  <si>
    <t>17.71 counts</t>
  </si>
  <si>
    <t>/Users/christophermarjo/Documents/Python/Projects/data/bushfire Raman/Urella Brook/UB 1.5 (1)txt</t>
  </si>
  <si>
    <t>19.02 counts</t>
  </si>
  <si>
    <t>/Users/christophermarjo/Documents/Python/Projects/data/bushfire Raman/Urella Brook/UB 1.5 (2)</t>
  </si>
  <si>
    <t>20.87 counts</t>
  </si>
  <si>
    <t>/Users/christophermarjo/Documents/Python/Projects/data/bushfire Raman/Urella Brook/UB 1.5 (3)</t>
  </si>
  <si>
    <t>19.62 counts</t>
  </si>
  <si>
    <t>/Users/christophermarjo/Documents/Python/Projects/data/bushfire Raman/Urella Brook/UB 2 (1)</t>
  </si>
  <si>
    <t>7.14 counts</t>
  </si>
  <si>
    <t>/Users/christophermarjo/Documents/Python/Projects/data/bushfire Raman/Urella Brook/UB 2 (2)</t>
  </si>
  <si>
    <t>7.83 counts</t>
  </si>
  <si>
    <t>/Users/christophermarjo/Documents/Python/Projects/data/bushfire Raman/Urella Brook/UB 2 (3)</t>
  </si>
  <si>
    <t>6.70 counts</t>
  </si>
  <si>
    <t>/Users/christophermarjo/Documents/Python/Projects/data/bushfire Raman/Urella Brook/UB 2.5 (2)</t>
  </si>
  <si>
    <t>22.98 counts</t>
  </si>
  <si>
    <t>/Users/christophermarjo/Documents/Python/Projects/data/bushfire Raman/Urella Brook/UB 2.5 (3)</t>
  </si>
  <si>
    <t>11.37 counts</t>
  </si>
  <si>
    <t>/Users/christophermarjo/Documents/Python/Projects/data/bushfire Raman/Urella Brook/UB 3.5 (1)</t>
  </si>
  <si>
    <t>16.04 counts</t>
  </si>
  <si>
    <t>/Users/christophermarjo/Documents/Python/Projects/data/bushfire Raman/Urella Brook/UB 3.5 (2)</t>
  </si>
  <si>
    <t>10.72 counts</t>
  </si>
  <si>
    <t>/Users/christophermarjo/Documents/Python/Projects/data/bushfire Raman/Urella Brook/UB 3.5 (3)</t>
  </si>
  <si>
    <t>9.83 counts</t>
  </si>
  <si>
    <t>/Users/christophermarjo/Documents/Python/Projects/data/bushfire Raman/Urella Brook/UB 4 (1)</t>
  </si>
  <si>
    <t>6.33 counts</t>
  </si>
  <si>
    <t>/Users/christophermarjo/Documents/Python/Projects/data/bushfire Raman/Urella Brook/UB 5 (1)</t>
  </si>
  <si>
    <t>6.96 counts</t>
  </si>
  <si>
    <t>/Users/christophermarjo/Documents/Python/Projects/data/bushfire Raman/Urella Brook/UB 5 (2)</t>
  </si>
  <si>
    <t>15.59 counts</t>
  </si>
  <si>
    <t>/Users/christophermarjo/Documents/Python/Projects/data/bushfire Raman/Urella Brook/UB 5 (3)</t>
  </si>
  <si>
    <t>16.85 counts</t>
  </si>
  <si>
    <t>/Users/christophermarjo/Documents/Python/Projects/data/bushfire Raman/Urella Brook/UB 5.5 (1)</t>
  </si>
  <si>
    <t>23.05 counts</t>
  </si>
  <si>
    <t>/Users/christophermarjo/Documents/Python/Projects/data/bushfire Raman/Urella Brook/UB 5.5 (2)</t>
  </si>
  <si>
    <t>18.80 counts</t>
  </si>
  <si>
    <t>/Users/christophermarjo/Documents/Python/Projects/data/bushfire Raman/Urella Brook/UB 5.5 (3)</t>
  </si>
  <si>
    <t>10.03 counts</t>
  </si>
  <si>
    <t>/Users/christophermarjo/Documents/Python/Projects/data/bushfire Raman/Urella Brook/UB 6 (1)</t>
  </si>
  <si>
    <t>/Users/christophermarjo/Documents/Python/Projects/data/bushfire Raman/Urella Brook/UB 6 (2)</t>
  </si>
  <si>
    <t>14.56 counts</t>
  </si>
  <si>
    <t>/Users/christophermarjo/Documents/Python/Projects/data/bushfire Raman/Urella Brook/UB 6 (3)</t>
  </si>
  <si>
    <t>16.07 counts</t>
  </si>
  <si>
    <t>/Users/christophermarjo/Documents/Python/Projects/data/bushfire Raman/Urella Brook/UB 6.5 (1)</t>
  </si>
  <si>
    <t>5.26 counts</t>
  </si>
  <si>
    <t>/Users/christophermarjo/Documents/Python/Projects/data/bushfire Raman/Urella Brook/UB 6.5 (2)</t>
  </si>
  <si>
    <t>29.06 counts</t>
  </si>
  <si>
    <t>/Users/christophermarjo/Documents/Python/Projects/data/bushfire Raman/Urella Brook/UB 6.5 (3)</t>
  </si>
  <si>
    <t>5.47 counts</t>
  </si>
  <si>
    <t>/Users/christophermarjo/Documents/Python/Projects/data/bushfire Raman/Urella Brook/UB 7 (1)</t>
  </si>
  <si>
    <t>6.32 counts</t>
  </si>
  <si>
    <t>/Users/christophermarjo/Documents/Python/Projects/data/bushfire Raman/Urella Brook/UB 7 (2)</t>
  </si>
  <si>
    <t>17.56 counts</t>
  </si>
  <si>
    <t>/Users/christophermarjo/Documents/Python/Projects/data/bushfire Raman/Urella Brook/UB 7.5 (1)</t>
  </si>
  <si>
    <t>13.07 counts</t>
  </si>
  <si>
    <t>/Users/christophermarjo/Documents/Python/Projects/data/bushfire Raman/Urella Brook/UB 7.5 (2)</t>
  </si>
  <si>
    <t>19.71 counts</t>
  </si>
  <si>
    <t>/Users/christophermarjo/Documents/Python/Projects/data/bushfire Raman/Urella Brook/UB 7.5 (3)</t>
  </si>
  <si>
    <t>18.77 counts</t>
  </si>
  <si>
    <t>/Users/christophermarjo/Documents/Python/Projects/data/bushfire Raman/Urella Brook/UB 8 (1)</t>
  </si>
  <si>
    <t>14.18 counts</t>
  </si>
  <si>
    <t>/Users/christophermarjo/Documents/Python/Projects/data/bushfire Raman/Urella Brook/UB 8 (2)</t>
  </si>
  <si>
    <t>4.14 counts</t>
  </si>
  <si>
    <t>/Users/christophermarjo/Documents/Python/Projects/data/bushfire Raman/Urella Brook/UB 8 (3)</t>
  </si>
  <si>
    <t>14.65 counts</t>
  </si>
  <si>
    <t>/Users/christophermarjo/Documents/Python/Projects/data/bushfire Raman/Urella Brook/UB 9 (2)</t>
  </si>
  <si>
    <t>14.22 counts</t>
  </si>
  <si>
    <t>/Users/christophermarjo/Documents/Python/Projects/data/bushfire Raman/Urella Brook/UB 9.5 (1)</t>
  </si>
  <si>
    <t>23.82 counts</t>
  </si>
  <si>
    <t>/Users/christophermarjo/Documents/Python/Projects/data/bushfire Raman/Urella Brook/UB 9.5 (2)</t>
  </si>
  <si>
    <t>26.19 counts</t>
  </si>
  <si>
    <t>/Users/christophermarjo/Documents/Python/Projects/data/bushfire Raman/Urella Brook/UB 9.5 (3)</t>
  </si>
  <si>
    <t>25.69 counts</t>
  </si>
  <si>
    <t>/Users/christophermarjo/Documents/Python/Projects/data/bushfire Raman/Urella Brook/UB 10.5 (1)</t>
  </si>
  <si>
    <t>11.35 counts</t>
  </si>
  <si>
    <t>/Users/christophermarjo/Documents/Python/Projects/data/bushfire Raman/Urella Brook/UB 10.5 (2)</t>
  </si>
  <si>
    <t>13.44 counts</t>
  </si>
  <si>
    <t>/Users/christophermarjo/Documents/Python/Projects/data/bushfire Raman/Urella Brook/UB 10.5 (3)</t>
  </si>
  <si>
    <t xml:space="preserve">/Users/christophermarjo/Documents/Python/Projects/data/bushfire Raman/Urella Brook/UB- 7(3) </t>
  </si>
  <si>
    <t>5.07 counts</t>
  </si>
  <si>
    <t>Swamp</t>
  </si>
  <si>
    <t>Depth /m</t>
  </si>
  <si>
    <t>Corrale Swamp</t>
  </si>
  <si>
    <t>Rocky Point</t>
  </si>
  <si>
    <t>Depth</t>
  </si>
  <si>
    <t>Intensity</t>
  </si>
  <si>
    <t>/Users/christophermarjo/Documents/Python/Projects/data/bushfire Raman/Corrale Swamp/CS 0.5 (2)</t>
  </si>
  <si>
    <t>/Users/christophermarjo/Documents/Python/Projects/data/bushfire Raman/Corrale Swamp/CS 0.5 (4)</t>
  </si>
  <si>
    <t>/Users/christophermarjo/Documents/Python/Projects/data/bushfire Raman/Corrale Swamp/CS 0.5 (6)</t>
  </si>
  <si>
    <t>/Users/christophermarjo/Documents/Python/Projects/data/bushfire Raman/Corrale Swamp/CS 2.5 (1)</t>
  </si>
  <si>
    <t>/Users/christophermarjo/Documents/Python/Projects/data/bushfire Raman/Corrale Swamp/CS 2.5 (2)</t>
  </si>
  <si>
    <t>/Users/christophermarjo/Documents/Python/Projects/data/bushfire Raman/Corrale Swamp/CS 9.5 (2)</t>
  </si>
  <si>
    <t>/Users/christophermarjo/Documents/Python/Projects/data/bushfire Raman/Corrale Swamp/CS 13 (5)</t>
  </si>
  <si>
    <t>/Users/christophermarjo/Documents/Python/Projects/data/bushfire Raman/Corrale Swamp/CS 13.5 (1)</t>
  </si>
  <si>
    <t>/Users/christophermarjo/Documents/Python/Projects/data/bushfire Raman/Corrale Swamp/CS 13.5 (2)</t>
  </si>
  <si>
    <t>/Users/christophermarjo/Documents/Python/Projects/data/bushfire Raman/Corrale Swamp/CS 13.5 (3)</t>
  </si>
  <si>
    <t>/Users/christophermarjo/Documents/Python/Projects/data/bushfire Raman/Corrale Swamp/CS 13.5 (5)</t>
  </si>
  <si>
    <t>/Users/christophermarjo/Documents/Python/Projects/data/bushfire Raman/Corrale Swamp/CS 14.5 (2)</t>
  </si>
  <si>
    <t>/Users/christophermarjo/Documents/Python/Projects/data/bushfire Raman/Corrale Swamp/CS 15 (1)</t>
  </si>
  <si>
    <t>/Users/christophermarjo/Documents/Python/Projects/data/bushfire Raman/Corrale Swamp/CS 15 (3)</t>
  </si>
  <si>
    <t>/Users/christophermarjo/Documents/Python/Projects/data/bushfire Raman/Corrale Swamp/CS 15 (4)</t>
  </si>
  <si>
    <t>/Users/christophermarjo/Documents/Python/Projects/data/bushfire Raman/Corrale Swamp/CS 15 (5)</t>
  </si>
  <si>
    <t>Horsefly Swamp</t>
  </si>
  <si>
    <t>Waterfall Creek</t>
  </si>
  <si>
    <t>Fortress Creek</t>
  </si>
  <si>
    <t>/Users/christophermarjo/Documents/Python/Projects/data/bushfire Raman/Fortress Creek/FCM 1(3)</t>
  </si>
  <si>
    <t>/Users/christophermarjo/Documents/Python/Projects/data/bushfire Raman/Fortress Creek/FCM 2.5 (3)</t>
  </si>
  <si>
    <t>/Users/christophermarjo/Documents/Python/Projects/data/bushfire Raman/Fortress Creek/FCM 2.5 (4)</t>
  </si>
  <si>
    <t>/Users/christophermarjo/Documents/Python/Projects/data/bushfire Raman/Fortress Creek/FCM 2.5 (5)</t>
  </si>
  <si>
    <t>/Users/christophermarjo/Documents/Python/Projects/data/bushfire Raman/Fortress Creek/FCM 4(3)</t>
  </si>
  <si>
    <t>Kings Tableland</t>
  </si>
  <si>
    <t>Urella Brook</t>
  </si>
  <si>
    <t>/Users/christophermarjo/Documents/Python/Projects/data/bushfire Raman/Urella Brook/UB- 7(3)</t>
  </si>
  <si>
    <t>/Users/z2134519/Documents/python/data/bushfire Raman/Rocky Point swamp/RP-M 2 (3)</t>
  </si>
  <si>
    <t>/Users/z2134519/Documents/python/data/bushfire Raman/Rocky Point swamp/RP-M 2.5 (3)</t>
  </si>
  <si>
    <t>/Users/z2134519/Documents/python/data/bushfire Raman/Rocky Point swamp/RP-M 6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</si>
</sst>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2" borderId="0" xfId="1" applyFill="1"/>
    <xf numFmtId="0" fontId="0" fillId="2" borderId="0" xfId="0" applyFill="1"/>
  </cellXfs>
  <cellStyles count="2">
    <cellStyle name="Normal" xfId="0" builtinId="0"/>
    <cellStyle name="Normal 2" xfId="1" xr:uid="{7B78014D-D1DF-49D4-88C9-AC246DE4CE74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CFB3-6C96-4179-9658-A000A37458BF}">
  <dimension ref="A1:AV75"/>
  <sheetViews>
    <sheetView workbookViewId="0">
      <selection activeCell="A24" sqref="A24"/>
    </sheetView>
  </sheetViews>
  <sheetFormatPr defaultColWidth="11.5703125" defaultRowHeight="15.95"/>
  <cols>
    <col min="1" max="1" width="94.42578125" style="1" bestFit="1" customWidth="1"/>
    <col min="2" max="16384" width="11.5703125" style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48</v>
      </c>
      <c r="B2" s="1" t="s">
        <v>49</v>
      </c>
      <c r="C2" s="1">
        <v>0.98339699999999997</v>
      </c>
      <c r="D2" s="1">
        <v>1369</v>
      </c>
      <c r="E2" s="1">
        <v>3963</v>
      </c>
      <c r="F2" s="1">
        <v>326</v>
      </c>
      <c r="G2" s="1">
        <v>1375225</v>
      </c>
      <c r="H2" s="1">
        <v>74.3</v>
      </c>
      <c r="I2" s="1">
        <v>1590</v>
      </c>
      <c r="J2" s="1">
        <v>3613</v>
      </c>
      <c r="K2" s="1">
        <v>102</v>
      </c>
      <c r="L2" s="1">
        <v>392284</v>
      </c>
      <c r="M2" s="1">
        <v>21.2</v>
      </c>
      <c r="N2" s="1">
        <v>1041</v>
      </c>
      <c r="O2" s="1">
        <v>159</v>
      </c>
      <c r="P2" s="1">
        <v>67</v>
      </c>
      <c r="Q2" s="1">
        <v>11340</v>
      </c>
      <c r="R2" s="1">
        <v>0.6</v>
      </c>
      <c r="S2" s="1">
        <v>1172</v>
      </c>
      <c r="T2" s="1">
        <v>1</v>
      </c>
      <c r="U2" s="1">
        <v>1</v>
      </c>
      <c r="V2" s="1">
        <v>1</v>
      </c>
      <c r="W2" s="1">
        <v>0</v>
      </c>
      <c r="X2" s="1">
        <v>1270</v>
      </c>
      <c r="Y2" s="1">
        <v>1</v>
      </c>
      <c r="Z2" s="1">
        <v>1</v>
      </c>
      <c r="AA2" s="1">
        <v>1</v>
      </c>
      <c r="AB2" s="1">
        <v>0</v>
      </c>
      <c r="AC2" s="1">
        <v>1400</v>
      </c>
      <c r="AD2" s="1">
        <v>1</v>
      </c>
      <c r="AE2" s="1">
        <v>1</v>
      </c>
      <c r="AF2" s="1">
        <v>1</v>
      </c>
      <c r="AG2" s="1">
        <v>0</v>
      </c>
      <c r="AH2" s="1">
        <v>1500</v>
      </c>
      <c r="AI2" s="1">
        <v>143</v>
      </c>
      <c r="AJ2" s="1">
        <v>31</v>
      </c>
      <c r="AK2" s="1">
        <v>4719</v>
      </c>
      <c r="AL2" s="1">
        <v>0.3</v>
      </c>
      <c r="AM2" s="1">
        <v>1598</v>
      </c>
      <c r="AN2" s="1">
        <v>331</v>
      </c>
      <c r="AO2" s="1">
        <v>25</v>
      </c>
      <c r="AP2" s="1">
        <v>8808</v>
      </c>
      <c r="AQ2" s="1">
        <v>0.5</v>
      </c>
      <c r="AR2" s="1">
        <v>1740</v>
      </c>
      <c r="AS2" s="1">
        <v>315</v>
      </c>
      <c r="AT2" s="1">
        <v>171</v>
      </c>
      <c r="AU2" s="1">
        <v>57338</v>
      </c>
      <c r="AV2" s="1">
        <v>3.1</v>
      </c>
    </row>
    <row r="3" spans="1:48">
      <c r="A3" s="1" t="s">
        <v>50</v>
      </c>
      <c r="B3" s="1" t="s">
        <v>51</v>
      </c>
      <c r="C3" s="1">
        <v>0.99169399999999996</v>
      </c>
      <c r="D3" s="1">
        <v>1369</v>
      </c>
      <c r="E3" s="1">
        <v>11427</v>
      </c>
      <c r="F3" s="1">
        <v>330</v>
      </c>
      <c r="G3" s="1">
        <v>4014009</v>
      </c>
      <c r="H3" s="1">
        <v>70.400000000000006</v>
      </c>
      <c r="I3" s="1">
        <v>1588</v>
      </c>
      <c r="J3" s="1">
        <v>12371</v>
      </c>
      <c r="K3" s="1">
        <v>104</v>
      </c>
      <c r="L3" s="1">
        <v>1369526</v>
      </c>
      <c r="M3" s="1">
        <v>24</v>
      </c>
      <c r="N3" s="1">
        <v>1039</v>
      </c>
      <c r="O3" s="1">
        <v>459</v>
      </c>
      <c r="P3" s="1">
        <v>61</v>
      </c>
      <c r="Q3" s="1">
        <v>29804</v>
      </c>
      <c r="R3" s="1">
        <v>0.5</v>
      </c>
      <c r="S3" s="1">
        <v>1172</v>
      </c>
      <c r="T3" s="1">
        <v>1</v>
      </c>
      <c r="U3" s="1">
        <v>1</v>
      </c>
      <c r="V3" s="1">
        <v>1</v>
      </c>
      <c r="W3" s="1">
        <v>0</v>
      </c>
      <c r="X3" s="1">
        <v>1270</v>
      </c>
      <c r="Y3" s="1">
        <v>1</v>
      </c>
      <c r="Z3" s="1">
        <v>1</v>
      </c>
      <c r="AA3" s="1">
        <v>1</v>
      </c>
      <c r="AB3" s="1">
        <v>0</v>
      </c>
      <c r="AC3" s="1">
        <v>1456</v>
      </c>
      <c r="AD3" s="1">
        <v>63</v>
      </c>
      <c r="AE3" s="1">
        <v>149</v>
      </c>
      <c r="AF3" s="1">
        <v>9992</v>
      </c>
      <c r="AG3" s="1">
        <v>0.2</v>
      </c>
      <c r="AH3" s="1">
        <v>1498</v>
      </c>
      <c r="AI3" s="1">
        <v>531</v>
      </c>
      <c r="AJ3" s="1">
        <v>33</v>
      </c>
      <c r="AK3" s="1">
        <v>18653</v>
      </c>
      <c r="AL3" s="1">
        <v>0.3</v>
      </c>
      <c r="AM3" s="1">
        <v>1596</v>
      </c>
      <c r="AN3" s="1">
        <v>681</v>
      </c>
      <c r="AO3" s="1">
        <v>23</v>
      </c>
      <c r="AP3" s="1">
        <v>16673</v>
      </c>
      <c r="AQ3" s="1">
        <v>0.3</v>
      </c>
      <c r="AR3" s="1">
        <v>1744</v>
      </c>
      <c r="AS3" s="1">
        <v>1271</v>
      </c>
      <c r="AT3" s="1">
        <v>179</v>
      </c>
      <c r="AU3" s="1">
        <v>242176</v>
      </c>
      <c r="AV3" s="1">
        <v>4.2</v>
      </c>
    </row>
    <row r="4" spans="1:48">
      <c r="A4" s="1" t="s">
        <v>52</v>
      </c>
      <c r="B4" s="1" t="s">
        <v>53</v>
      </c>
      <c r="C4" s="1">
        <v>0.98501700000000003</v>
      </c>
      <c r="D4" s="1">
        <v>1367</v>
      </c>
      <c r="E4" s="1">
        <v>27373</v>
      </c>
      <c r="F4" s="1">
        <v>320</v>
      </c>
      <c r="G4" s="1">
        <v>9324050</v>
      </c>
      <c r="H4" s="1">
        <v>71.099999999999994</v>
      </c>
      <c r="I4" s="1">
        <v>1590</v>
      </c>
      <c r="J4" s="1">
        <v>27339</v>
      </c>
      <c r="K4" s="1">
        <v>100</v>
      </c>
      <c r="L4" s="1">
        <v>2910146</v>
      </c>
      <c r="M4" s="1">
        <v>22.2</v>
      </c>
      <c r="N4" s="1">
        <v>1041</v>
      </c>
      <c r="O4" s="1">
        <v>1383</v>
      </c>
      <c r="P4" s="1">
        <v>85</v>
      </c>
      <c r="Q4" s="1">
        <v>125133</v>
      </c>
      <c r="R4" s="1">
        <v>1</v>
      </c>
      <c r="S4" s="1">
        <v>1150</v>
      </c>
      <c r="T4" s="1">
        <v>125</v>
      </c>
      <c r="U4" s="1">
        <v>1</v>
      </c>
      <c r="V4" s="1">
        <v>133</v>
      </c>
      <c r="W4" s="1">
        <v>0</v>
      </c>
      <c r="X4" s="1">
        <v>1270</v>
      </c>
      <c r="Y4" s="1">
        <v>1</v>
      </c>
      <c r="Z4" s="1">
        <v>1</v>
      </c>
      <c r="AA4" s="1">
        <v>1</v>
      </c>
      <c r="AB4" s="1">
        <v>0</v>
      </c>
      <c r="AC4" s="1">
        <v>1400</v>
      </c>
      <c r="AD4" s="1">
        <v>1</v>
      </c>
      <c r="AE4" s="1">
        <v>1</v>
      </c>
      <c r="AF4" s="1">
        <v>1</v>
      </c>
      <c r="AG4" s="1">
        <v>0</v>
      </c>
      <c r="AH4" s="1">
        <v>1500</v>
      </c>
      <c r="AI4" s="1">
        <v>869</v>
      </c>
      <c r="AJ4" s="1">
        <v>23</v>
      </c>
      <c r="AK4" s="1">
        <v>21276</v>
      </c>
      <c r="AL4" s="1">
        <v>0.2</v>
      </c>
      <c r="AM4" s="1">
        <v>1598</v>
      </c>
      <c r="AN4" s="1">
        <v>4177</v>
      </c>
      <c r="AO4" s="1">
        <v>29</v>
      </c>
      <c r="AP4" s="1">
        <v>128942</v>
      </c>
      <c r="AQ4" s="1">
        <v>1</v>
      </c>
      <c r="AR4" s="1">
        <v>1748</v>
      </c>
      <c r="AS4" s="1">
        <v>2887</v>
      </c>
      <c r="AT4" s="1">
        <v>199</v>
      </c>
      <c r="AU4" s="1">
        <v>611550</v>
      </c>
      <c r="AV4" s="1">
        <v>4.7</v>
      </c>
    </row>
    <row r="5" spans="1:48">
      <c r="A5" s="1" t="s">
        <v>54</v>
      </c>
      <c r="B5" s="1" t="s">
        <v>55</v>
      </c>
      <c r="C5" s="1">
        <v>0.98783100000000001</v>
      </c>
      <c r="D5" s="1">
        <v>1369</v>
      </c>
      <c r="E5" s="1">
        <v>18647</v>
      </c>
      <c r="F5" s="1">
        <v>318</v>
      </c>
      <c r="G5" s="1">
        <v>6312019</v>
      </c>
      <c r="H5" s="1">
        <v>72.3</v>
      </c>
      <c r="I5" s="1">
        <v>1592</v>
      </c>
      <c r="J5" s="1">
        <v>18871</v>
      </c>
      <c r="K5" s="1">
        <v>100</v>
      </c>
      <c r="L5" s="1">
        <v>2008756</v>
      </c>
      <c r="M5" s="1">
        <v>23</v>
      </c>
      <c r="N5" s="1">
        <v>1049</v>
      </c>
      <c r="O5" s="1">
        <v>875</v>
      </c>
      <c r="P5" s="1">
        <v>85</v>
      </c>
      <c r="Q5" s="1">
        <v>79170</v>
      </c>
      <c r="R5" s="1">
        <v>0.9</v>
      </c>
      <c r="S5" s="1">
        <v>1158</v>
      </c>
      <c r="T5" s="1">
        <v>1</v>
      </c>
      <c r="U5" s="1">
        <v>1</v>
      </c>
      <c r="V5" s="1">
        <v>1</v>
      </c>
      <c r="W5" s="1">
        <v>0</v>
      </c>
      <c r="X5" s="1">
        <v>1270</v>
      </c>
      <c r="Y5" s="1">
        <v>1</v>
      </c>
      <c r="Z5" s="1">
        <v>1</v>
      </c>
      <c r="AA5" s="1">
        <v>1</v>
      </c>
      <c r="AB5" s="1">
        <v>0</v>
      </c>
      <c r="AC5" s="1">
        <v>1400</v>
      </c>
      <c r="AD5" s="1">
        <v>1</v>
      </c>
      <c r="AE5" s="1">
        <v>1</v>
      </c>
      <c r="AF5" s="1">
        <v>1</v>
      </c>
      <c r="AG5" s="1">
        <v>0</v>
      </c>
      <c r="AH5" s="1">
        <v>1500</v>
      </c>
      <c r="AI5" s="1">
        <v>555</v>
      </c>
      <c r="AJ5" s="1">
        <v>15</v>
      </c>
      <c r="AK5" s="1">
        <v>8862</v>
      </c>
      <c r="AL5" s="1">
        <v>0.1</v>
      </c>
      <c r="AM5" s="1">
        <v>1598</v>
      </c>
      <c r="AN5" s="1">
        <v>3363</v>
      </c>
      <c r="AO5" s="1">
        <v>29</v>
      </c>
      <c r="AP5" s="1">
        <v>103814</v>
      </c>
      <c r="AQ5" s="1">
        <v>1.2</v>
      </c>
      <c r="AR5" s="1">
        <v>1740</v>
      </c>
      <c r="AS5" s="1">
        <v>1403</v>
      </c>
      <c r="AT5" s="1">
        <v>147</v>
      </c>
      <c r="AU5" s="1">
        <v>219537</v>
      </c>
      <c r="AV5" s="1">
        <v>2.5</v>
      </c>
    </row>
    <row r="6" spans="1:48">
      <c r="A6" s="1" t="s">
        <v>56</v>
      </c>
      <c r="B6" s="1" t="s">
        <v>57</v>
      </c>
      <c r="C6" s="1">
        <v>0.98530499999999999</v>
      </c>
      <c r="D6" s="1">
        <v>1369</v>
      </c>
      <c r="E6" s="1">
        <v>25703</v>
      </c>
      <c r="F6" s="1">
        <v>320</v>
      </c>
      <c r="G6" s="1">
        <v>8755199</v>
      </c>
      <c r="H6" s="1">
        <v>72</v>
      </c>
      <c r="I6" s="1">
        <v>1592</v>
      </c>
      <c r="J6" s="1">
        <v>26285</v>
      </c>
      <c r="K6" s="1">
        <v>100</v>
      </c>
      <c r="L6" s="1">
        <v>2797952</v>
      </c>
      <c r="M6" s="1">
        <v>23</v>
      </c>
      <c r="N6" s="1">
        <v>1045</v>
      </c>
      <c r="O6" s="1">
        <v>1035</v>
      </c>
      <c r="P6" s="1">
        <v>85</v>
      </c>
      <c r="Q6" s="1">
        <v>93646</v>
      </c>
      <c r="R6" s="1">
        <v>0.8</v>
      </c>
      <c r="S6" s="1">
        <v>1154</v>
      </c>
      <c r="T6" s="1">
        <v>75</v>
      </c>
      <c r="U6" s="1">
        <v>1</v>
      </c>
      <c r="V6" s="1">
        <v>80</v>
      </c>
      <c r="W6" s="1">
        <v>0</v>
      </c>
      <c r="X6" s="1">
        <v>1270</v>
      </c>
      <c r="Y6" s="1">
        <v>1</v>
      </c>
      <c r="Z6" s="1">
        <v>1</v>
      </c>
      <c r="AA6" s="1">
        <v>1</v>
      </c>
      <c r="AB6" s="1">
        <v>0</v>
      </c>
      <c r="AC6" s="1">
        <v>1400</v>
      </c>
      <c r="AD6" s="1">
        <v>1</v>
      </c>
      <c r="AE6" s="1">
        <v>1</v>
      </c>
      <c r="AF6" s="1">
        <v>1</v>
      </c>
      <c r="AG6" s="1">
        <v>0</v>
      </c>
      <c r="AH6" s="1">
        <v>1500</v>
      </c>
      <c r="AI6" s="1">
        <v>577</v>
      </c>
      <c r="AJ6" s="1">
        <v>25</v>
      </c>
      <c r="AK6" s="1">
        <v>15355</v>
      </c>
      <c r="AL6" s="1">
        <v>0.1</v>
      </c>
      <c r="AM6" s="1">
        <v>1592</v>
      </c>
      <c r="AN6" s="1">
        <v>3635</v>
      </c>
      <c r="AO6" s="1">
        <v>29</v>
      </c>
      <c r="AP6" s="1">
        <v>112211</v>
      </c>
      <c r="AQ6" s="1">
        <v>0.9</v>
      </c>
      <c r="AR6" s="1">
        <v>1748</v>
      </c>
      <c r="AS6" s="1">
        <v>1915</v>
      </c>
      <c r="AT6" s="1">
        <v>189</v>
      </c>
      <c r="AU6" s="1">
        <v>385268</v>
      </c>
      <c r="AV6" s="1">
        <v>3.2</v>
      </c>
    </row>
    <row r="7" spans="1:48">
      <c r="A7" s="1" t="s">
        <v>58</v>
      </c>
      <c r="B7" s="1" t="s">
        <v>59</v>
      </c>
      <c r="C7" s="1">
        <v>0.98280000000000001</v>
      </c>
      <c r="D7" s="1">
        <v>1365</v>
      </c>
      <c r="E7" s="1">
        <v>40141</v>
      </c>
      <c r="F7" s="1">
        <v>300</v>
      </c>
      <c r="G7" s="1">
        <v>12818631</v>
      </c>
      <c r="H7" s="1">
        <v>71.8</v>
      </c>
      <c r="I7" s="1">
        <v>1592</v>
      </c>
      <c r="J7" s="1">
        <v>41441</v>
      </c>
      <c r="K7" s="1">
        <v>100</v>
      </c>
      <c r="L7" s="1">
        <v>4411258</v>
      </c>
      <c r="M7" s="1">
        <v>24.7</v>
      </c>
      <c r="N7" s="1">
        <v>1069</v>
      </c>
      <c r="O7" s="1">
        <v>1409</v>
      </c>
      <c r="P7" s="1">
        <v>81</v>
      </c>
      <c r="Q7" s="1">
        <v>121487</v>
      </c>
      <c r="R7" s="1">
        <v>0.7</v>
      </c>
      <c r="S7" s="1">
        <v>1152</v>
      </c>
      <c r="T7" s="1">
        <v>133</v>
      </c>
      <c r="U7" s="1">
        <v>5</v>
      </c>
      <c r="V7" s="1">
        <v>708</v>
      </c>
      <c r="W7" s="1">
        <v>0</v>
      </c>
      <c r="X7" s="1">
        <v>1256</v>
      </c>
      <c r="Y7" s="1">
        <v>1</v>
      </c>
      <c r="Z7" s="1">
        <v>1</v>
      </c>
      <c r="AA7" s="1">
        <v>1</v>
      </c>
      <c r="AB7" s="1">
        <v>0</v>
      </c>
      <c r="AC7" s="1">
        <v>1406</v>
      </c>
      <c r="AD7" s="1">
        <v>1</v>
      </c>
      <c r="AE7" s="1">
        <v>1</v>
      </c>
      <c r="AF7" s="1">
        <v>1</v>
      </c>
      <c r="AG7" s="1">
        <v>0</v>
      </c>
      <c r="AH7" s="1">
        <v>1506</v>
      </c>
      <c r="AI7" s="1">
        <v>1283</v>
      </c>
      <c r="AJ7" s="1">
        <v>35</v>
      </c>
      <c r="AK7" s="1">
        <v>47800</v>
      </c>
      <c r="AL7" s="1">
        <v>0.3</v>
      </c>
      <c r="AM7" s="1">
        <v>1594</v>
      </c>
      <c r="AN7" s="1">
        <v>7009</v>
      </c>
      <c r="AO7" s="1">
        <v>29</v>
      </c>
      <c r="AP7" s="1">
        <v>216365</v>
      </c>
      <c r="AQ7" s="1">
        <v>1.2</v>
      </c>
      <c r="AR7" s="1">
        <v>1724</v>
      </c>
      <c r="AS7" s="1">
        <v>2883</v>
      </c>
      <c r="AT7" s="1">
        <v>79</v>
      </c>
      <c r="AU7" s="1">
        <v>242440</v>
      </c>
      <c r="AV7" s="1">
        <v>1.4</v>
      </c>
    </row>
    <row r="8" spans="1:48">
      <c r="A8" s="1" t="s">
        <v>60</v>
      </c>
      <c r="B8" s="1" t="s">
        <v>61</v>
      </c>
      <c r="C8" s="1">
        <v>0.981734</v>
      </c>
      <c r="D8" s="1">
        <v>1369</v>
      </c>
      <c r="E8" s="1">
        <v>60665</v>
      </c>
      <c r="F8" s="1">
        <v>306</v>
      </c>
      <c r="G8" s="1">
        <v>19760223</v>
      </c>
      <c r="H8" s="1">
        <v>70.5</v>
      </c>
      <c r="I8" s="1">
        <v>1592</v>
      </c>
      <c r="J8" s="1">
        <v>60023</v>
      </c>
      <c r="K8" s="1">
        <v>100</v>
      </c>
      <c r="L8" s="1">
        <v>6389251</v>
      </c>
      <c r="M8" s="1">
        <v>22.8</v>
      </c>
      <c r="N8" s="1">
        <v>1041</v>
      </c>
      <c r="O8" s="1">
        <v>3335</v>
      </c>
      <c r="P8" s="1">
        <v>69</v>
      </c>
      <c r="Q8" s="1">
        <v>244950</v>
      </c>
      <c r="R8" s="1">
        <v>0.9</v>
      </c>
      <c r="S8" s="1">
        <v>1152</v>
      </c>
      <c r="T8" s="1">
        <v>1779</v>
      </c>
      <c r="U8" s="1">
        <v>25</v>
      </c>
      <c r="V8" s="1">
        <v>47342</v>
      </c>
      <c r="W8" s="1">
        <v>0.2</v>
      </c>
      <c r="X8" s="1">
        <v>1256</v>
      </c>
      <c r="Y8" s="1">
        <v>1</v>
      </c>
      <c r="Z8" s="1">
        <v>1</v>
      </c>
      <c r="AA8" s="1">
        <v>1</v>
      </c>
      <c r="AB8" s="1">
        <v>0</v>
      </c>
      <c r="AC8" s="1">
        <v>1406</v>
      </c>
      <c r="AD8" s="1">
        <v>1</v>
      </c>
      <c r="AE8" s="1">
        <v>1</v>
      </c>
      <c r="AF8" s="1">
        <v>1</v>
      </c>
      <c r="AG8" s="1">
        <v>0</v>
      </c>
      <c r="AH8" s="1">
        <v>1506</v>
      </c>
      <c r="AI8" s="1">
        <v>1415</v>
      </c>
      <c r="AJ8" s="1">
        <v>31</v>
      </c>
      <c r="AK8" s="1">
        <v>46693</v>
      </c>
      <c r="AL8" s="1">
        <v>0.2</v>
      </c>
      <c r="AM8" s="1">
        <v>1596</v>
      </c>
      <c r="AN8" s="1">
        <v>9999</v>
      </c>
      <c r="AO8" s="1">
        <v>31</v>
      </c>
      <c r="AP8" s="1">
        <v>329952</v>
      </c>
      <c r="AQ8" s="1">
        <v>1.2</v>
      </c>
      <c r="AR8" s="1">
        <v>1738</v>
      </c>
      <c r="AS8" s="1">
        <v>5679</v>
      </c>
      <c r="AT8" s="1">
        <v>197</v>
      </c>
      <c r="AU8" s="1">
        <v>1190886</v>
      </c>
      <c r="AV8" s="1">
        <v>4.3</v>
      </c>
    </row>
    <row r="9" spans="1:48">
      <c r="A9" s="1" t="s">
        <v>62</v>
      </c>
      <c r="B9" s="1" t="s">
        <v>63</v>
      </c>
      <c r="C9" s="1">
        <v>0.98383200000000004</v>
      </c>
      <c r="D9" s="1">
        <v>1367</v>
      </c>
      <c r="E9" s="1">
        <v>27023</v>
      </c>
      <c r="F9" s="1">
        <v>310</v>
      </c>
      <c r="G9" s="1">
        <v>8917179</v>
      </c>
      <c r="H9" s="1">
        <v>73.900000000000006</v>
      </c>
      <c r="I9" s="1">
        <v>1590</v>
      </c>
      <c r="J9" s="1">
        <v>24985</v>
      </c>
      <c r="K9" s="1">
        <v>100</v>
      </c>
      <c r="L9" s="1">
        <v>2659571</v>
      </c>
      <c r="M9" s="1">
        <v>22</v>
      </c>
      <c r="N9" s="1">
        <v>1045</v>
      </c>
      <c r="O9" s="1">
        <v>1455</v>
      </c>
      <c r="P9" s="1">
        <v>85</v>
      </c>
      <c r="Q9" s="1">
        <v>131648</v>
      </c>
      <c r="R9" s="1">
        <v>1.1000000000000001</v>
      </c>
      <c r="S9" s="1">
        <v>1186</v>
      </c>
      <c r="T9" s="1">
        <v>1</v>
      </c>
      <c r="U9" s="1">
        <v>1</v>
      </c>
      <c r="V9" s="1">
        <v>1</v>
      </c>
      <c r="W9" s="1">
        <v>0</v>
      </c>
      <c r="X9" s="1">
        <v>1256</v>
      </c>
      <c r="Y9" s="1">
        <v>1</v>
      </c>
      <c r="Z9" s="1">
        <v>1</v>
      </c>
      <c r="AA9" s="1">
        <v>1</v>
      </c>
      <c r="AB9" s="1">
        <v>0</v>
      </c>
      <c r="AC9" s="1">
        <v>1406</v>
      </c>
      <c r="AD9" s="1">
        <v>1</v>
      </c>
      <c r="AE9" s="1">
        <v>1</v>
      </c>
      <c r="AF9" s="1">
        <v>1</v>
      </c>
      <c r="AG9" s="1">
        <v>0</v>
      </c>
      <c r="AH9" s="1">
        <v>1506</v>
      </c>
      <c r="AI9" s="1">
        <v>671</v>
      </c>
      <c r="AJ9" s="1">
        <v>21</v>
      </c>
      <c r="AK9" s="1">
        <v>14999</v>
      </c>
      <c r="AL9" s="1">
        <v>0.1</v>
      </c>
      <c r="AM9" s="1">
        <v>1598</v>
      </c>
      <c r="AN9" s="1">
        <v>4939</v>
      </c>
      <c r="AO9" s="1">
        <v>33</v>
      </c>
      <c r="AP9" s="1">
        <v>173494</v>
      </c>
      <c r="AQ9" s="1">
        <v>1.4</v>
      </c>
      <c r="AR9" s="1">
        <v>1724</v>
      </c>
      <c r="AS9" s="1">
        <v>1581</v>
      </c>
      <c r="AT9" s="1">
        <v>99</v>
      </c>
      <c r="AU9" s="1">
        <v>166609</v>
      </c>
      <c r="AV9" s="1">
        <v>1.4</v>
      </c>
    </row>
    <row r="10" spans="1:48">
      <c r="A10" s="1" t="s">
        <v>64</v>
      </c>
      <c r="B10" s="1" t="s">
        <v>65</v>
      </c>
      <c r="C10" s="1">
        <v>0.98274600000000001</v>
      </c>
      <c r="D10" s="1">
        <v>1365</v>
      </c>
      <c r="E10" s="1">
        <v>57323</v>
      </c>
      <c r="F10" s="1">
        <v>308</v>
      </c>
      <c r="G10" s="1">
        <v>18793681</v>
      </c>
      <c r="H10" s="1">
        <v>71.7</v>
      </c>
      <c r="I10" s="1">
        <v>1590</v>
      </c>
      <c r="J10" s="1">
        <v>55439</v>
      </c>
      <c r="K10" s="1">
        <v>100</v>
      </c>
      <c r="L10" s="1">
        <v>5901299</v>
      </c>
      <c r="M10" s="1">
        <v>22.5</v>
      </c>
      <c r="N10" s="1">
        <v>1041</v>
      </c>
      <c r="O10" s="1">
        <v>2965</v>
      </c>
      <c r="P10" s="1">
        <v>75</v>
      </c>
      <c r="Q10" s="1">
        <v>236711</v>
      </c>
      <c r="R10" s="1">
        <v>0.9</v>
      </c>
      <c r="S10" s="1">
        <v>1152</v>
      </c>
      <c r="T10" s="1">
        <v>7</v>
      </c>
      <c r="U10" s="1">
        <v>5</v>
      </c>
      <c r="V10" s="1">
        <v>37</v>
      </c>
      <c r="W10" s="1">
        <v>0</v>
      </c>
      <c r="X10" s="1">
        <v>1256</v>
      </c>
      <c r="Y10" s="1">
        <v>1</v>
      </c>
      <c r="Z10" s="1">
        <v>1</v>
      </c>
      <c r="AA10" s="1">
        <v>1</v>
      </c>
      <c r="AB10" s="1">
        <v>0</v>
      </c>
      <c r="AC10" s="1">
        <v>1406</v>
      </c>
      <c r="AD10" s="1">
        <v>1</v>
      </c>
      <c r="AE10" s="1">
        <v>1</v>
      </c>
      <c r="AF10" s="1">
        <v>1</v>
      </c>
      <c r="AG10" s="1">
        <v>0</v>
      </c>
      <c r="AH10" s="1">
        <v>1506</v>
      </c>
      <c r="AI10" s="1">
        <v>727</v>
      </c>
      <c r="AJ10" s="1">
        <v>29</v>
      </c>
      <c r="AK10" s="1">
        <v>22442</v>
      </c>
      <c r="AL10" s="1">
        <v>0.1</v>
      </c>
      <c r="AM10" s="1">
        <v>1598</v>
      </c>
      <c r="AN10" s="1">
        <v>9999</v>
      </c>
      <c r="AO10" s="1">
        <v>35</v>
      </c>
      <c r="AP10" s="1">
        <v>372526</v>
      </c>
      <c r="AQ10" s="1">
        <v>1.4</v>
      </c>
      <c r="AR10" s="1">
        <v>1730</v>
      </c>
      <c r="AS10" s="1">
        <v>4479</v>
      </c>
      <c r="AT10" s="1">
        <v>189</v>
      </c>
      <c r="AU10" s="1">
        <v>901104</v>
      </c>
      <c r="AV10" s="1">
        <v>3.4</v>
      </c>
    </row>
    <row r="11" spans="1:48">
      <c r="A11" s="1" t="s">
        <v>66</v>
      </c>
      <c r="B11" s="1" t="s">
        <v>67</v>
      </c>
      <c r="C11" s="1">
        <v>0.98045300000000002</v>
      </c>
      <c r="D11" s="1">
        <v>1367</v>
      </c>
      <c r="E11" s="1">
        <v>49299</v>
      </c>
      <c r="F11" s="1">
        <v>298</v>
      </c>
      <c r="G11" s="1">
        <v>15638194</v>
      </c>
      <c r="H11" s="1">
        <v>70.8</v>
      </c>
      <c r="I11" s="1">
        <v>1592</v>
      </c>
      <c r="J11" s="1">
        <v>51379</v>
      </c>
      <c r="K11" s="1">
        <v>100</v>
      </c>
      <c r="L11" s="1">
        <v>5469125</v>
      </c>
      <c r="M11" s="1">
        <v>24.8</v>
      </c>
      <c r="N11" s="1">
        <v>1073</v>
      </c>
      <c r="O11" s="1">
        <v>1253</v>
      </c>
      <c r="P11" s="1">
        <v>97</v>
      </c>
      <c r="Q11" s="1">
        <v>129376</v>
      </c>
      <c r="R11" s="1">
        <v>0.6</v>
      </c>
      <c r="S11" s="1">
        <v>1152</v>
      </c>
      <c r="T11" s="1">
        <v>27</v>
      </c>
      <c r="U11" s="1">
        <v>5</v>
      </c>
      <c r="V11" s="1">
        <v>144</v>
      </c>
      <c r="W11" s="1">
        <v>0</v>
      </c>
      <c r="X11" s="1">
        <v>1256</v>
      </c>
      <c r="Y11" s="1">
        <v>1</v>
      </c>
      <c r="Z11" s="1">
        <v>1</v>
      </c>
      <c r="AA11" s="1">
        <v>1</v>
      </c>
      <c r="AB11" s="1">
        <v>0</v>
      </c>
      <c r="AC11" s="1">
        <v>1406</v>
      </c>
      <c r="AD11" s="1">
        <v>1</v>
      </c>
      <c r="AE11" s="1">
        <v>1</v>
      </c>
      <c r="AF11" s="1">
        <v>1</v>
      </c>
      <c r="AG11" s="1">
        <v>0</v>
      </c>
      <c r="AH11" s="1">
        <v>1506</v>
      </c>
      <c r="AI11" s="1">
        <v>825</v>
      </c>
      <c r="AJ11" s="1">
        <v>35</v>
      </c>
      <c r="AK11" s="1">
        <v>30736</v>
      </c>
      <c r="AL11" s="1">
        <v>0.1</v>
      </c>
      <c r="AM11" s="1">
        <v>1598</v>
      </c>
      <c r="AN11" s="1">
        <v>9935</v>
      </c>
      <c r="AO11" s="1">
        <v>29</v>
      </c>
      <c r="AP11" s="1">
        <v>306689</v>
      </c>
      <c r="AQ11" s="1">
        <v>1.4</v>
      </c>
      <c r="AR11" s="1">
        <v>1730</v>
      </c>
      <c r="AS11" s="1">
        <v>4261</v>
      </c>
      <c r="AT11" s="1">
        <v>115</v>
      </c>
      <c r="AU11" s="1">
        <v>521605</v>
      </c>
      <c r="AV11" s="1">
        <v>2.4</v>
      </c>
    </row>
    <row r="12" spans="1:48">
      <c r="A12" s="1" t="s">
        <v>68</v>
      </c>
      <c r="B12" s="1" t="s">
        <v>69</v>
      </c>
      <c r="C12" s="1">
        <v>0.99000200000000005</v>
      </c>
      <c r="D12" s="1">
        <v>1369</v>
      </c>
      <c r="E12" s="1">
        <v>12263</v>
      </c>
      <c r="F12" s="1">
        <v>340</v>
      </c>
      <c r="G12" s="1">
        <v>4438210</v>
      </c>
      <c r="H12" s="1">
        <v>71.3</v>
      </c>
      <c r="I12" s="1">
        <v>1588</v>
      </c>
      <c r="J12" s="1">
        <v>13401</v>
      </c>
      <c r="K12" s="1">
        <v>104</v>
      </c>
      <c r="L12" s="1">
        <v>1483552</v>
      </c>
      <c r="M12" s="1">
        <v>23.8</v>
      </c>
      <c r="N12" s="1">
        <v>1035</v>
      </c>
      <c r="O12" s="1">
        <v>473</v>
      </c>
      <c r="P12" s="1">
        <v>65</v>
      </c>
      <c r="Q12" s="1">
        <v>32727</v>
      </c>
      <c r="R12" s="1">
        <v>0.5</v>
      </c>
      <c r="S12" s="1">
        <v>1186</v>
      </c>
      <c r="T12" s="1">
        <v>1</v>
      </c>
      <c r="U12" s="1">
        <v>1</v>
      </c>
      <c r="V12" s="1">
        <v>1</v>
      </c>
      <c r="W12" s="1">
        <v>0</v>
      </c>
      <c r="X12" s="1">
        <v>1256</v>
      </c>
      <c r="Y12" s="1">
        <v>1</v>
      </c>
      <c r="Z12" s="1">
        <v>1</v>
      </c>
      <c r="AA12" s="1">
        <v>1</v>
      </c>
      <c r="AB12" s="1">
        <v>0</v>
      </c>
      <c r="AC12" s="1">
        <v>1440</v>
      </c>
      <c r="AD12" s="1">
        <v>15</v>
      </c>
      <c r="AE12" s="1">
        <v>157</v>
      </c>
      <c r="AF12" s="1">
        <v>2507</v>
      </c>
      <c r="AG12" s="1">
        <v>0</v>
      </c>
      <c r="AH12" s="1">
        <v>1506</v>
      </c>
      <c r="AI12" s="1">
        <v>313</v>
      </c>
      <c r="AJ12" s="1">
        <v>31</v>
      </c>
      <c r="AK12" s="1">
        <v>10329</v>
      </c>
      <c r="AL12" s="1">
        <v>0.2</v>
      </c>
      <c r="AM12" s="1">
        <v>1598</v>
      </c>
      <c r="AN12" s="1">
        <v>475</v>
      </c>
      <c r="AO12" s="1">
        <v>25</v>
      </c>
      <c r="AP12" s="1">
        <v>12641</v>
      </c>
      <c r="AQ12" s="1">
        <v>0.2</v>
      </c>
      <c r="AR12" s="1">
        <v>1726</v>
      </c>
      <c r="AS12" s="1">
        <v>1495</v>
      </c>
      <c r="AT12" s="1">
        <v>153</v>
      </c>
      <c r="AU12" s="1">
        <v>243481</v>
      </c>
      <c r="AV12" s="1">
        <v>3.9</v>
      </c>
    </row>
    <row r="13" spans="1:48">
      <c r="A13" s="1" t="s">
        <v>70</v>
      </c>
      <c r="B13" s="1" t="s">
        <v>71</v>
      </c>
      <c r="C13" s="1">
        <v>0.97827200000000003</v>
      </c>
      <c r="D13" s="1">
        <v>1369</v>
      </c>
      <c r="E13" s="1">
        <v>17359</v>
      </c>
      <c r="F13" s="1">
        <v>326</v>
      </c>
      <c r="G13" s="1">
        <v>6023855</v>
      </c>
      <c r="H13" s="1">
        <v>64.7</v>
      </c>
      <c r="I13" s="1">
        <v>1588</v>
      </c>
      <c r="J13" s="1">
        <v>19315</v>
      </c>
      <c r="K13" s="1">
        <v>112</v>
      </c>
      <c r="L13" s="1">
        <v>2302740</v>
      </c>
      <c r="M13" s="1">
        <v>24.7</v>
      </c>
      <c r="N13" s="1">
        <v>1017</v>
      </c>
      <c r="O13" s="1">
        <v>669</v>
      </c>
      <c r="P13" s="1">
        <v>39</v>
      </c>
      <c r="Q13" s="1">
        <v>27773</v>
      </c>
      <c r="R13" s="1">
        <v>0.3</v>
      </c>
      <c r="S13" s="1">
        <v>1152</v>
      </c>
      <c r="T13" s="1">
        <v>195</v>
      </c>
      <c r="U13" s="1">
        <v>5</v>
      </c>
      <c r="V13" s="1">
        <v>1038</v>
      </c>
      <c r="W13" s="1">
        <v>0</v>
      </c>
      <c r="X13" s="1">
        <v>1256</v>
      </c>
      <c r="Y13" s="1">
        <v>1</v>
      </c>
      <c r="Z13" s="1">
        <v>1</v>
      </c>
      <c r="AA13" s="1">
        <v>1</v>
      </c>
      <c r="AB13" s="1">
        <v>0</v>
      </c>
      <c r="AC13" s="1">
        <v>1440</v>
      </c>
      <c r="AD13" s="1">
        <v>593</v>
      </c>
      <c r="AE13" s="1">
        <v>109</v>
      </c>
      <c r="AF13" s="1">
        <v>68804</v>
      </c>
      <c r="AG13" s="1">
        <v>0.7</v>
      </c>
      <c r="AH13" s="1">
        <v>1506</v>
      </c>
      <c r="AI13" s="1">
        <v>697</v>
      </c>
      <c r="AJ13" s="1">
        <v>93</v>
      </c>
      <c r="AK13" s="1">
        <v>69000</v>
      </c>
      <c r="AL13" s="1">
        <v>0.7</v>
      </c>
      <c r="AM13" s="1">
        <v>1582</v>
      </c>
      <c r="AN13" s="1">
        <v>685</v>
      </c>
      <c r="AO13" s="1">
        <v>5</v>
      </c>
      <c r="AP13" s="1">
        <v>3646</v>
      </c>
      <c r="AQ13" s="1">
        <v>0</v>
      </c>
      <c r="AR13" s="1">
        <v>1742</v>
      </c>
      <c r="AS13" s="1">
        <v>3839</v>
      </c>
      <c r="AT13" s="1">
        <v>199</v>
      </c>
      <c r="AU13" s="1">
        <v>813211</v>
      </c>
      <c r="AV13" s="1">
        <v>8.6999999999999993</v>
      </c>
    </row>
    <row r="14" spans="1:48">
      <c r="A14" s="1" t="s">
        <v>72</v>
      </c>
      <c r="B14" s="1" t="s">
        <v>73</v>
      </c>
      <c r="C14" s="1">
        <v>0.98387899999999995</v>
      </c>
      <c r="D14" s="1">
        <v>1369</v>
      </c>
      <c r="E14" s="1">
        <v>12801</v>
      </c>
      <c r="F14" s="1">
        <v>302</v>
      </c>
      <c r="G14" s="1">
        <v>4115125</v>
      </c>
      <c r="H14" s="1">
        <v>64.2</v>
      </c>
      <c r="I14" s="1">
        <v>1588</v>
      </c>
      <c r="J14" s="1">
        <v>16109</v>
      </c>
      <c r="K14" s="1">
        <v>112</v>
      </c>
      <c r="L14" s="1">
        <v>1920520</v>
      </c>
      <c r="M14" s="1">
        <v>30</v>
      </c>
      <c r="N14" s="1">
        <v>1043</v>
      </c>
      <c r="O14" s="1">
        <v>483</v>
      </c>
      <c r="P14" s="1">
        <v>7</v>
      </c>
      <c r="Q14" s="1">
        <v>3599</v>
      </c>
      <c r="R14" s="1">
        <v>0.1</v>
      </c>
      <c r="S14" s="1">
        <v>1170</v>
      </c>
      <c r="T14" s="1">
        <v>281</v>
      </c>
      <c r="U14" s="1">
        <v>5</v>
      </c>
      <c r="V14" s="1">
        <v>1496</v>
      </c>
      <c r="W14" s="1">
        <v>0</v>
      </c>
      <c r="X14" s="1">
        <v>1256</v>
      </c>
      <c r="Y14" s="1">
        <v>1</v>
      </c>
      <c r="Z14" s="1">
        <v>1</v>
      </c>
      <c r="AA14" s="1">
        <v>1</v>
      </c>
      <c r="AB14" s="1">
        <v>0</v>
      </c>
      <c r="AC14" s="1">
        <v>1440</v>
      </c>
      <c r="AD14" s="1">
        <v>83</v>
      </c>
      <c r="AE14" s="1">
        <v>111</v>
      </c>
      <c r="AF14" s="1">
        <v>9807</v>
      </c>
      <c r="AG14" s="1">
        <v>0.2</v>
      </c>
      <c r="AH14" s="1">
        <v>1486</v>
      </c>
      <c r="AI14" s="1">
        <v>1295</v>
      </c>
      <c r="AJ14" s="1">
        <v>43</v>
      </c>
      <c r="AK14" s="1">
        <v>59275</v>
      </c>
      <c r="AL14" s="1">
        <v>0.9</v>
      </c>
      <c r="AM14" s="1">
        <v>1598</v>
      </c>
      <c r="AN14" s="1">
        <v>1611</v>
      </c>
      <c r="AO14" s="1">
        <v>21</v>
      </c>
      <c r="AP14" s="1">
        <v>36012</v>
      </c>
      <c r="AQ14" s="1">
        <v>0.6</v>
      </c>
      <c r="AR14" s="1">
        <v>1732</v>
      </c>
      <c r="AS14" s="1">
        <v>2247</v>
      </c>
      <c r="AT14" s="1">
        <v>111</v>
      </c>
      <c r="AU14" s="1">
        <v>265496</v>
      </c>
      <c r="AV14" s="1">
        <v>4.0999999999999996</v>
      </c>
    </row>
    <row r="15" spans="1:48">
      <c r="A15" s="1" t="s">
        <v>74</v>
      </c>
      <c r="B15" s="1" t="s">
        <v>75</v>
      </c>
      <c r="C15" s="1">
        <v>0.986043</v>
      </c>
      <c r="D15" s="1">
        <v>1369</v>
      </c>
      <c r="E15" s="1">
        <v>12837</v>
      </c>
      <c r="F15" s="1">
        <v>340</v>
      </c>
      <c r="G15" s="1">
        <v>4645952</v>
      </c>
      <c r="H15" s="1">
        <v>73.099999999999994</v>
      </c>
      <c r="I15" s="1">
        <v>1586</v>
      </c>
      <c r="J15" s="1">
        <v>12619</v>
      </c>
      <c r="K15" s="1">
        <v>100</v>
      </c>
      <c r="L15" s="1">
        <v>1343251</v>
      </c>
      <c r="M15" s="1">
        <v>21.1</v>
      </c>
      <c r="N15" s="1">
        <v>1049</v>
      </c>
      <c r="O15" s="1">
        <v>475</v>
      </c>
      <c r="P15" s="1">
        <v>73</v>
      </c>
      <c r="Q15" s="1">
        <v>36910</v>
      </c>
      <c r="R15" s="1">
        <v>0.6</v>
      </c>
      <c r="S15" s="1">
        <v>1186</v>
      </c>
      <c r="T15" s="1">
        <v>1</v>
      </c>
      <c r="U15" s="1">
        <v>1</v>
      </c>
      <c r="V15" s="1">
        <v>1</v>
      </c>
      <c r="W15" s="1">
        <v>0</v>
      </c>
      <c r="X15" s="1">
        <v>1256</v>
      </c>
      <c r="Y15" s="1">
        <v>1</v>
      </c>
      <c r="Z15" s="1">
        <v>1</v>
      </c>
      <c r="AA15" s="1">
        <v>1</v>
      </c>
      <c r="AB15" s="1">
        <v>0</v>
      </c>
      <c r="AC15" s="1">
        <v>1404</v>
      </c>
      <c r="AD15" s="1">
        <v>29</v>
      </c>
      <c r="AE15" s="1">
        <v>147</v>
      </c>
      <c r="AF15" s="1">
        <v>4538</v>
      </c>
      <c r="AG15" s="1">
        <v>0.1</v>
      </c>
      <c r="AH15" s="1">
        <v>1506</v>
      </c>
      <c r="AI15" s="1">
        <v>479</v>
      </c>
      <c r="AJ15" s="1">
        <v>21</v>
      </c>
      <c r="AK15" s="1">
        <v>10707</v>
      </c>
      <c r="AL15" s="1">
        <v>0.2</v>
      </c>
      <c r="AM15" s="1">
        <v>1598</v>
      </c>
      <c r="AN15" s="1">
        <v>685</v>
      </c>
      <c r="AO15" s="1">
        <v>25</v>
      </c>
      <c r="AP15" s="1">
        <v>18229</v>
      </c>
      <c r="AQ15" s="1">
        <v>0.3</v>
      </c>
      <c r="AR15" s="1">
        <v>1732</v>
      </c>
      <c r="AS15" s="1">
        <v>1383</v>
      </c>
      <c r="AT15" s="1">
        <v>199</v>
      </c>
      <c r="AU15" s="1">
        <v>292959</v>
      </c>
      <c r="AV15" s="1">
        <v>4.5999999999999996</v>
      </c>
    </row>
    <row r="16" spans="1:48">
      <c r="A16" s="1" t="s">
        <v>76</v>
      </c>
      <c r="B16" s="1" t="s">
        <v>77</v>
      </c>
      <c r="C16" s="1">
        <v>0.99207500000000004</v>
      </c>
      <c r="D16" s="1">
        <v>1369</v>
      </c>
      <c r="E16" s="1">
        <v>12759</v>
      </c>
      <c r="F16" s="1">
        <v>332</v>
      </c>
      <c r="G16" s="1">
        <v>4509070</v>
      </c>
      <c r="H16" s="1">
        <v>71.900000000000006</v>
      </c>
      <c r="I16" s="1">
        <v>1588</v>
      </c>
      <c r="J16" s="1">
        <v>13303</v>
      </c>
      <c r="K16" s="1">
        <v>102</v>
      </c>
      <c r="L16" s="1">
        <v>1444382</v>
      </c>
      <c r="M16" s="1">
        <v>23</v>
      </c>
      <c r="N16" s="1">
        <v>1035</v>
      </c>
      <c r="O16" s="1">
        <v>441</v>
      </c>
      <c r="P16" s="1">
        <v>69</v>
      </c>
      <c r="Q16" s="1">
        <v>32391</v>
      </c>
      <c r="R16" s="1">
        <v>0.5</v>
      </c>
      <c r="S16" s="1">
        <v>1186</v>
      </c>
      <c r="T16" s="1">
        <v>1</v>
      </c>
      <c r="U16" s="1">
        <v>1</v>
      </c>
      <c r="V16" s="1">
        <v>1</v>
      </c>
      <c r="W16" s="1">
        <v>0</v>
      </c>
      <c r="X16" s="1">
        <v>1256</v>
      </c>
      <c r="Y16" s="1">
        <v>1203</v>
      </c>
      <c r="Z16" s="1">
        <v>1</v>
      </c>
      <c r="AA16" s="1">
        <v>1281</v>
      </c>
      <c r="AB16" s="1">
        <v>0</v>
      </c>
      <c r="AC16" s="1">
        <v>1456</v>
      </c>
      <c r="AD16" s="1">
        <v>63</v>
      </c>
      <c r="AE16" s="1">
        <v>1</v>
      </c>
      <c r="AF16" s="1">
        <v>67</v>
      </c>
      <c r="AG16" s="1">
        <v>0</v>
      </c>
      <c r="AH16" s="1">
        <v>1506</v>
      </c>
      <c r="AI16" s="1">
        <v>327</v>
      </c>
      <c r="AJ16" s="1">
        <v>27</v>
      </c>
      <c r="AK16" s="1">
        <v>9398</v>
      </c>
      <c r="AL16" s="1">
        <v>0.1</v>
      </c>
      <c r="AM16" s="1">
        <v>1598</v>
      </c>
      <c r="AN16" s="1">
        <v>1393</v>
      </c>
      <c r="AO16" s="1">
        <v>25</v>
      </c>
      <c r="AP16" s="1">
        <v>37070</v>
      </c>
      <c r="AQ16" s="1">
        <v>0.6</v>
      </c>
      <c r="AR16" s="1">
        <v>1720</v>
      </c>
      <c r="AS16" s="1">
        <v>1807</v>
      </c>
      <c r="AT16" s="1">
        <v>123</v>
      </c>
      <c r="AU16" s="1">
        <v>236590</v>
      </c>
      <c r="AV16" s="1">
        <v>3.8</v>
      </c>
    </row>
    <row r="17" spans="1:48">
      <c r="A17" s="1" t="s">
        <v>78</v>
      </c>
      <c r="B17" s="1" t="s">
        <v>79</v>
      </c>
      <c r="C17" s="1">
        <v>0.98910600000000004</v>
      </c>
      <c r="D17" s="1">
        <v>1369</v>
      </c>
      <c r="E17" s="1">
        <v>4457</v>
      </c>
      <c r="F17" s="1">
        <v>326</v>
      </c>
      <c r="G17" s="1">
        <v>1546651</v>
      </c>
      <c r="H17" s="1">
        <v>75.599999999999994</v>
      </c>
      <c r="I17" s="1">
        <v>1588</v>
      </c>
      <c r="J17" s="1">
        <v>4075</v>
      </c>
      <c r="K17" s="1">
        <v>102</v>
      </c>
      <c r="L17" s="1">
        <v>442446</v>
      </c>
      <c r="M17" s="1">
        <v>21.6</v>
      </c>
      <c r="N17" s="1">
        <v>1027</v>
      </c>
      <c r="O17" s="1">
        <v>181</v>
      </c>
      <c r="P17" s="1">
        <v>65</v>
      </c>
      <c r="Q17" s="1">
        <v>12523</v>
      </c>
      <c r="R17" s="1">
        <v>0.6</v>
      </c>
      <c r="S17" s="1">
        <v>1186</v>
      </c>
      <c r="T17" s="1">
        <v>1</v>
      </c>
      <c r="U17" s="1">
        <v>1</v>
      </c>
      <c r="V17" s="1">
        <v>1</v>
      </c>
      <c r="W17" s="1">
        <v>0</v>
      </c>
      <c r="X17" s="1">
        <v>1296</v>
      </c>
      <c r="Y17" s="1">
        <v>11</v>
      </c>
      <c r="Z17" s="1">
        <v>1</v>
      </c>
      <c r="AA17" s="1">
        <v>12</v>
      </c>
      <c r="AB17" s="1">
        <v>0</v>
      </c>
      <c r="AC17" s="1">
        <v>1400</v>
      </c>
      <c r="AD17" s="1">
        <v>1</v>
      </c>
      <c r="AE17" s="1">
        <v>1</v>
      </c>
      <c r="AF17" s="1">
        <v>1</v>
      </c>
      <c r="AG17" s="1">
        <v>0</v>
      </c>
      <c r="AH17" s="1">
        <v>1506</v>
      </c>
      <c r="AI17" s="1">
        <v>75</v>
      </c>
      <c r="AJ17" s="1">
        <v>35</v>
      </c>
      <c r="AK17" s="1">
        <v>2794</v>
      </c>
      <c r="AL17" s="1">
        <v>0.1</v>
      </c>
      <c r="AM17" s="1">
        <v>1598</v>
      </c>
      <c r="AN17" s="1">
        <v>355</v>
      </c>
      <c r="AO17" s="1">
        <v>25</v>
      </c>
      <c r="AP17" s="1">
        <v>9447</v>
      </c>
      <c r="AQ17" s="1">
        <v>0.5</v>
      </c>
      <c r="AR17" s="1">
        <v>1724</v>
      </c>
      <c r="AS17" s="1">
        <v>279</v>
      </c>
      <c r="AT17" s="1">
        <v>109</v>
      </c>
      <c r="AU17" s="1">
        <v>32372</v>
      </c>
      <c r="AV17" s="1">
        <v>1.6</v>
      </c>
    </row>
    <row r="18" spans="1:48">
      <c r="A18" s="1" t="s">
        <v>80</v>
      </c>
      <c r="B18" s="1" t="s">
        <v>81</v>
      </c>
      <c r="C18" s="1">
        <v>0.98548999999999998</v>
      </c>
      <c r="D18" s="1">
        <v>1367</v>
      </c>
      <c r="E18" s="1">
        <v>8607</v>
      </c>
      <c r="F18" s="1">
        <v>316</v>
      </c>
      <c r="G18" s="1">
        <v>2895150</v>
      </c>
      <c r="H18" s="1">
        <v>71.900000000000006</v>
      </c>
      <c r="I18" s="1">
        <v>1588</v>
      </c>
      <c r="J18" s="1">
        <v>8185</v>
      </c>
      <c r="K18" s="1">
        <v>104</v>
      </c>
      <c r="L18" s="1">
        <v>906117</v>
      </c>
      <c r="M18" s="1">
        <v>22.5</v>
      </c>
      <c r="N18" s="1">
        <v>1049</v>
      </c>
      <c r="O18" s="1">
        <v>265</v>
      </c>
      <c r="P18" s="1">
        <v>83</v>
      </c>
      <c r="Q18" s="1">
        <v>23413</v>
      </c>
      <c r="R18" s="1">
        <v>0.6</v>
      </c>
      <c r="S18" s="1">
        <v>1152</v>
      </c>
      <c r="T18" s="1">
        <v>31</v>
      </c>
      <c r="U18" s="1">
        <v>1</v>
      </c>
      <c r="V18" s="1">
        <v>33</v>
      </c>
      <c r="W18" s="1">
        <v>0</v>
      </c>
      <c r="X18" s="1">
        <v>1286</v>
      </c>
      <c r="Y18" s="1">
        <v>41</v>
      </c>
      <c r="Z18" s="1">
        <v>1</v>
      </c>
      <c r="AA18" s="1">
        <v>44</v>
      </c>
      <c r="AB18" s="1">
        <v>0</v>
      </c>
      <c r="AC18" s="1">
        <v>1456</v>
      </c>
      <c r="AD18" s="1">
        <v>101</v>
      </c>
      <c r="AE18" s="1">
        <v>1</v>
      </c>
      <c r="AF18" s="1">
        <v>108</v>
      </c>
      <c r="AG18" s="1">
        <v>0</v>
      </c>
      <c r="AH18" s="1">
        <v>1504</v>
      </c>
      <c r="AI18" s="1">
        <v>569</v>
      </c>
      <c r="AJ18" s="1">
        <v>35</v>
      </c>
      <c r="AK18" s="1">
        <v>21199</v>
      </c>
      <c r="AL18" s="1">
        <v>0.5</v>
      </c>
      <c r="AM18" s="1">
        <v>1594</v>
      </c>
      <c r="AN18" s="1">
        <v>271</v>
      </c>
      <c r="AO18" s="1">
        <v>23</v>
      </c>
      <c r="AP18" s="1">
        <v>6635</v>
      </c>
      <c r="AQ18" s="1">
        <v>0.2</v>
      </c>
      <c r="AR18" s="1">
        <v>1736</v>
      </c>
      <c r="AS18" s="1">
        <v>879</v>
      </c>
      <c r="AT18" s="1">
        <v>185</v>
      </c>
      <c r="AU18" s="1">
        <v>173098</v>
      </c>
      <c r="AV18" s="1">
        <v>4.3</v>
      </c>
    </row>
    <row r="19" spans="1:48">
      <c r="A19" s="1" t="s">
        <v>82</v>
      </c>
      <c r="B19" s="1" t="s">
        <v>83</v>
      </c>
      <c r="C19" s="1">
        <v>0.98813300000000004</v>
      </c>
      <c r="D19" s="1">
        <v>1369</v>
      </c>
      <c r="E19" s="1">
        <v>6453</v>
      </c>
      <c r="F19" s="1">
        <v>310</v>
      </c>
      <c r="G19" s="1">
        <v>2129392</v>
      </c>
      <c r="H19" s="1">
        <v>72.900000000000006</v>
      </c>
      <c r="I19" s="1">
        <v>1588</v>
      </c>
      <c r="J19" s="1">
        <v>6221</v>
      </c>
      <c r="K19" s="1">
        <v>102</v>
      </c>
      <c r="L19" s="1">
        <v>675449</v>
      </c>
      <c r="M19" s="1">
        <v>23.1</v>
      </c>
      <c r="N19" s="1">
        <v>1049</v>
      </c>
      <c r="O19" s="1">
        <v>285</v>
      </c>
      <c r="P19" s="1">
        <v>71</v>
      </c>
      <c r="Q19" s="1">
        <v>21539</v>
      </c>
      <c r="R19" s="1">
        <v>0.7</v>
      </c>
      <c r="S19" s="1">
        <v>1154</v>
      </c>
      <c r="T19" s="1">
        <v>139</v>
      </c>
      <c r="U19" s="1">
        <v>1</v>
      </c>
      <c r="V19" s="1">
        <v>148</v>
      </c>
      <c r="W19" s="1">
        <v>0</v>
      </c>
      <c r="X19" s="1">
        <v>1256</v>
      </c>
      <c r="Y19" s="1">
        <v>1</v>
      </c>
      <c r="Z19" s="1">
        <v>1</v>
      </c>
      <c r="AA19" s="1">
        <v>1</v>
      </c>
      <c r="AB19" s="1">
        <v>0</v>
      </c>
      <c r="AC19" s="1">
        <v>1406</v>
      </c>
      <c r="AD19" s="1">
        <v>1</v>
      </c>
      <c r="AE19" s="1">
        <v>1</v>
      </c>
      <c r="AF19" s="1">
        <v>1</v>
      </c>
      <c r="AG19" s="1">
        <v>0</v>
      </c>
      <c r="AH19" s="1">
        <v>1506</v>
      </c>
      <c r="AI19" s="1">
        <v>251</v>
      </c>
      <c r="AJ19" s="1">
        <v>37</v>
      </c>
      <c r="AK19" s="1">
        <v>9886</v>
      </c>
      <c r="AL19" s="1">
        <v>0.3</v>
      </c>
      <c r="AM19" s="1">
        <v>1594</v>
      </c>
      <c r="AN19" s="1">
        <v>453</v>
      </c>
      <c r="AO19" s="1">
        <v>17</v>
      </c>
      <c r="AP19" s="1">
        <v>8197</v>
      </c>
      <c r="AQ19" s="1">
        <v>0.3</v>
      </c>
      <c r="AR19" s="1">
        <v>1732</v>
      </c>
      <c r="AS19" s="1">
        <v>489</v>
      </c>
      <c r="AT19" s="1">
        <v>147</v>
      </c>
      <c r="AU19" s="1">
        <v>76517</v>
      </c>
      <c r="AV19" s="1">
        <v>2.6</v>
      </c>
    </row>
    <row r="20" spans="1:48">
      <c r="A20" s="1" t="s">
        <v>84</v>
      </c>
      <c r="B20" s="1" t="s">
        <v>85</v>
      </c>
      <c r="C20" s="1">
        <v>0.98282800000000003</v>
      </c>
      <c r="D20" s="1">
        <v>1369</v>
      </c>
      <c r="E20" s="1">
        <v>8009</v>
      </c>
      <c r="F20" s="1">
        <v>316</v>
      </c>
      <c r="G20" s="1">
        <v>2694000</v>
      </c>
      <c r="H20" s="1">
        <v>71.3</v>
      </c>
      <c r="I20" s="1">
        <v>1590</v>
      </c>
      <c r="J20" s="1">
        <v>8291</v>
      </c>
      <c r="K20" s="1">
        <v>102</v>
      </c>
      <c r="L20" s="1">
        <v>900201</v>
      </c>
      <c r="M20" s="1">
        <v>23.8</v>
      </c>
      <c r="N20" s="1">
        <v>1051</v>
      </c>
      <c r="O20" s="1">
        <v>317</v>
      </c>
      <c r="P20" s="1">
        <v>67</v>
      </c>
      <c r="Q20" s="1">
        <v>22608</v>
      </c>
      <c r="R20" s="1">
        <v>0.6</v>
      </c>
      <c r="S20" s="1">
        <v>1150</v>
      </c>
      <c r="T20" s="1">
        <v>675</v>
      </c>
      <c r="U20" s="1">
        <v>1</v>
      </c>
      <c r="V20" s="1">
        <v>719</v>
      </c>
      <c r="W20" s="1">
        <v>0</v>
      </c>
      <c r="X20" s="1">
        <v>1256</v>
      </c>
      <c r="Y20" s="1">
        <v>1</v>
      </c>
      <c r="Z20" s="1">
        <v>1</v>
      </c>
      <c r="AA20" s="1">
        <v>1</v>
      </c>
      <c r="AB20" s="1">
        <v>0</v>
      </c>
      <c r="AC20" s="1">
        <v>1406</v>
      </c>
      <c r="AD20" s="1">
        <v>1</v>
      </c>
      <c r="AE20" s="1">
        <v>1</v>
      </c>
      <c r="AF20" s="1">
        <v>1</v>
      </c>
      <c r="AG20" s="1">
        <v>0</v>
      </c>
      <c r="AH20" s="1">
        <v>1502</v>
      </c>
      <c r="AI20" s="1">
        <v>693</v>
      </c>
      <c r="AJ20" s="1">
        <v>29</v>
      </c>
      <c r="AK20" s="1">
        <v>21393</v>
      </c>
      <c r="AL20" s="1">
        <v>0.6</v>
      </c>
      <c r="AM20" s="1">
        <v>1598</v>
      </c>
      <c r="AN20" s="1">
        <v>663</v>
      </c>
      <c r="AO20" s="1">
        <v>21</v>
      </c>
      <c r="AP20" s="1">
        <v>14821</v>
      </c>
      <c r="AQ20" s="1">
        <v>0.4</v>
      </c>
      <c r="AR20" s="1">
        <v>1728</v>
      </c>
      <c r="AS20" s="1">
        <v>1039</v>
      </c>
      <c r="AT20" s="1">
        <v>113</v>
      </c>
      <c r="AU20" s="1">
        <v>124976</v>
      </c>
      <c r="AV20" s="1">
        <v>3.3</v>
      </c>
    </row>
    <row r="21" spans="1:48">
      <c r="A21" s="1" t="s">
        <v>86</v>
      </c>
      <c r="B21" s="1" t="s">
        <v>87</v>
      </c>
      <c r="C21" s="1">
        <v>0.98623099999999997</v>
      </c>
      <c r="D21" s="1">
        <v>1367</v>
      </c>
      <c r="E21" s="1">
        <v>8295</v>
      </c>
      <c r="F21" s="1">
        <v>308</v>
      </c>
      <c r="G21" s="1">
        <v>2719564</v>
      </c>
      <c r="H21" s="1">
        <v>70.2</v>
      </c>
      <c r="I21" s="1">
        <v>1590</v>
      </c>
      <c r="J21" s="1">
        <v>8449</v>
      </c>
      <c r="K21" s="1">
        <v>102</v>
      </c>
      <c r="L21" s="1">
        <v>917356</v>
      </c>
      <c r="M21" s="1">
        <v>23.7</v>
      </c>
      <c r="N21" s="1">
        <v>1051</v>
      </c>
      <c r="O21" s="1">
        <v>277</v>
      </c>
      <c r="P21" s="1">
        <v>83</v>
      </c>
      <c r="Q21" s="1">
        <v>24473</v>
      </c>
      <c r="R21" s="1">
        <v>0.6</v>
      </c>
      <c r="S21" s="1">
        <v>1156</v>
      </c>
      <c r="T21" s="1">
        <v>15</v>
      </c>
      <c r="U21" s="1">
        <v>1</v>
      </c>
      <c r="V21" s="1">
        <v>16</v>
      </c>
      <c r="W21" s="1">
        <v>0</v>
      </c>
      <c r="X21" s="1">
        <v>1256</v>
      </c>
      <c r="Y21" s="1">
        <v>1</v>
      </c>
      <c r="Z21" s="1">
        <v>1</v>
      </c>
      <c r="AA21" s="1">
        <v>1</v>
      </c>
      <c r="AB21" s="1">
        <v>0</v>
      </c>
      <c r="AC21" s="1">
        <v>1406</v>
      </c>
      <c r="AD21" s="1">
        <v>1</v>
      </c>
      <c r="AE21" s="1">
        <v>1</v>
      </c>
      <c r="AF21" s="1">
        <v>1</v>
      </c>
      <c r="AG21" s="1">
        <v>0</v>
      </c>
      <c r="AH21" s="1">
        <v>1512</v>
      </c>
      <c r="AI21" s="1">
        <v>735</v>
      </c>
      <c r="AJ21" s="1">
        <v>27</v>
      </c>
      <c r="AK21" s="1">
        <v>21124</v>
      </c>
      <c r="AL21" s="1">
        <v>0.5</v>
      </c>
      <c r="AM21" s="1">
        <v>1598</v>
      </c>
      <c r="AN21" s="1">
        <v>1299</v>
      </c>
      <c r="AO21" s="1">
        <v>23</v>
      </c>
      <c r="AP21" s="1">
        <v>31803</v>
      </c>
      <c r="AQ21" s="1">
        <v>0.8</v>
      </c>
      <c r="AR21" s="1">
        <v>1748</v>
      </c>
      <c r="AS21" s="1">
        <v>751</v>
      </c>
      <c r="AT21" s="1">
        <v>199</v>
      </c>
      <c r="AU21" s="1">
        <v>159084</v>
      </c>
      <c r="AV21" s="1">
        <v>4.0999999999999996</v>
      </c>
    </row>
    <row r="22" spans="1:48">
      <c r="A22" s="1" t="s">
        <v>88</v>
      </c>
      <c r="B22" s="1" t="s">
        <v>89</v>
      </c>
      <c r="C22" s="1">
        <v>0.967777</v>
      </c>
      <c r="D22" s="1">
        <v>1369</v>
      </c>
      <c r="E22" s="1">
        <v>7761</v>
      </c>
      <c r="F22" s="1">
        <v>288</v>
      </c>
      <c r="G22" s="1">
        <v>2379263</v>
      </c>
      <c r="H22" s="1">
        <v>62</v>
      </c>
      <c r="I22" s="1">
        <v>1590</v>
      </c>
      <c r="J22" s="1">
        <v>9533</v>
      </c>
      <c r="K22" s="1">
        <v>114</v>
      </c>
      <c r="L22" s="1">
        <v>1156822</v>
      </c>
      <c r="M22" s="1">
        <v>30.1</v>
      </c>
      <c r="N22" s="1">
        <v>1047</v>
      </c>
      <c r="O22" s="1">
        <v>737</v>
      </c>
      <c r="P22" s="1">
        <v>3</v>
      </c>
      <c r="Q22" s="1">
        <v>2354</v>
      </c>
      <c r="R22" s="1">
        <v>0.1</v>
      </c>
      <c r="S22" s="1">
        <v>1152</v>
      </c>
      <c r="T22" s="1">
        <v>197</v>
      </c>
      <c r="U22" s="1">
        <v>35</v>
      </c>
      <c r="V22" s="1">
        <v>7340</v>
      </c>
      <c r="W22" s="1">
        <v>0.2</v>
      </c>
      <c r="X22" s="1">
        <v>1290</v>
      </c>
      <c r="Y22" s="1">
        <v>299</v>
      </c>
      <c r="Z22" s="1">
        <v>1</v>
      </c>
      <c r="AA22" s="1">
        <v>318</v>
      </c>
      <c r="AB22" s="1">
        <v>0</v>
      </c>
      <c r="AC22" s="1">
        <v>1440</v>
      </c>
      <c r="AD22" s="1">
        <v>539</v>
      </c>
      <c r="AE22" s="1">
        <v>89</v>
      </c>
      <c r="AF22" s="1">
        <v>51064</v>
      </c>
      <c r="AG22" s="1">
        <v>1.3</v>
      </c>
      <c r="AH22" s="1">
        <v>1486</v>
      </c>
      <c r="AI22" s="1">
        <v>1429</v>
      </c>
      <c r="AJ22" s="1">
        <v>33</v>
      </c>
      <c r="AK22" s="1">
        <v>50197</v>
      </c>
      <c r="AL22" s="1">
        <v>1.3</v>
      </c>
      <c r="AM22" s="1">
        <v>1588</v>
      </c>
      <c r="AN22" s="1">
        <v>857</v>
      </c>
      <c r="AO22" s="1">
        <v>7</v>
      </c>
      <c r="AP22" s="1">
        <v>6386</v>
      </c>
      <c r="AQ22" s="1">
        <v>0.2</v>
      </c>
      <c r="AR22" s="1">
        <v>1742</v>
      </c>
      <c r="AS22" s="1">
        <v>1279</v>
      </c>
      <c r="AT22" s="1">
        <v>135</v>
      </c>
      <c r="AU22" s="1">
        <v>183796</v>
      </c>
      <c r="AV22" s="1">
        <v>4.8</v>
      </c>
    </row>
    <row r="23" spans="1:48">
      <c r="A23" s="1" t="s">
        <v>90</v>
      </c>
      <c r="B23" s="1" t="s">
        <v>91</v>
      </c>
      <c r="C23" s="1">
        <v>0.98154200000000003</v>
      </c>
      <c r="D23" s="1">
        <v>1369</v>
      </c>
      <c r="E23" s="1">
        <v>4427</v>
      </c>
      <c r="F23" s="1">
        <v>284</v>
      </c>
      <c r="G23" s="1">
        <v>1338320</v>
      </c>
      <c r="H23" s="1">
        <v>65.8</v>
      </c>
      <c r="I23" s="1">
        <v>1590</v>
      </c>
      <c r="J23" s="1">
        <v>5143</v>
      </c>
      <c r="K23" s="1">
        <v>102</v>
      </c>
      <c r="L23" s="1">
        <v>558405</v>
      </c>
      <c r="M23" s="1">
        <v>27.5</v>
      </c>
      <c r="N23" s="1">
        <v>1047</v>
      </c>
      <c r="O23" s="1">
        <v>241</v>
      </c>
      <c r="P23" s="1">
        <v>3</v>
      </c>
      <c r="Q23" s="1">
        <v>770</v>
      </c>
      <c r="R23" s="1">
        <v>0</v>
      </c>
      <c r="S23" s="1">
        <v>1152</v>
      </c>
      <c r="T23" s="1">
        <v>45</v>
      </c>
      <c r="U23" s="1">
        <v>35</v>
      </c>
      <c r="V23" s="1">
        <v>1677</v>
      </c>
      <c r="W23" s="1">
        <v>0.1</v>
      </c>
      <c r="X23" s="1">
        <v>1256</v>
      </c>
      <c r="Y23" s="1">
        <v>1</v>
      </c>
      <c r="Z23" s="1">
        <v>1</v>
      </c>
      <c r="AA23" s="1">
        <v>1</v>
      </c>
      <c r="AB23" s="1">
        <v>0</v>
      </c>
      <c r="AC23" s="1">
        <v>1436</v>
      </c>
      <c r="AD23" s="1">
        <v>55</v>
      </c>
      <c r="AE23" s="1">
        <v>1</v>
      </c>
      <c r="AF23" s="1">
        <v>59</v>
      </c>
      <c r="AG23" s="1">
        <v>0</v>
      </c>
      <c r="AH23" s="1">
        <v>1510</v>
      </c>
      <c r="AI23" s="1">
        <v>425</v>
      </c>
      <c r="AJ23" s="1">
        <v>39</v>
      </c>
      <c r="AK23" s="1">
        <v>17644</v>
      </c>
      <c r="AL23" s="1">
        <v>0.9</v>
      </c>
      <c r="AM23" s="1">
        <v>1598</v>
      </c>
      <c r="AN23" s="1">
        <v>329</v>
      </c>
      <c r="AO23" s="1">
        <v>3</v>
      </c>
      <c r="AP23" s="1">
        <v>1051</v>
      </c>
      <c r="AQ23" s="1">
        <v>0.1</v>
      </c>
      <c r="AR23" s="1">
        <v>1730</v>
      </c>
      <c r="AS23" s="1">
        <v>695</v>
      </c>
      <c r="AT23" s="1">
        <v>155</v>
      </c>
      <c r="AU23" s="1">
        <v>114670</v>
      </c>
      <c r="AV23" s="1">
        <v>5.6</v>
      </c>
    </row>
    <row r="24" spans="1:48">
      <c r="A24" s="1" t="s">
        <v>92</v>
      </c>
      <c r="B24" s="1" t="s">
        <v>93</v>
      </c>
      <c r="C24" s="1">
        <v>0.97001000000000004</v>
      </c>
      <c r="D24" s="1">
        <v>1369</v>
      </c>
      <c r="E24" s="1">
        <v>12415</v>
      </c>
      <c r="F24" s="1">
        <v>260</v>
      </c>
      <c r="G24" s="1">
        <v>3435993</v>
      </c>
      <c r="H24" s="1">
        <v>60.2</v>
      </c>
      <c r="I24" s="1">
        <v>1590</v>
      </c>
      <c r="J24" s="1">
        <v>15977</v>
      </c>
      <c r="K24" s="1">
        <v>100</v>
      </c>
      <c r="L24" s="1">
        <v>1700699</v>
      </c>
      <c r="M24" s="1">
        <v>29.8</v>
      </c>
      <c r="N24" s="1">
        <v>1021</v>
      </c>
      <c r="O24" s="1">
        <v>89</v>
      </c>
      <c r="P24" s="1">
        <v>1</v>
      </c>
      <c r="Q24" s="1">
        <v>95</v>
      </c>
      <c r="R24" s="1">
        <v>0</v>
      </c>
      <c r="S24" s="1">
        <v>1170</v>
      </c>
      <c r="T24" s="1">
        <v>925</v>
      </c>
      <c r="U24" s="1">
        <v>21</v>
      </c>
      <c r="V24" s="1">
        <v>20677</v>
      </c>
      <c r="W24" s="1">
        <v>0.4</v>
      </c>
      <c r="X24" s="1">
        <v>1256</v>
      </c>
      <c r="Y24" s="1">
        <v>1</v>
      </c>
      <c r="Z24" s="1">
        <v>1</v>
      </c>
      <c r="AA24" s="1">
        <v>1</v>
      </c>
      <c r="AB24" s="1">
        <v>0</v>
      </c>
      <c r="AC24" s="1">
        <v>1456</v>
      </c>
      <c r="AD24" s="1">
        <v>323</v>
      </c>
      <c r="AE24" s="1">
        <v>91</v>
      </c>
      <c r="AF24" s="1">
        <v>31288</v>
      </c>
      <c r="AG24" s="1">
        <v>0.5</v>
      </c>
      <c r="AH24" s="1">
        <v>1492</v>
      </c>
      <c r="AI24" s="1">
        <v>913</v>
      </c>
      <c r="AJ24" s="1">
        <v>59</v>
      </c>
      <c r="AK24" s="1">
        <v>57340</v>
      </c>
      <c r="AL24" s="1">
        <v>1</v>
      </c>
      <c r="AM24" s="1">
        <v>1588</v>
      </c>
      <c r="AN24" s="1">
        <v>1177</v>
      </c>
      <c r="AO24" s="1">
        <v>1</v>
      </c>
      <c r="AP24" s="1">
        <v>1253</v>
      </c>
      <c r="AQ24" s="1">
        <v>0</v>
      </c>
      <c r="AR24" s="1">
        <v>1726</v>
      </c>
      <c r="AS24" s="1">
        <v>2515</v>
      </c>
      <c r="AT24" s="1">
        <v>173</v>
      </c>
      <c r="AU24" s="1">
        <v>463144</v>
      </c>
      <c r="AV24" s="1">
        <v>8.1</v>
      </c>
    </row>
    <row r="25" spans="1:48">
      <c r="A25" s="1" t="s">
        <v>94</v>
      </c>
      <c r="B25" s="1" t="s">
        <v>95</v>
      </c>
      <c r="C25" s="1">
        <v>0.97624299999999997</v>
      </c>
      <c r="D25" s="1">
        <v>1369</v>
      </c>
      <c r="E25" s="1">
        <v>6165</v>
      </c>
      <c r="F25" s="1">
        <v>294</v>
      </c>
      <c r="G25" s="1">
        <v>1929357</v>
      </c>
      <c r="H25" s="1">
        <v>67.3</v>
      </c>
      <c r="I25" s="1">
        <v>1588</v>
      </c>
      <c r="J25" s="1">
        <v>6539</v>
      </c>
      <c r="K25" s="1">
        <v>102</v>
      </c>
      <c r="L25" s="1">
        <v>709976</v>
      </c>
      <c r="M25" s="1">
        <v>24.8</v>
      </c>
      <c r="N25" s="1">
        <v>1021</v>
      </c>
      <c r="O25" s="1">
        <v>239</v>
      </c>
      <c r="P25" s="1">
        <v>37</v>
      </c>
      <c r="Q25" s="1">
        <v>9413</v>
      </c>
      <c r="R25" s="1">
        <v>0.3</v>
      </c>
      <c r="S25" s="1">
        <v>1152</v>
      </c>
      <c r="T25" s="1">
        <v>171</v>
      </c>
      <c r="U25" s="1">
        <v>41</v>
      </c>
      <c r="V25" s="1">
        <v>7463</v>
      </c>
      <c r="W25" s="1">
        <v>0.3</v>
      </c>
      <c r="X25" s="1">
        <v>1256</v>
      </c>
      <c r="Y25" s="1">
        <v>1</v>
      </c>
      <c r="Z25" s="1">
        <v>1</v>
      </c>
      <c r="AA25" s="1">
        <v>1</v>
      </c>
      <c r="AB25" s="1">
        <v>0</v>
      </c>
      <c r="AC25" s="1">
        <v>1456</v>
      </c>
      <c r="AD25" s="1">
        <v>33</v>
      </c>
      <c r="AE25" s="1">
        <v>35</v>
      </c>
      <c r="AF25" s="1">
        <v>1229</v>
      </c>
      <c r="AG25" s="1">
        <v>0</v>
      </c>
      <c r="AH25" s="1">
        <v>1506</v>
      </c>
      <c r="AI25" s="1">
        <v>183</v>
      </c>
      <c r="AJ25" s="1">
        <v>41</v>
      </c>
      <c r="AK25" s="1">
        <v>7987</v>
      </c>
      <c r="AL25" s="1">
        <v>0.3</v>
      </c>
      <c r="AM25" s="1">
        <v>1582</v>
      </c>
      <c r="AN25" s="1">
        <v>223</v>
      </c>
      <c r="AO25" s="1">
        <v>1</v>
      </c>
      <c r="AP25" s="1">
        <v>237</v>
      </c>
      <c r="AQ25" s="1">
        <v>0</v>
      </c>
      <c r="AR25" s="1">
        <v>1742</v>
      </c>
      <c r="AS25" s="1">
        <v>949</v>
      </c>
      <c r="AT25" s="1">
        <v>199</v>
      </c>
      <c r="AU25" s="1">
        <v>201026</v>
      </c>
      <c r="AV25" s="1">
        <v>7</v>
      </c>
    </row>
    <row r="26" spans="1:48">
      <c r="A26" s="1" t="s">
        <v>96</v>
      </c>
      <c r="B26" s="1" t="s">
        <v>97</v>
      </c>
      <c r="C26" s="1">
        <v>0.97420499999999999</v>
      </c>
      <c r="D26" s="1">
        <v>1369</v>
      </c>
      <c r="E26" s="1">
        <v>9613</v>
      </c>
      <c r="F26" s="1">
        <v>214</v>
      </c>
      <c r="G26" s="1">
        <v>2189802</v>
      </c>
      <c r="H26" s="1">
        <v>56.3</v>
      </c>
      <c r="I26" s="1">
        <v>1590</v>
      </c>
      <c r="J26" s="1">
        <v>13263</v>
      </c>
      <c r="K26" s="1">
        <v>102</v>
      </c>
      <c r="L26" s="1">
        <v>1440039</v>
      </c>
      <c r="M26" s="1">
        <v>37</v>
      </c>
      <c r="N26" s="1">
        <v>1019</v>
      </c>
      <c r="O26" s="1">
        <v>23</v>
      </c>
      <c r="P26" s="1">
        <v>1</v>
      </c>
      <c r="Q26" s="1">
        <v>24</v>
      </c>
      <c r="R26" s="1">
        <v>0</v>
      </c>
      <c r="S26" s="1">
        <v>1170</v>
      </c>
      <c r="T26" s="1">
        <v>883</v>
      </c>
      <c r="U26" s="1">
        <v>29</v>
      </c>
      <c r="V26" s="1">
        <v>27258</v>
      </c>
      <c r="W26" s="1">
        <v>0.7</v>
      </c>
      <c r="X26" s="1">
        <v>1298</v>
      </c>
      <c r="Y26" s="1">
        <v>395</v>
      </c>
      <c r="Z26" s="1">
        <v>1</v>
      </c>
      <c r="AA26" s="1">
        <v>420</v>
      </c>
      <c r="AB26" s="1">
        <v>0</v>
      </c>
      <c r="AC26" s="1">
        <v>1440</v>
      </c>
      <c r="AD26" s="1">
        <v>837</v>
      </c>
      <c r="AE26" s="1">
        <v>109</v>
      </c>
      <c r="AF26" s="1">
        <v>97115</v>
      </c>
      <c r="AG26" s="1">
        <v>2.5</v>
      </c>
      <c r="AH26" s="1">
        <v>1502</v>
      </c>
      <c r="AI26" s="1">
        <v>1243</v>
      </c>
      <c r="AJ26" s="1">
        <v>65</v>
      </c>
      <c r="AK26" s="1">
        <v>86004</v>
      </c>
      <c r="AL26" s="1">
        <v>2.2000000000000002</v>
      </c>
      <c r="AM26" s="1">
        <v>1582</v>
      </c>
      <c r="AN26" s="1">
        <v>623</v>
      </c>
      <c r="AO26" s="1">
        <v>41</v>
      </c>
      <c r="AP26" s="1">
        <v>27190</v>
      </c>
      <c r="AQ26" s="1">
        <v>0.7</v>
      </c>
      <c r="AR26" s="1">
        <v>1702</v>
      </c>
      <c r="AS26" s="1">
        <v>577</v>
      </c>
      <c r="AT26" s="1">
        <v>31</v>
      </c>
      <c r="AU26" s="1">
        <v>19040</v>
      </c>
      <c r="AV26" s="1">
        <v>0.5</v>
      </c>
    </row>
    <row r="27" spans="1:48">
      <c r="A27" s="1" t="s">
        <v>98</v>
      </c>
      <c r="B27" s="1" t="s">
        <v>99</v>
      </c>
      <c r="C27" s="1">
        <v>0.98962099999999997</v>
      </c>
      <c r="D27" s="1">
        <v>1369</v>
      </c>
      <c r="E27" s="1">
        <v>21431</v>
      </c>
      <c r="F27" s="1">
        <v>332</v>
      </c>
      <c r="G27" s="1">
        <v>7573781</v>
      </c>
      <c r="H27" s="1">
        <v>69.599999999999994</v>
      </c>
      <c r="I27" s="1">
        <v>1588</v>
      </c>
      <c r="J27" s="1">
        <v>25469</v>
      </c>
      <c r="K27" s="1">
        <v>102</v>
      </c>
      <c r="L27" s="1">
        <v>2765313</v>
      </c>
      <c r="M27" s="1">
        <v>25.4</v>
      </c>
      <c r="N27" s="1">
        <v>1039</v>
      </c>
      <c r="O27" s="1">
        <v>681</v>
      </c>
      <c r="P27" s="1">
        <v>63</v>
      </c>
      <c r="Q27" s="1">
        <v>45669</v>
      </c>
      <c r="R27" s="1">
        <v>0.4</v>
      </c>
      <c r="S27" s="1">
        <v>1186</v>
      </c>
      <c r="T27" s="1">
        <v>1</v>
      </c>
      <c r="U27" s="1">
        <v>1</v>
      </c>
      <c r="V27" s="1">
        <v>1</v>
      </c>
      <c r="W27" s="1">
        <v>0</v>
      </c>
      <c r="X27" s="1">
        <v>1256</v>
      </c>
      <c r="Y27" s="1">
        <v>1</v>
      </c>
      <c r="Z27" s="1">
        <v>1</v>
      </c>
      <c r="AA27" s="1">
        <v>1</v>
      </c>
      <c r="AB27" s="1">
        <v>0</v>
      </c>
      <c r="AC27" s="1">
        <v>1456</v>
      </c>
      <c r="AD27" s="1">
        <v>119</v>
      </c>
      <c r="AE27" s="1">
        <v>127</v>
      </c>
      <c r="AF27" s="1">
        <v>16087</v>
      </c>
      <c r="AG27" s="1">
        <v>0.1</v>
      </c>
      <c r="AH27" s="1">
        <v>1498</v>
      </c>
      <c r="AI27" s="1">
        <v>787</v>
      </c>
      <c r="AJ27" s="1">
        <v>35</v>
      </c>
      <c r="AK27" s="1">
        <v>29321</v>
      </c>
      <c r="AL27" s="1">
        <v>0.3</v>
      </c>
      <c r="AM27" s="1">
        <v>1598</v>
      </c>
      <c r="AN27" s="1">
        <v>665</v>
      </c>
      <c r="AO27" s="1">
        <v>25</v>
      </c>
      <c r="AP27" s="1">
        <v>17697</v>
      </c>
      <c r="AQ27" s="1">
        <v>0.2</v>
      </c>
      <c r="AR27" s="1">
        <v>1720</v>
      </c>
      <c r="AS27" s="1">
        <v>3433</v>
      </c>
      <c r="AT27" s="1">
        <v>119</v>
      </c>
      <c r="AU27" s="1">
        <v>434864</v>
      </c>
      <c r="AV27" s="1">
        <v>4</v>
      </c>
    </row>
    <row r="28" spans="1:48">
      <c r="A28" s="1" t="s">
        <v>100</v>
      </c>
      <c r="B28" s="1" t="s">
        <v>101</v>
      </c>
      <c r="C28" s="1">
        <v>0.98745499999999997</v>
      </c>
      <c r="D28" s="1">
        <v>1369</v>
      </c>
      <c r="E28" s="1">
        <v>28947</v>
      </c>
      <c r="F28" s="1">
        <v>342</v>
      </c>
      <c r="G28" s="1">
        <v>10538090</v>
      </c>
      <c r="H28" s="1">
        <v>70.400000000000006</v>
      </c>
      <c r="I28" s="1">
        <v>1588</v>
      </c>
      <c r="J28" s="1">
        <v>33929</v>
      </c>
      <c r="K28" s="1">
        <v>102</v>
      </c>
      <c r="L28" s="1">
        <v>3683863</v>
      </c>
      <c r="M28" s="1">
        <v>24.6</v>
      </c>
      <c r="N28" s="1">
        <v>1029</v>
      </c>
      <c r="O28" s="1">
        <v>909</v>
      </c>
      <c r="P28" s="1">
        <v>63</v>
      </c>
      <c r="Q28" s="1">
        <v>60959</v>
      </c>
      <c r="R28" s="1">
        <v>0.4</v>
      </c>
      <c r="S28" s="1">
        <v>1186</v>
      </c>
      <c r="T28" s="1">
        <v>1</v>
      </c>
      <c r="U28" s="1">
        <v>1</v>
      </c>
      <c r="V28" s="1">
        <v>1</v>
      </c>
      <c r="W28" s="1">
        <v>0</v>
      </c>
      <c r="X28" s="1">
        <v>1256</v>
      </c>
      <c r="Y28" s="1">
        <v>1</v>
      </c>
      <c r="Z28" s="1">
        <v>1</v>
      </c>
      <c r="AA28" s="1">
        <v>1</v>
      </c>
      <c r="AB28" s="1">
        <v>0</v>
      </c>
      <c r="AC28" s="1">
        <v>1456</v>
      </c>
      <c r="AD28" s="1">
        <v>341</v>
      </c>
      <c r="AE28" s="1">
        <v>125</v>
      </c>
      <c r="AF28" s="1">
        <v>45373</v>
      </c>
      <c r="AG28" s="1">
        <v>0.3</v>
      </c>
      <c r="AH28" s="1">
        <v>1506</v>
      </c>
      <c r="AI28" s="1">
        <v>705</v>
      </c>
      <c r="AJ28" s="1">
        <v>27</v>
      </c>
      <c r="AK28" s="1">
        <v>20262</v>
      </c>
      <c r="AL28" s="1">
        <v>0.1</v>
      </c>
      <c r="AM28" s="1">
        <v>1598</v>
      </c>
      <c r="AN28" s="1">
        <v>885</v>
      </c>
      <c r="AO28" s="1">
        <v>25</v>
      </c>
      <c r="AP28" s="1">
        <v>23551</v>
      </c>
      <c r="AQ28" s="1">
        <v>0.2</v>
      </c>
      <c r="AR28" s="1">
        <v>1718</v>
      </c>
      <c r="AS28" s="1">
        <v>4721</v>
      </c>
      <c r="AT28" s="1">
        <v>117</v>
      </c>
      <c r="AU28" s="1">
        <v>587966</v>
      </c>
      <c r="AV28" s="1">
        <v>3.9</v>
      </c>
    </row>
    <row r="29" spans="1:48">
      <c r="A29" s="1" t="s">
        <v>102</v>
      </c>
      <c r="B29" s="1" t="s">
        <v>103</v>
      </c>
      <c r="C29" s="1">
        <v>0.98856500000000003</v>
      </c>
      <c r="D29" s="1">
        <v>1367</v>
      </c>
      <c r="E29" s="1">
        <v>31203</v>
      </c>
      <c r="F29" s="1">
        <v>332</v>
      </c>
      <c r="G29" s="1">
        <v>11027236</v>
      </c>
      <c r="H29" s="1">
        <v>69</v>
      </c>
      <c r="I29" s="1">
        <v>1588</v>
      </c>
      <c r="J29" s="1">
        <v>37069</v>
      </c>
      <c r="K29" s="1">
        <v>104</v>
      </c>
      <c r="L29" s="1">
        <v>4103708</v>
      </c>
      <c r="M29" s="1">
        <v>25.7</v>
      </c>
      <c r="N29" s="1">
        <v>1035</v>
      </c>
      <c r="O29" s="1">
        <v>1097</v>
      </c>
      <c r="P29" s="1">
        <v>71</v>
      </c>
      <c r="Q29" s="1">
        <v>82908</v>
      </c>
      <c r="R29" s="1">
        <v>0.5</v>
      </c>
      <c r="S29" s="1">
        <v>1186</v>
      </c>
      <c r="T29" s="1">
        <v>1</v>
      </c>
      <c r="U29" s="1">
        <v>1</v>
      </c>
      <c r="V29" s="1">
        <v>1</v>
      </c>
      <c r="W29" s="1">
        <v>0</v>
      </c>
      <c r="X29" s="1">
        <v>1256</v>
      </c>
      <c r="Y29" s="1">
        <v>1</v>
      </c>
      <c r="Z29" s="1">
        <v>1</v>
      </c>
      <c r="AA29" s="1">
        <v>1</v>
      </c>
      <c r="AB29" s="1">
        <v>0</v>
      </c>
      <c r="AC29" s="1">
        <v>1440</v>
      </c>
      <c r="AD29" s="1">
        <v>237</v>
      </c>
      <c r="AE29" s="1">
        <v>129</v>
      </c>
      <c r="AF29" s="1">
        <v>32544</v>
      </c>
      <c r="AG29" s="1">
        <v>0.2</v>
      </c>
      <c r="AH29" s="1">
        <v>1488</v>
      </c>
      <c r="AI29" s="1">
        <v>1313</v>
      </c>
      <c r="AJ29" s="1">
        <v>39</v>
      </c>
      <c r="AK29" s="1">
        <v>54508</v>
      </c>
      <c r="AL29" s="1">
        <v>0.3</v>
      </c>
      <c r="AM29" s="1">
        <v>1598</v>
      </c>
      <c r="AN29" s="1">
        <v>735</v>
      </c>
      <c r="AO29" s="1">
        <v>19</v>
      </c>
      <c r="AP29" s="1">
        <v>14865</v>
      </c>
      <c r="AQ29" s="1">
        <v>0.1</v>
      </c>
      <c r="AR29" s="1">
        <v>1724</v>
      </c>
      <c r="AS29" s="1">
        <v>5029</v>
      </c>
      <c r="AT29" s="1">
        <v>125</v>
      </c>
      <c r="AU29" s="1">
        <v>669151</v>
      </c>
      <c r="AV29" s="1">
        <v>4.2</v>
      </c>
    </row>
    <row r="30" spans="1:48">
      <c r="A30" s="1" t="s">
        <v>104</v>
      </c>
      <c r="B30" s="1" t="s">
        <v>105</v>
      </c>
      <c r="C30" s="1">
        <v>0.99281699999999995</v>
      </c>
      <c r="D30" s="1">
        <v>1369</v>
      </c>
      <c r="E30" s="1">
        <v>13761</v>
      </c>
      <c r="F30" s="1">
        <v>330</v>
      </c>
      <c r="G30" s="1">
        <v>4833883</v>
      </c>
      <c r="H30" s="1">
        <v>70.3</v>
      </c>
      <c r="I30" s="1">
        <v>1588</v>
      </c>
      <c r="J30" s="1">
        <v>16323</v>
      </c>
      <c r="K30" s="1">
        <v>100</v>
      </c>
      <c r="L30" s="1">
        <v>1737530</v>
      </c>
      <c r="M30" s="1">
        <v>25.3</v>
      </c>
      <c r="N30" s="1">
        <v>1035</v>
      </c>
      <c r="O30" s="1">
        <v>461</v>
      </c>
      <c r="P30" s="1">
        <v>61</v>
      </c>
      <c r="Q30" s="1">
        <v>29934</v>
      </c>
      <c r="R30" s="1">
        <v>0.4</v>
      </c>
      <c r="S30" s="1">
        <v>1168</v>
      </c>
      <c r="T30" s="1">
        <v>91</v>
      </c>
      <c r="U30" s="1">
        <v>1</v>
      </c>
      <c r="V30" s="1">
        <v>97</v>
      </c>
      <c r="W30" s="1">
        <v>0</v>
      </c>
      <c r="X30" s="1">
        <v>1256</v>
      </c>
      <c r="Y30" s="1">
        <v>1</v>
      </c>
      <c r="Z30" s="1">
        <v>1</v>
      </c>
      <c r="AA30" s="1">
        <v>1</v>
      </c>
      <c r="AB30" s="1">
        <v>0</v>
      </c>
      <c r="AC30" s="1">
        <v>1440</v>
      </c>
      <c r="AD30" s="1">
        <v>35</v>
      </c>
      <c r="AE30" s="1">
        <v>145</v>
      </c>
      <c r="AF30" s="1">
        <v>5402</v>
      </c>
      <c r="AG30" s="1">
        <v>0.1</v>
      </c>
      <c r="AH30" s="1">
        <v>1486</v>
      </c>
      <c r="AI30" s="1">
        <v>687</v>
      </c>
      <c r="AJ30" s="1">
        <v>59</v>
      </c>
      <c r="AK30" s="1">
        <v>43146</v>
      </c>
      <c r="AL30" s="1">
        <v>0.6</v>
      </c>
      <c r="AM30" s="1">
        <v>1594</v>
      </c>
      <c r="AN30" s="1">
        <v>755</v>
      </c>
      <c r="AO30" s="1">
        <v>29</v>
      </c>
      <c r="AP30" s="1">
        <v>23307</v>
      </c>
      <c r="AQ30" s="1">
        <v>0.3</v>
      </c>
      <c r="AR30" s="1">
        <v>1720</v>
      </c>
      <c r="AS30" s="1">
        <v>1799</v>
      </c>
      <c r="AT30" s="1">
        <v>107</v>
      </c>
      <c r="AU30" s="1">
        <v>204902</v>
      </c>
      <c r="AV30" s="1">
        <v>3</v>
      </c>
    </row>
    <row r="31" spans="1:48">
      <c r="A31" s="1" t="s">
        <v>106</v>
      </c>
      <c r="B31" s="1" t="s">
        <v>107</v>
      </c>
      <c r="C31" s="1">
        <v>0.97677400000000003</v>
      </c>
      <c r="D31" s="1">
        <v>1369</v>
      </c>
      <c r="E31" s="1">
        <v>17859</v>
      </c>
      <c r="F31" s="1">
        <v>348</v>
      </c>
      <c r="G31" s="1">
        <v>6615590</v>
      </c>
      <c r="H31" s="1">
        <v>71</v>
      </c>
      <c r="I31" s="1">
        <v>1588</v>
      </c>
      <c r="J31" s="1">
        <v>20487</v>
      </c>
      <c r="K31" s="1">
        <v>104</v>
      </c>
      <c r="L31" s="1">
        <v>2268005</v>
      </c>
      <c r="M31" s="1">
        <v>24.3</v>
      </c>
      <c r="N31" s="1">
        <v>1045</v>
      </c>
      <c r="O31" s="1">
        <v>613</v>
      </c>
      <c r="P31" s="1">
        <v>47</v>
      </c>
      <c r="Q31" s="1">
        <v>30668</v>
      </c>
      <c r="R31" s="1">
        <v>0.3</v>
      </c>
      <c r="S31" s="1">
        <v>1186</v>
      </c>
      <c r="T31" s="1">
        <v>1</v>
      </c>
      <c r="U31" s="1">
        <v>1</v>
      </c>
      <c r="V31" s="1">
        <v>1</v>
      </c>
      <c r="W31" s="1">
        <v>0</v>
      </c>
      <c r="X31" s="1">
        <v>1256</v>
      </c>
      <c r="Y31" s="1">
        <v>1</v>
      </c>
      <c r="Z31" s="1">
        <v>1</v>
      </c>
      <c r="AA31" s="1">
        <v>1</v>
      </c>
      <c r="AB31" s="1">
        <v>0</v>
      </c>
      <c r="AC31" s="1">
        <v>1440</v>
      </c>
      <c r="AD31" s="1">
        <v>149</v>
      </c>
      <c r="AE31" s="1">
        <v>127</v>
      </c>
      <c r="AF31" s="1">
        <v>20143</v>
      </c>
      <c r="AG31" s="1">
        <v>0.2</v>
      </c>
      <c r="AH31" s="1">
        <v>1498</v>
      </c>
      <c r="AI31" s="1">
        <v>885</v>
      </c>
      <c r="AJ31" s="1">
        <v>47</v>
      </c>
      <c r="AK31" s="1">
        <v>44277</v>
      </c>
      <c r="AL31" s="1">
        <v>0.5</v>
      </c>
      <c r="AM31" s="1">
        <v>1598</v>
      </c>
      <c r="AN31" s="1">
        <v>347</v>
      </c>
      <c r="AO31" s="1">
        <v>21</v>
      </c>
      <c r="AP31" s="1">
        <v>7757</v>
      </c>
      <c r="AQ31" s="1">
        <v>0.1</v>
      </c>
      <c r="AR31" s="1">
        <v>1720</v>
      </c>
      <c r="AS31" s="1">
        <v>2745</v>
      </c>
      <c r="AT31" s="1">
        <v>115</v>
      </c>
      <c r="AU31" s="1">
        <v>336026</v>
      </c>
      <c r="AV31" s="1">
        <v>3.6</v>
      </c>
    </row>
    <row r="32" spans="1:48">
      <c r="A32" s="1" t="s">
        <v>108</v>
      </c>
      <c r="B32" s="1" t="s">
        <v>109</v>
      </c>
      <c r="C32" s="1">
        <v>0.989595</v>
      </c>
      <c r="D32" s="1">
        <v>1369</v>
      </c>
      <c r="E32" s="1">
        <v>13579</v>
      </c>
      <c r="F32" s="1">
        <v>336</v>
      </c>
      <c r="G32" s="1">
        <v>4856678</v>
      </c>
      <c r="H32" s="1">
        <v>70.400000000000006</v>
      </c>
      <c r="I32" s="1">
        <v>1590</v>
      </c>
      <c r="J32" s="1">
        <v>16235</v>
      </c>
      <c r="K32" s="1">
        <v>100</v>
      </c>
      <c r="L32" s="1">
        <v>1728162</v>
      </c>
      <c r="M32" s="1">
        <v>25</v>
      </c>
      <c r="N32" s="1">
        <v>1035</v>
      </c>
      <c r="O32" s="1">
        <v>477</v>
      </c>
      <c r="P32" s="1">
        <v>63</v>
      </c>
      <c r="Q32" s="1">
        <v>31988</v>
      </c>
      <c r="R32" s="1">
        <v>0.5</v>
      </c>
      <c r="S32" s="1">
        <v>1186</v>
      </c>
      <c r="T32" s="1">
        <v>1</v>
      </c>
      <c r="U32" s="1">
        <v>1</v>
      </c>
      <c r="V32" s="1">
        <v>1</v>
      </c>
      <c r="W32" s="1">
        <v>0</v>
      </c>
      <c r="X32" s="1">
        <v>1256</v>
      </c>
      <c r="Y32" s="1">
        <v>1</v>
      </c>
      <c r="Z32" s="1">
        <v>1</v>
      </c>
      <c r="AA32" s="1">
        <v>1</v>
      </c>
      <c r="AB32" s="1">
        <v>0</v>
      </c>
      <c r="AC32" s="1">
        <v>1420</v>
      </c>
      <c r="AD32" s="1">
        <v>77</v>
      </c>
      <c r="AE32" s="1">
        <v>1</v>
      </c>
      <c r="AF32" s="1">
        <v>82</v>
      </c>
      <c r="AG32" s="1">
        <v>0</v>
      </c>
      <c r="AH32" s="1">
        <v>1506</v>
      </c>
      <c r="AI32" s="1">
        <v>547</v>
      </c>
      <c r="AJ32" s="1">
        <v>19</v>
      </c>
      <c r="AK32" s="1">
        <v>11063</v>
      </c>
      <c r="AL32" s="1">
        <v>0.2</v>
      </c>
      <c r="AM32" s="1">
        <v>1598</v>
      </c>
      <c r="AN32" s="1">
        <v>1551</v>
      </c>
      <c r="AO32" s="1">
        <v>23</v>
      </c>
      <c r="AP32" s="1">
        <v>37973</v>
      </c>
      <c r="AQ32" s="1">
        <v>0.6</v>
      </c>
      <c r="AR32" s="1">
        <v>1716</v>
      </c>
      <c r="AS32" s="1">
        <v>2271</v>
      </c>
      <c r="AT32" s="1">
        <v>97</v>
      </c>
      <c r="AU32" s="1">
        <v>234488</v>
      </c>
      <c r="AV32" s="1">
        <v>3.4</v>
      </c>
    </row>
    <row r="33" spans="1:48">
      <c r="A33" s="1" t="s">
        <v>110</v>
      </c>
      <c r="B33" s="1" t="s">
        <v>111</v>
      </c>
      <c r="C33" s="1">
        <v>0.98931500000000006</v>
      </c>
      <c r="D33" s="1">
        <v>1369</v>
      </c>
      <c r="E33" s="1">
        <v>8683</v>
      </c>
      <c r="F33" s="1">
        <v>336</v>
      </c>
      <c r="G33" s="1">
        <v>3105570</v>
      </c>
      <c r="H33" s="1">
        <v>70.599999999999994</v>
      </c>
      <c r="I33" s="1">
        <v>1590</v>
      </c>
      <c r="J33" s="1">
        <v>10135</v>
      </c>
      <c r="K33" s="1">
        <v>102</v>
      </c>
      <c r="L33" s="1">
        <v>1100414</v>
      </c>
      <c r="M33" s="1">
        <v>25</v>
      </c>
      <c r="N33" s="1">
        <v>1031</v>
      </c>
      <c r="O33" s="1">
        <v>225</v>
      </c>
      <c r="P33" s="1">
        <v>71</v>
      </c>
      <c r="Q33" s="1">
        <v>17005</v>
      </c>
      <c r="R33" s="1">
        <v>0.4</v>
      </c>
      <c r="S33" s="1">
        <v>1186</v>
      </c>
      <c r="T33" s="1">
        <v>1</v>
      </c>
      <c r="U33" s="1">
        <v>1</v>
      </c>
      <c r="V33" s="1">
        <v>1</v>
      </c>
      <c r="W33" s="1">
        <v>0</v>
      </c>
      <c r="X33" s="1">
        <v>1256</v>
      </c>
      <c r="Y33" s="1">
        <v>1</v>
      </c>
      <c r="Z33" s="1">
        <v>1</v>
      </c>
      <c r="AA33" s="1">
        <v>1</v>
      </c>
      <c r="AB33" s="1">
        <v>0</v>
      </c>
      <c r="AC33" s="1">
        <v>1430</v>
      </c>
      <c r="AD33" s="1">
        <v>45</v>
      </c>
      <c r="AE33" s="1">
        <v>147</v>
      </c>
      <c r="AF33" s="1">
        <v>7041</v>
      </c>
      <c r="AG33" s="1">
        <v>0.2</v>
      </c>
      <c r="AH33" s="1">
        <v>1506</v>
      </c>
      <c r="AI33" s="1">
        <v>235</v>
      </c>
      <c r="AJ33" s="1">
        <v>39</v>
      </c>
      <c r="AK33" s="1">
        <v>9756</v>
      </c>
      <c r="AL33" s="1">
        <v>0.2</v>
      </c>
      <c r="AM33" s="1">
        <v>1598</v>
      </c>
      <c r="AN33" s="1">
        <v>663</v>
      </c>
      <c r="AO33" s="1">
        <v>25</v>
      </c>
      <c r="AP33" s="1">
        <v>17644</v>
      </c>
      <c r="AQ33" s="1">
        <v>0.4</v>
      </c>
      <c r="AR33" s="1">
        <v>1714</v>
      </c>
      <c r="AS33" s="1">
        <v>1215</v>
      </c>
      <c r="AT33" s="1">
        <v>109</v>
      </c>
      <c r="AU33" s="1">
        <v>140973</v>
      </c>
      <c r="AV33" s="1">
        <v>3.2</v>
      </c>
    </row>
    <row r="34" spans="1:48">
      <c r="A34" s="1" t="s">
        <v>112</v>
      </c>
      <c r="B34" s="1" t="s">
        <v>113</v>
      </c>
      <c r="C34" s="1">
        <v>0.99152399999999996</v>
      </c>
      <c r="D34" s="1">
        <v>1369</v>
      </c>
      <c r="E34" s="1">
        <v>13127</v>
      </c>
      <c r="F34" s="1">
        <v>332</v>
      </c>
      <c r="G34" s="1">
        <v>4639122</v>
      </c>
      <c r="H34" s="1">
        <v>70.5</v>
      </c>
      <c r="I34" s="1">
        <v>1590</v>
      </c>
      <c r="J34" s="1">
        <v>15439</v>
      </c>
      <c r="K34" s="1">
        <v>100</v>
      </c>
      <c r="L34" s="1">
        <v>1643431</v>
      </c>
      <c r="M34" s="1">
        <v>25</v>
      </c>
      <c r="N34" s="1">
        <v>1039</v>
      </c>
      <c r="O34" s="1">
        <v>447</v>
      </c>
      <c r="P34" s="1">
        <v>69</v>
      </c>
      <c r="Q34" s="1">
        <v>32831</v>
      </c>
      <c r="R34" s="1">
        <v>0.5</v>
      </c>
      <c r="S34" s="1">
        <v>1154</v>
      </c>
      <c r="T34" s="1">
        <v>1</v>
      </c>
      <c r="U34" s="1">
        <v>1</v>
      </c>
      <c r="V34" s="1">
        <v>1</v>
      </c>
      <c r="W34" s="1">
        <v>0</v>
      </c>
      <c r="X34" s="1">
        <v>1256</v>
      </c>
      <c r="Y34" s="1">
        <v>1</v>
      </c>
      <c r="Z34" s="1">
        <v>1</v>
      </c>
      <c r="AA34" s="1">
        <v>1</v>
      </c>
      <c r="AB34" s="1">
        <v>0</v>
      </c>
      <c r="AC34" s="1">
        <v>1404</v>
      </c>
      <c r="AD34" s="1">
        <v>75</v>
      </c>
      <c r="AE34" s="1">
        <v>139</v>
      </c>
      <c r="AF34" s="1">
        <v>11097</v>
      </c>
      <c r="AG34" s="1">
        <v>0.2</v>
      </c>
      <c r="AH34" s="1">
        <v>1506</v>
      </c>
      <c r="AI34" s="1">
        <v>445</v>
      </c>
      <c r="AJ34" s="1">
        <v>35</v>
      </c>
      <c r="AK34" s="1">
        <v>16579</v>
      </c>
      <c r="AL34" s="1">
        <v>0.3</v>
      </c>
      <c r="AM34" s="1">
        <v>1594</v>
      </c>
      <c r="AN34" s="1">
        <v>907</v>
      </c>
      <c r="AO34" s="1">
        <v>27</v>
      </c>
      <c r="AP34" s="1">
        <v>26068</v>
      </c>
      <c r="AQ34" s="1">
        <v>0.4</v>
      </c>
      <c r="AR34" s="1">
        <v>1718</v>
      </c>
      <c r="AS34" s="1">
        <v>1785</v>
      </c>
      <c r="AT34" s="1">
        <v>111</v>
      </c>
      <c r="AU34" s="1">
        <v>210908</v>
      </c>
      <c r="AV34" s="1">
        <v>3.2</v>
      </c>
    </row>
    <row r="35" spans="1:48">
      <c r="A35" s="1" t="s">
        <v>114</v>
      </c>
      <c r="B35" s="1" t="s">
        <v>115</v>
      </c>
      <c r="C35" s="1">
        <v>0.990699</v>
      </c>
      <c r="D35" s="1">
        <v>1369</v>
      </c>
      <c r="E35" s="1">
        <v>21241</v>
      </c>
      <c r="F35" s="1">
        <v>332</v>
      </c>
      <c r="G35" s="1">
        <v>7506634</v>
      </c>
      <c r="H35" s="1">
        <v>70.099999999999994</v>
      </c>
      <c r="I35" s="1">
        <v>1590</v>
      </c>
      <c r="J35" s="1">
        <v>24653</v>
      </c>
      <c r="K35" s="1">
        <v>102</v>
      </c>
      <c r="L35" s="1">
        <v>2676715</v>
      </c>
      <c r="M35" s="1">
        <v>25</v>
      </c>
      <c r="N35" s="1">
        <v>1035</v>
      </c>
      <c r="O35" s="1">
        <v>883</v>
      </c>
      <c r="P35" s="1">
        <v>63</v>
      </c>
      <c r="Q35" s="1">
        <v>59215</v>
      </c>
      <c r="R35" s="1">
        <v>0.6</v>
      </c>
      <c r="S35" s="1">
        <v>1150</v>
      </c>
      <c r="T35" s="1">
        <v>233</v>
      </c>
      <c r="U35" s="1">
        <v>1</v>
      </c>
      <c r="V35" s="1">
        <v>248</v>
      </c>
      <c r="W35" s="1">
        <v>0</v>
      </c>
      <c r="X35" s="1">
        <v>1256</v>
      </c>
      <c r="Y35" s="1">
        <v>1</v>
      </c>
      <c r="Z35" s="1">
        <v>1</v>
      </c>
      <c r="AA35" s="1">
        <v>1</v>
      </c>
      <c r="AB35" s="1">
        <v>0</v>
      </c>
      <c r="AC35" s="1">
        <v>1446</v>
      </c>
      <c r="AD35" s="1">
        <v>35</v>
      </c>
      <c r="AE35" s="1">
        <v>151</v>
      </c>
      <c r="AF35" s="1">
        <v>5626</v>
      </c>
      <c r="AG35" s="1">
        <v>0.1</v>
      </c>
      <c r="AH35" s="1">
        <v>1506</v>
      </c>
      <c r="AI35" s="1">
        <v>591</v>
      </c>
      <c r="AJ35" s="1">
        <v>33</v>
      </c>
      <c r="AK35" s="1">
        <v>20760</v>
      </c>
      <c r="AL35" s="1">
        <v>0.2</v>
      </c>
      <c r="AM35" s="1">
        <v>1598</v>
      </c>
      <c r="AN35" s="1">
        <v>2041</v>
      </c>
      <c r="AO35" s="1">
        <v>25</v>
      </c>
      <c r="AP35" s="1">
        <v>54314</v>
      </c>
      <c r="AQ35" s="1">
        <v>0.5</v>
      </c>
      <c r="AR35" s="1">
        <v>1716</v>
      </c>
      <c r="AS35" s="1">
        <v>3433</v>
      </c>
      <c r="AT35" s="1">
        <v>107</v>
      </c>
      <c r="AU35" s="1">
        <v>391012</v>
      </c>
      <c r="AV35" s="1">
        <v>3.6</v>
      </c>
    </row>
    <row r="36" spans="1:48">
      <c r="A36" s="1" t="s">
        <v>116</v>
      </c>
      <c r="B36" s="1" t="s">
        <v>117</v>
      </c>
      <c r="C36" s="1">
        <v>0.97880699999999998</v>
      </c>
      <c r="D36" s="1">
        <v>1369</v>
      </c>
      <c r="E36" s="1">
        <v>7201</v>
      </c>
      <c r="F36" s="1">
        <v>316</v>
      </c>
      <c r="G36" s="1">
        <v>2422212</v>
      </c>
      <c r="H36" s="1">
        <v>67.900000000000006</v>
      </c>
      <c r="I36" s="1">
        <v>1590</v>
      </c>
      <c r="J36" s="1">
        <v>8559</v>
      </c>
      <c r="K36" s="1">
        <v>100</v>
      </c>
      <c r="L36" s="1">
        <v>911077</v>
      </c>
      <c r="M36" s="1">
        <v>25.6</v>
      </c>
      <c r="N36" s="1">
        <v>1041</v>
      </c>
      <c r="O36" s="1">
        <v>309</v>
      </c>
      <c r="P36" s="1">
        <v>67</v>
      </c>
      <c r="Q36" s="1">
        <v>22038</v>
      </c>
      <c r="R36" s="1">
        <v>0.6</v>
      </c>
      <c r="S36" s="1">
        <v>1152</v>
      </c>
      <c r="T36" s="1">
        <v>137</v>
      </c>
      <c r="U36" s="1">
        <v>11</v>
      </c>
      <c r="V36" s="1">
        <v>1604</v>
      </c>
      <c r="W36" s="1">
        <v>0</v>
      </c>
      <c r="X36" s="1">
        <v>1256</v>
      </c>
      <c r="Y36" s="1">
        <v>1</v>
      </c>
      <c r="Z36" s="1">
        <v>1</v>
      </c>
      <c r="AA36" s="1">
        <v>1</v>
      </c>
      <c r="AB36" s="1">
        <v>0</v>
      </c>
      <c r="AC36" s="1">
        <v>1444</v>
      </c>
      <c r="AD36" s="1">
        <v>161</v>
      </c>
      <c r="AE36" s="1">
        <v>1</v>
      </c>
      <c r="AF36" s="1">
        <v>171</v>
      </c>
      <c r="AG36" s="1">
        <v>0</v>
      </c>
      <c r="AH36" s="1">
        <v>1506</v>
      </c>
      <c r="AI36" s="1">
        <v>67</v>
      </c>
      <c r="AJ36" s="1">
        <v>59</v>
      </c>
      <c r="AK36" s="1">
        <v>4208</v>
      </c>
      <c r="AL36" s="1">
        <v>0.1</v>
      </c>
      <c r="AM36" s="1">
        <v>1596</v>
      </c>
      <c r="AN36" s="1">
        <v>473</v>
      </c>
      <c r="AO36" s="1">
        <v>27</v>
      </c>
      <c r="AP36" s="1">
        <v>13594</v>
      </c>
      <c r="AQ36" s="1">
        <v>0.4</v>
      </c>
      <c r="AR36" s="1">
        <v>1722</v>
      </c>
      <c r="AS36" s="1">
        <v>1185</v>
      </c>
      <c r="AT36" s="1">
        <v>151</v>
      </c>
      <c r="AU36" s="1">
        <v>190470</v>
      </c>
      <c r="AV36" s="1">
        <v>5.3</v>
      </c>
    </row>
    <row r="37" spans="1:48">
      <c r="A37" s="1" t="s">
        <v>118</v>
      </c>
      <c r="B37" s="1" t="s">
        <v>119</v>
      </c>
      <c r="C37" s="1">
        <v>0.99354399999999998</v>
      </c>
      <c r="D37" s="1">
        <v>1369</v>
      </c>
      <c r="E37" s="1">
        <v>22545</v>
      </c>
      <c r="F37" s="1">
        <v>326</v>
      </c>
      <c r="G37" s="1">
        <v>7823481</v>
      </c>
      <c r="H37" s="1">
        <v>71.900000000000006</v>
      </c>
      <c r="I37" s="1">
        <v>1588</v>
      </c>
      <c r="J37" s="1">
        <v>24205</v>
      </c>
      <c r="K37" s="1">
        <v>100</v>
      </c>
      <c r="L37" s="1">
        <v>2576542</v>
      </c>
      <c r="M37" s="1">
        <v>23.7</v>
      </c>
      <c r="N37" s="1">
        <v>1043</v>
      </c>
      <c r="O37" s="1">
        <v>847</v>
      </c>
      <c r="P37" s="1">
        <v>79</v>
      </c>
      <c r="Q37" s="1">
        <v>71227</v>
      </c>
      <c r="R37" s="1">
        <v>0.7</v>
      </c>
      <c r="S37" s="1">
        <v>1154</v>
      </c>
      <c r="T37" s="1">
        <v>59</v>
      </c>
      <c r="U37" s="1">
        <v>1</v>
      </c>
      <c r="V37" s="1">
        <v>63</v>
      </c>
      <c r="W37" s="1">
        <v>0</v>
      </c>
      <c r="X37" s="1">
        <v>1256</v>
      </c>
      <c r="Y37" s="1">
        <v>1</v>
      </c>
      <c r="Z37" s="1">
        <v>1</v>
      </c>
      <c r="AA37" s="1">
        <v>1</v>
      </c>
      <c r="AB37" s="1">
        <v>0</v>
      </c>
      <c r="AC37" s="1">
        <v>1406</v>
      </c>
      <c r="AD37" s="1">
        <v>1</v>
      </c>
      <c r="AE37" s="1">
        <v>1</v>
      </c>
      <c r="AF37" s="1">
        <v>1</v>
      </c>
      <c r="AG37" s="1">
        <v>0</v>
      </c>
      <c r="AH37" s="1">
        <v>1506</v>
      </c>
      <c r="AI37" s="1">
        <v>509</v>
      </c>
      <c r="AJ37" s="1">
        <v>31</v>
      </c>
      <c r="AK37" s="1">
        <v>16796</v>
      </c>
      <c r="AL37" s="1">
        <v>0.2</v>
      </c>
      <c r="AM37" s="1">
        <v>1598</v>
      </c>
      <c r="AN37" s="1">
        <v>1985</v>
      </c>
      <c r="AO37" s="1">
        <v>29</v>
      </c>
      <c r="AP37" s="1">
        <v>61276</v>
      </c>
      <c r="AQ37" s="1">
        <v>0.6</v>
      </c>
      <c r="AR37" s="1">
        <v>1720</v>
      </c>
      <c r="AS37" s="1">
        <v>2597</v>
      </c>
      <c r="AT37" s="1">
        <v>119</v>
      </c>
      <c r="AU37" s="1">
        <v>328966</v>
      </c>
      <c r="AV37" s="1">
        <v>3</v>
      </c>
    </row>
    <row r="38" spans="1:48">
      <c r="A38" s="1" t="s">
        <v>120</v>
      </c>
      <c r="B38" s="1" t="s">
        <v>121</v>
      </c>
      <c r="C38" s="1">
        <v>0.99091200000000002</v>
      </c>
      <c r="D38" s="1">
        <v>1367</v>
      </c>
      <c r="E38" s="1">
        <v>12287</v>
      </c>
      <c r="F38" s="1">
        <v>312</v>
      </c>
      <c r="G38" s="1">
        <v>4080681</v>
      </c>
      <c r="H38" s="1">
        <v>70.7</v>
      </c>
      <c r="I38" s="1">
        <v>1590</v>
      </c>
      <c r="J38" s="1">
        <v>13461</v>
      </c>
      <c r="K38" s="1">
        <v>102</v>
      </c>
      <c r="L38" s="1">
        <v>1461537</v>
      </c>
      <c r="M38" s="1">
        <v>25.3</v>
      </c>
      <c r="N38" s="1">
        <v>1027</v>
      </c>
      <c r="O38" s="1">
        <v>475</v>
      </c>
      <c r="P38" s="1">
        <v>47</v>
      </c>
      <c r="Q38" s="1">
        <v>23764</v>
      </c>
      <c r="R38" s="1">
        <v>0.4</v>
      </c>
      <c r="S38" s="1">
        <v>1154</v>
      </c>
      <c r="T38" s="1">
        <v>9</v>
      </c>
      <c r="U38" s="1">
        <v>1</v>
      </c>
      <c r="V38" s="1">
        <v>10</v>
      </c>
      <c r="W38" s="1">
        <v>0</v>
      </c>
      <c r="X38" s="1">
        <v>1256</v>
      </c>
      <c r="Y38" s="1">
        <v>1</v>
      </c>
      <c r="Z38" s="1">
        <v>1</v>
      </c>
      <c r="AA38" s="1">
        <v>1</v>
      </c>
      <c r="AB38" s="1">
        <v>0</v>
      </c>
      <c r="AC38" s="1">
        <v>1458</v>
      </c>
      <c r="AD38" s="1">
        <v>153</v>
      </c>
      <c r="AE38" s="1">
        <v>1</v>
      </c>
      <c r="AF38" s="1">
        <v>163</v>
      </c>
      <c r="AG38" s="1">
        <v>0</v>
      </c>
      <c r="AH38" s="1">
        <v>1506</v>
      </c>
      <c r="AI38" s="1">
        <v>715</v>
      </c>
      <c r="AJ38" s="1">
        <v>37</v>
      </c>
      <c r="AK38" s="1">
        <v>28160</v>
      </c>
      <c r="AL38" s="1">
        <v>0.5</v>
      </c>
      <c r="AM38" s="1">
        <v>1596</v>
      </c>
      <c r="AN38" s="1">
        <v>513</v>
      </c>
      <c r="AO38" s="1">
        <v>25</v>
      </c>
      <c r="AP38" s="1">
        <v>13652</v>
      </c>
      <c r="AQ38" s="1">
        <v>0.2</v>
      </c>
      <c r="AR38" s="1">
        <v>1716</v>
      </c>
      <c r="AS38" s="1">
        <v>1549</v>
      </c>
      <c r="AT38" s="1">
        <v>97</v>
      </c>
      <c r="AU38" s="1">
        <v>159939</v>
      </c>
      <c r="AV38" s="1">
        <v>2.8</v>
      </c>
    </row>
    <row r="39" spans="1:48">
      <c r="A39" s="1" t="s">
        <v>122</v>
      </c>
      <c r="B39" s="1" t="s">
        <v>123</v>
      </c>
      <c r="C39" s="1">
        <v>0.98311199999999999</v>
      </c>
      <c r="D39" s="1">
        <v>1369</v>
      </c>
      <c r="E39" s="1">
        <v>8493</v>
      </c>
      <c r="F39" s="1">
        <v>346</v>
      </c>
      <c r="G39" s="1">
        <v>3128019</v>
      </c>
      <c r="H39" s="1">
        <v>74.400000000000006</v>
      </c>
      <c r="I39" s="1">
        <v>1588</v>
      </c>
      <c r="J39" s="1">
        <v>7987</v>
      </c>
      <c r="K39" s="1">
        <v>102</v>
      </c>
      <c r="L39" s="1">
        <v>867194</v>
      </c>
      <c r="M39" s="1">
        <v>20.6</v>
      </c>
      <c r="N39" s="1">
        <v>1037</v>
      </c>
      <c r="O39" s="1">
        <v>341</v>
      </c>
      <c r="P39" s="1">
        <v>61</v>
      </c>
      <c r="Q39" s="1">
        <v>22142</v>
      </c>
      <c r="R39" s="1">
        <v>0.5</v>
      </c>
      <c r="S39" s="1">
        <v>1186</v>
      </c>
      <c r="T39" s="1">
        <v>1</v>
      </c>
      <c r="U39" s="1">
        <v>1</v>
      </c>
      <c r="V39" s="1">
        <v>1</v>
      </c>
      <c r="W39" s="1">
        <v>0</v>
      </c>
      <c r="X39" s="1">
        <v>1256</v>
      </c>
      <c r="Y39" s="1">
        <v>1</v>
      </c>
      <c r="Z39" s="1">
        <v>1</v>
      </c>
      <c r="AA39" s="1">
        <v>1</v>
      </c>
      <c r="AB39" s="1">
        <v>0</v>
      </c>
      <c r="AC39" s="1">
        <v>1402</v>
      </c>
      <c r="AD39" s="1">
        <v>61</v>
      </c>
      <c r="AE39" s="1">
        <v>1</v>
      </c>
      <c r="AF39" s="1">
        <v>65</v>
      </c>
      <c r="AG39" s="1">
        <v>0</v>
      </c>
      <c r="AH39" s="1">
        <v>1506</v>
      </c>
      <c r="AI39" s="1">
        <v>301</v>
      </c>
      <c r="AJ39" s="1">
        <v>29</v>
      </c>
      <c r="AK39" s="1">
        <v>9292</v>
      </c>
      <c r="AL39" s="1">
        <v>0.2</v>
      </c>
      <c r="AM39" s="1">
        <v>1598</v>
      </c>
      <c r="AN39" s="1">
        <v>893</v>
      </c>
      <c r="AO39" s="1">
        <v>27</v>
      </c>
      <c r="AP39" s="1">
        <v>25665</v>
      </c>
      <c r="AQ39" s="1">
        <v>0.6</v>
      </c>
      <c r="AR39" s="1">
        <v>1720</v>
      </c>
      <c r="AS39" s="1">
        <v>959</v>
      </c>
      <c r="AT39" s="1">
        <v>147</v>
      </c>
      <c r="AU39" s="1">
        <v>150061</v>
      </c>
      <c r="AV39" s="1">
        <v>3.6</v>
      </c>
    </row>
    <row r="40" spans="1:48">
      <c r="A40" s="1" t="s">
        <v>124</v>
      </c>
      <c r="B40" s="1" t="s">
        <v>125</v>
      </c>
      <c r="C40" s="1">
        <v>0.98573500000000003</v>
      </c>
      <c r="D40" s="1">
        <v>1369</v>
      </c>
      <c r="E40" s="1">
        <v>5681</v>
      </c>
      <c r="F40" s="1">
        <v>344</v>
      </c>
      <c r="G40" s="1">
        <v>2080250</v>
      </c>
      <c r="H40" s="1">
        <v>74.599999999999994</v>
      </c>
      <c r="I40" s="1">
        <v>1588</v>
      </c>
      <c r="J40" s="1">
        <v>5359</v>
      </c>
      <c r="K40" s="1">
        <v>106</v>
      </c>
      <c r="L40" s="1">
        <v>604675</v>
      </c>
      <c r="M40" s="1">
        <v>21.7</v>
      </c>
      <c r="N40" s="1">
        <v>1033</v>
      </c>
      <c r="O40" s="1">
        <v>205</v>
      </c>
      <c r="P40" s="1">
        <v>63</v>
      </c>
      <c r="Q40" s="1">
        <v>13748</v>
      </c>
      <c r="R40" s="1">
        <v>0.5</v>
      </c>
      <c r="S40" s="1">
        <v>1186</v>
      </c>
      <c r="T40" s="1">
        <v>1</v>
      </c>
      <c r="U40" s="1">
        <v>1</v>
      </c>
      <c r="V40" s="1">
        <v>1</v>
      </c>
      <c r="W40" s="1">
        <v>0</v>
      </c>
      <c r="X40" s="1">
        <v>1256</v>
      </c>
      <c r="Y40" s="1">
        <v>1</v>
      </c>
      <c r="Z40" s="1">
        <v>1</v>
      </c>
      <c r="AA40" s="1">
        <v>1</v>
      </c>
      <c r="AB40" s="1">
        <v>0</v>
      </c>
      <c r="AC40" s="1">
        <v>1406</v>
      </c>
      <c r="AD40" s="1">
        <v>1</v>
      </c>
      <c r="AE40" s="1">
        <v>1</v>
      </c>
      <c r="AF40" s="1">
        <v>1</v>
      </c>
      <c r="AG40" s="1">
        <v>0</v>
      </c>
      <c r="AH40" s="1">
        <v>1506</v>
      </c>
      <c r="AI40" s="1">
        <v>181</v>
      </c>
      <c r="AJ40" s="1">
        <v>29</v>
      </c>
      <c r="AK40" s="1">
        <v>5587</v>
      </c>
      <c r="AL40" s="1">
        <v>0.2</v>
      </c>
      <c r="AM40" s="1">
        <v>1598</v>
      </c>
      <c r="AN40" s="1">
        <v>143</v>
      </c>
      <c r="AO40" s="1">
        <v>23</v>
      </c>
      <c r="AP40" s="1">
        <v>3501</v>
      </c>
      <c r="AQ40" s="1">
        <v>0.1</v>
      </c>
      <c r="AR40" s="1">
        <v>1724</v>
      </c>
      <c r="AS40" s="1">
        <v>561</v>
      </c>
      <c r="AT40" s="1">
        <v>135</v>
      </c>
      <c r="AU40" s="1">
        <v>80617</v>
      </c>
      <c r="AV40" s="1">
        <v>2.9</v>
      </c>
    </row>
    <row r="41" spans="1:48">
      <c r="A41" s="1" t="s">
        <v>126</v>
      </c>
      <c r="B41" s="1" t="s">
        <v>127</v>
      </c>
      <c r="C41" s="1">
        <v>0.981684</v>
      </c>
      <c r="D41" s="1">
        <v>1369</v>
      </c>
      <c r="E41" s="1">
        <v>7891</v>
      </c>
      <c r="F41" s="1">
        <v>346</v>
      </c>
      <c r="G41" s="1">
        <v>2906299</v>
      </c>
      <c r="H41" s="1">
        <v>73.599999999999994</v>
      </c>
      <c r="I41" s="1">
        <v>1588</v>
      </c>
      <c r="J41" s="1">
        <v>7391</v>
      </c>
      <c r="K41" s="1">
        <v>104</v>
      </c>
      <c r="L41" s="1">
        <v>818217</v>
      </c>
      <c r="M41" s="1">
        <v>20.7</v>
      </c>
      <c r="N41" s="1">
        <v>1051</v>
      </c>
      <c r="O41" s="1">
        <v>257</v>
      </c>
      <c r="P41" s="1">
        <v>49</v>
      </c>
      <c r="Q41" s="1">
        <v>13405</v>
      </c>
      <c r="R41" s="1">
        <v>0.3</v>
      </c>
      <c r="S41" s="1">
        <v>1186</v>
      </c>
      <c r="T41" s="1">
        <v>1</v>
      </c>
      <c r="U41" s="1">
        <v>1</v>
      </c>
      <c r="V41" s="1">
        <v>1</v>
      </c>
      <c r="W41" s="1">
        <v>0</v>
      </c>
      <c r="X41" s="1">
        <v>1256</v>
      </c>
      <c r="Y41" s="1">
        <v>1</v>
      </c>
      <c r="Z41" s="1">
        <v>1</v>
      </c>
      <c r="AA41" s="1">
        <v>1</v>
      </c>
      <c r="AB41" s="1">
        <v>0</v>
      </c>
      <c r="AC41" s="1">
        <v>1406</v>
      </c>
      <c r="AD41" s="1">
        <v>1</v>
      </c>
      <c r="AE41" s="1">
        <v>1</v>
      </c>
      <c r="AF41" s="1">
        <v>1</v>
      </c>
      <c r="AG41" s="1">
        <v>0</v>
      </c>
      <c r="AH41" s="1">
        <v>1506</v>
      </c>
      <c r="AI41" s="1">
        <v>317</v>
      </c>
      <c r="AJ41" s="1">
        <v>37</v>
      </c>
      <c r="AK41" s="1">
        <v>12485</v>
      </c>
      <c r="AL41" s="1">
        <v>0.3</v>
      </c>
      <c r="AM41" s="1">
        <v>1592</v>
      </c>
      <c r="AN41" s="1">
        <v>599</v>
      </c>
      <c r="AO41" s="1">
        <v>1</v>
      </c>
      <c r="AP41" s="1">
        <v>638</v>
      </c>
      <c r="AQ41" s="1">
        <v>0</v>
      </c>
      <c r="AR41" s="1">
        <v>1742</v>
      </c>
      <c r="AS41" s="1">
        <v>929</v>
      </c>
      <c r="AT41" s="1">
        <v>199</v>
      </c>
      <c r="AU41" s="1">
        <v>196789</v>
      </c>
      <c r="AV41" s="1">
        <v>5</v>
      </c>
    </row>
    <row r="42" spans="1:48">
      <c r="A42" s="1" t="s">
        <v>128</v>
      </c>
      <c r="B42" s="1" t="s">
        <v>129</v>
      </c>
      <c r="C42" s="1">
        <v>0.98904300000000001</v>
      </c>
      <c r="D42" s="1">
        <v>1369</v>
      </c>
      <c r="E42" s="1">
        <v>23737</v>
      </c>
      <c r="F42" s="1">
        <v>344</v>
      </c>
      <c r="G42" s="1">
        <v>8691935</v>
      </c>
      <c r="H42" s="1">
        <v>67.8</v>
      </c>
      <c r="I42" s="1">
        <v>1586</v>
      </c>
      <c r="J42" s="1">
        <v>29331</v>
      </c>
      <c r="K42" s="1">
        <v>112</v>
      </c>
      <c r="L42" s="1">
        <v>3496851</v>
      </c>
      <c r="M42" s="1">
        <v>27.3</v>
      </c>
      <c r="N42" s="1">
        <v>1051</v>
      </c>
      <c r="O42" s="1">
        <v>779</v>
      </c>
      <c r="P42" s="1">
        <v>59</v>
      </c>
      <c r="Q42" s="1">
        <v>48924</v>
      </c>
      <c r="R42" s="1">
        <v>0.4</v>
      </c>
      <c r="S42" s="1">
        <v>1186</v>
      </c>
      <c r="T42" s="1">
        <v>1</v>
      </c>
      <c r="U42" s="1">
        <v>1</v>
      </c>
      <c r="V42" s="1">
        <v>1</v>
      </c>
      <c r="W42" s="1">
        <v>0</v>
      </c>
      <c r="X42" s="1">
        <v>1256</v>
      </c>
      <c r="Y42" s="1">
        <v>1</v>
      </c>
      <c r="Z42" s="1">
        <v>1</v>
      </c>
      <c r="AA42" s="1">
        <v>1</v>
      </c>
      <c r="AB42" s="1">
        <v>0</v>
      </c>
      <c r="AC42" s="1">
        <v>1440</v>
      </c>
      <c r="AD42" s="1">
        <v>599</v>
      </c>
      <c r="AE42" s="1">
        <v>101</v>
      </c>
      <c r="AF42" s="1">
        <v>64399</v>
      </c>
      <c r="AG42" s="1">
        <v>0.5</v>
      </c>
      <c r="AH42" s="1">
        <v>1486</v>
      </c>
      <c r="AI42" s="1">
        <v>1025</v>
      </c>
      <c r="AJ42" s="1">
        <v>41</v>
      </c>
      <c r="AK42" s="1">
        <v>44734</v>
      </c>
      <c r="AL42" s="1">
        <v>0.3</v>
      </c>
      <c r="AM42" s="1">
        <v>1596</v>
      </c>
      <c r="AN42" s="1">
        <v>1343</v>
      </c>
      <c r="AO42" s="1">
        <v>25</v>
      </c>
      <c r="AP42" s="1">
        <v>35739</v>
      </c>
      <c r="AQ42" s="1">
        <v>0.3</v>
      </c>
      <c r="AR42" s="1">
        <v>1736</v>
      </c>
      <c r="AS42" s="1">
        <v>3171</v>
      </c>
      <c r="AT42" s="1">
        <v>129</v>
      </c>
      <c r="AU42" s="1">
        <v>435430</v>
      </c>
      <c r="AV42" s="1">
        <v>3.4</v>
      </c>
    </row>
    <row r="43" spans="1:48">
      <c r="A43" s="1" t="s">
        <v>130</v>
      </c>
      <c r="B43" s="1" t="s">
        <v>131</v>
      </c>
      <c r="C43" s="1">
        <v>0.98835200000000001</v>
      </c>
      <c r="D43" s="1">
        <v>1367</v>
      </c>
      <c r="E43" s="1">
        <v>29175</v>
      </c>
      <c r="F43" s="1">
        <v>346</v>
      </c>
      <c r="G43" s="1">
        <v>10745316</v>
      </c>
      <c r="H43" s="1">
        <v>66</v>
      </c>
      <c r="I43" s="1">
        <v>1584</v>
      </c>
      <c r="J43" s="1">
        <v>35071</v>
      </c>
      <c r="K43" s="1">
        <v>122</v>
      </c>
      <c r="L43" s="1">
        <v>4554495</v>
      </c>
      <c r="M43" s="1">
        <v>28</v>
      </c>
      <c r="N43" s="1">
        <v>1043</v>
      </c>
      <c r="O43" s="1">
        <v>1115</v>
      </c>
      <c r="P43" s="1">
        <v>71</v>
      </c>
      <c r="Q43" s="1">
        <v>84269</v>
      </c>
      <c r="R43" s="1">
        <v>0.5</v>
      </c>
      <c r="S43" s="1">
        <v>1186</v>
      </c>
      <c r="T43" s="1">
        <v>1</v>
      </c>
      <c r="U43" s="1">
        <v>1</v>
      </c>
      <c r="V43" s="1">
        <v>1</v>
      </c>
      <c r="W43" s="1">
        <v>0</v>
      </c>
      <c r="X43" s="1">
        <v>1256</v>
      </c>
      <c r="Y43" s="1">
        <v>1</v>
      </c>
      <c r="Z43" s="1">
        <v>1</v>
      </c>
      <c r="AA43" s="1">
        <v>1</v>
      </c>
      <c r="AB43" s="1">
        <v>0</v>
      </c>
      <c r="AC43" s="1">
        <v>1440</v>
      </c>
      <c r="AD43" s="1">
        <v>1881</v>
      </c>
      <c r="AE43" s="1">
        <v>83</v>
      </c>
      <c r="AF43" s="1">
        <v>166188</v>
      </c>
      <c r="AG43" s="1">
        <v>1</v>
      </c>
      <c r="AH43" s="1">
        <v>1488</v>
      </c>
      <c r="AI43" s="1">
        <v>1145</v>
      </c>
      <c r="AJ43" s="1">
        <v>39</v>
      </c>
      <c r="AK43" s="1">
        <v>47534</v>
      </c>
      <c r="AL43" s="1">
        <v>0.3</v>
      </c>
      <c r="AM43" s="1">
        <v>1582</v>
      </c>
      <c r="AN43" s="1">
        <v>1133</v>
      </c>
      <c r="AO43" s="1">
        <v>29</v>
      </c>
      <c r="AP43" s="1">
        <v>34975</v>
      </c>
      <c r="AQ43" s="1">
        <v>0.2</v>
      </c>
      <c r="AR43" s="1">
        <v>1748</v>
      </c>
      <c r="AS43" s="1">
        <v>3403</v>
      </c>
      <c r="AT43" s="1">
        <v>181</v>
      </c>
      <c r="AU43" s="1">
        <v>655651</v>
      </c>
      <c r="AV43" s="1">
        <v>4</v>
      </c>
    </row>
    <row r="44" spans="1:48">
      <c r="A44" s="1" t="s">
        <v>132</v>
      </c>
      <c r="B44" s="1" t="s">
        <v>133</v>
      </c>
      <c r="C44" s="1">
        <v>0.99003699999999994</v>
      </c>
      <c r="D44" s="1">
        <v>1369</v>
      </c>
      <c r="E44" s="1">
        <v>28777</v>
      </c>
      <c r="F44" s="1">
        <v>346</v>
      </c>
      <c r="G44" s="1">
        <v>10598730</v>
      </c>
      <c r="H44" s="1">
        <v>69.7</v>
      </c>
      <c r="I44" s="1">
        <v>1586</v>
      </c>
      <c r="J44" s="1">
        <v>32993</v>
      </c>
      <c r="K44" s="1">
        <v>114</v>
      </c>
      <c r="L44" s="1">
        <v>4003676</v>
      </c>
      <c r="M44" s="1">
        <v>26.3</v>
      </c>
      <c r="N44" s="1">
        <v>1043</v>
      </c>
      <c r="O44" s="1">
        <v>823</v>
      </c>
      <c r="P44" s="1">
        <v>75</v>
      </c>
      <c r="Q44" s="1">
        <v>65704</v>
      </c>
      <c r="R44" s="1">
        <v>0.4</v>
      </c>
      <c r="S44" s="1">
        <v>1186</v>
      </c>
      <c r="T44" s="1">
        <v>1</v>
      </c>
      <c r="U44" s="1">
        <v>1</v>
      </c>
      <c r="V44" s="1">
        <v>1</v>
      </c>
      <c r="W44" s="1">
        <v>0</v>
      </c>
      <c r="X44" s="1">
        <v>1256</v>
      </c>
      <c r="Y44" s="1">
        <v>1</v>
      </c>
      <c r="Z44" s="1">
        <v>1</v>
      </c>
      <c r="AA44" s="1">
        <v>1</v>
      </c>
      <c r="AB44" s="1">
        <v>0</v>
      </c>
      <c r="AC44" s="1">
        <v>1440</v>
      </c>
      <c r="AD44" s="1">
        <v>877</v>
      </c>
      <c r="AE44" s="1">
        <v>91</v>
      </c>
      <c r="AF44" s="1">
        <v>84952</v>
      </c>
      <c r="AG44" s="1">
        <v>0.6</v>
      </c>
      <c r="AH44" s="1">
        <v>1486</v>
      </c>
      <c r="AI44" s="1">
        <v>885</v>
      </c>
      <c r="AJ44" s="1">
        <v>45</v>
      </c>
      <c r="AK44" s="1">
        <v>42392</v>
      </c>
      <c r="AL44" s="1">
        <v>0.3</v>
      </c>
      <c r="AM44" s="1">
        <v>1592</v>
      </c>
      <c r="AN44" s="1">
        <v>1139</v>
      </c>
      <c r="AO44" s="1">
        <v>23</v>
      </c>
      <c r="AP44" s="1">
        <v>27886</v>
      </c>
      <c r="AQ44" s="1">
        <v>0.2</v>
      </c>
      <c r="AR44" s="1">
        <v>1730</v>
      </c>
      <c r="AS44" s="1">
        <v>3325</v>
      </c>
      <c r="AT44" s="1">
        <v>111</v>
      </c>
      <c r="AU44" s="1">
        <v>392868</v>
      </c>
      <c r="AV44" s="1">
        <v>2.6</v>
      </c>
    </row>
    <row r="45" spans="1:48">
      <c r="A45" s="1" t="s">
        <v>134</v>
      </c>
      <c r="B45" s="1" t="s">
        <v>135</v>
      </c>
      <c r="C45" s="1">
        <v>0.99290199999999995</v>
      </c>
      <c r="D45" s="1">
        <v>1369</v>
      </c>
      <c r="E45" s="1">
        <v>10813</v>
      </c>
      <c r="F45" s="1">
        <v>338</v>
      </c>
      <c r="G45" s="1">
        <v>3890408</v>
      </c>
      <c r="H45" s="1">
        <v>69</v>
      </c>
      <c r="I45" s="1">
        <v>1586</v>
      </c>
      <c r="J45" s="1">
        <v>12909</v>
      </c>
      <c r="K45" s="1">
        <v>114</v>
      </c>
      <c r="L45" s="1">
        <v>1566497</v>
      </c>
      <c r="M45" s="1">
        <v>27.8</v>
      </c>
      <c r="N45" s="1">
        <v>1043</v>
      </c>
      <c r="O45" s="1">
        <v>299</v>
      </c>
      <c r="P45" s="1">
        <v>67</v>
      </c>
      <c r="Q45" s="1">
        <v>21324</v>
      </c>
      <c r="R45" s="1">
        <v>0.4</v>
      </c>
      <c r="S45" s="1">
        <v>1186</v>
      </c>
      <c r="T45" s="1">
        <v>1</v>
      </c>
      <c r="U45" s="1">
        <v>1</v>
      </c>
      <c r="V45" s="1">
        <v>1</v>
      </c>
      <c r="W45" s="1">
        <v>0</v>
      </c>
      <c r="X45" s="1">
        <v>1256</v>
      </c>
      <c r="Y45" s="1">
        <v>1</v>
      </c>
      <c r="Z45" s="1">
        <v>1</v>
      </c>
      <c r="AA45" s="1">
        <v>1</v>
      </c>
      <c r="AB45" s="1">
        <v>0</v>
      </c>
      <c r="AC45" s="1">
        <v>1424</v>
      </c>
      <c r="AD45" s="1">
        <v>273</v>
      </c>
      <c r="AE45" s="1">
        <v>113</v>
      </c>
      <c r="AF45" s="1">
        <v>32838</v>
      </c>
      <c r="AG45" s="1">
        <v>0.6</v>
      </c>
      <c r="AH45" s="1">
        <v>1484</v>
      </c>
      <c r="AI45" s="1">
        <v>365</v>
      </c>
      <c r="AJ45" s="1">
        <v>43</v>
      </c>
      <c r="AK45" s="1">
        <v>16707</v>
      </c>
      <c r="AL45" s="1">
        <v>0.3</v>
      </c>
      <c r="AM45" s="1">
        <v>1592</v>
      </c>
      <c r="AN45" s="1">
        <v>423</v>
      </c>
      <c r="AO45" s="1">
        <v>27</v>
      </c>
      <c r="AP45" s="1">
        <v>12157</v>
      </c>
      <c r="AQ45" s="1">
        <v>0.2</v>
      </c>
      <c r="AR45" s="1">
        <v>1712</v>
      </c>
      <c r="AS45" s="1">
        <v>1447</v>
      </c>
      <c r="AT45" s="1">
        <v>63</v>
      </c>
      <c r="AU45" s="1">
        <v>97038</v>
      </c>
      <c r="AV45" s="1">
        <v>1.7</v>
      </c>
    </row>
    <row r="46" spans="1:48">
      <c r="A46" s="1" t="s">
        <v>136</v>
      </c>
      <c r="B46" s="1" t="s">
        <v>137</v>
      </c>
      <c r="C46" s="1">
        <v>0.98574600000000001</v>
      </c>
      <c r="D46" s="1">
        <v>1369</v>
      </c>
      <c r="E46" s="1">
        <v>13703</v>
      </c>
      <c r="F46" s="1">
        <v>348</v>
      </c>
      <c r="G46" s="1">
        <v>5076064</v>
      </c>
      <c r="H46" s="1">
        <v>65.599999999999994</v>
      </c>
      <c r="I46" s="1">
        <v>1586</v>
      </c>
      <c r="J46" s="1">
        <v>18347</v>
      </c>
      <c r="K46" s="1">
        <v>114</v>
      </c>
      <c r="L46" s="1">
        <v>2226395</v>
      </c>
      <c r="M46" s="1">
        <v>28.8</v>
      </c>
      <c r="N46" s="1">
        <v>1043</v>
      </c>
      <c r="O46" s="1">
        <v>353</v>
      </c>
      <c r="P46" s="1">
        <v>65</v>
      </c>
      <c r="Q46" s="1">
        <v>24424</v>
      </c>
      <c r="R46" s="1">
        <v>0.3</v>
      </c>
      <c r="S46" s="1">
        <v>1186</v>
      </c>
      <c r="T46" s="1">
        <v>1</v>
      </c>
      <c r="U46" s="1">
        <v>1</v>
      </c>
      <c r="V46" s="1">
        <v>1</v>
      </c>
      <c r="W46" s="1">
        <v>0</v>
      </c>
      <c r="X46" s="1">
        <v>1256</v>
      </c>
      <c r="Y46" s="1">
        <v>1</v>
      </c>
      <c r="Z46" s="1">
        <v>1</v>
      </c>
      <c r="AA46" s="1">
        <v>1</v>
      </c>
      <c r="AB46" s="1">
        <v>0</v>
      </c>
      <c r="AC46" s="1">
        <v>1440</v>
      </c>
      <c r="AD46" s="1">
        <v>795</v>
      </c>
      <c r="AE46" s="1">
        <v>91</v>
      </c>
      <c r="AF46" s="1">
        <v>77009</v>
      </c>
      <c r="AG46" s="1">
        <v>1</v>
      </c>
      <c r="AH46" s="1">
        <v>1492</v>
      </c>
      <c r="AI46" s="1">
        <v>719</v>
      </c>
      <c r="AJ46" s="1">
        <v>49</v>
      </c>
      <c r="AK46" s="1">
        <v>37502</v>
      </c>
      <c r="AL46" s="1">
        <v>0.5</v>
      </c>
      <c r="AM46" s="1">
        <v>1582</v>
      </c>
      <c r="AN46" s="1">
        <v>391</v>
      </c>
      <c r="AO46" s="1">
        <v>23</v>
      </c>
      <c r="AP46" s="1">
        <v>9573</v>
      </c>
      <c r="AQ46" s="1">
        <v>0.1</v>
      </c>
      <c r="AR46" s="1">
        <v>1730</v>
      </c>
      <c r="AS46" s="1">
        <v>2601</v>
      </c>
      <c r="AT46" s="1">
        <v>103</v>
      </c>
      <c r="AU46" s="1">
        <v>285174</v>
      </c>
      <c r="AV46" s="1">
        <v>3.7</v>
      </c>
    </row>
    <row r="47" spans="1:48">
      <c r="A47" s="1" t="s">
        <v>138</v>
      </c>
      <c r="B47" s="1" t="s">
        <v>139</v>
      </c>
      <c r="C47" s="1">
        <v>0.94644700000000004</v>
      </c>
      <c r="D47" s="1">
        <v>1369</v>
      </c>
      <c r="E47" s="1">
        <v>25355</v>
      </c>
      <c r="F47" s="1">
        <v>294</v>
      </c>
      <c r="G47" s="1">
        <v>7934931</v>
      </c>
      <c r="H47" s="1">
        <v>57.7</v>
      </c>
      <c r="I47" s="1">
        <v>1592</v>
      </c>
      <c r="J47" s="1">
        <v>34627</v>
      </c>
      <c r="K47" s="1">
        <v>112</v>
      </c>
      <c r="L47" s="1">
        <v>4128242</v>
      </c>
      <c r="M47" s="1">
        <v>30</v>
      </c>
      <c r="N47" s="1">
        <v>1029</v>
      </c>
      <c r="O47" s="1">
        <v>2017</v>
      </c>
      <c r="P47" s="1">
        <v>19</v>
      </c>
      <c r="Q47" s="1">
        <v>40794</v>
      </c>
      <c r="R47" s="1">
        <v>0.3</v>
      </c>
      <c r="S47" s="1">
        <v>1156</v>
      </c>
      <c r="T47" s="1">
        <v>1359</v>
      </c>
      <c r="U47" s="1">
        <v>3</v>
      </c>
      <c r="V47" s="1">
        <v>4340</v>
      </c>
      <c r="W47" s="1">
        <v>0</v>
      </c>
      <c r="X47" s="1">
        <v>1270</v>
      </c>
      <c r="Y47" s="1">
        <v>1</v>
      </c>
      <c r="Z47" s="1">
        <v>1</v>
      </c>
      <c r="AA47" s="1">
        <v>1</v>
      </c>
      <c r="AB47" s="1">
        <v>0</v>
      </c>
      <c r="AC47" s="1">
        <v>1456</v>
      </c>
      <c r="AD47" s="1">
        <v>4765</v>
      </c>
      <c r="AE47" s="1">
        <v>81</v>
      </c>
      <c r="AF47" s="1">
        <v>410847</v>
      </c>
      <c r="AG47" s="1">
        <v>3</v>
      </c>
      <c r="AH47" s="1">
        <v>1492</v>
      </c>
      <c r="AI47" s="1">
        <v>2115</v>
      </c>
      <c r="AJ47" s="1">
        <v>19</v>
      </c>
      <c r="AK47" s="1">
        <v>42776</v>
      </c>
      <c r="AL47" s="1">
        <v>0.3</v>
      </c>
      <c r="AM47" s="1">
        <v>1592</v>
      </c>
      <c r="AN47" s="1">
        <v>729</v>
      </c>
      <c r="AO47" s="1">
        <v>3</v>
      </c>
      <c r="AP47" s="1">
        <v>2328</v>
      </c>
      <c r="AQ47" s="1">
        <v>0</v>
      </c>
      <c r="AR47" s="1">
        <v>1746</v>
      </c>
      <c r="AS47" s="1">
        <v>7245</v>
      </c>
      <c r="AT47" s="1">
        <v>153</v>
      </c>
      <c r="AU47" s="1">
        <v>1179946</v>
      </c>
      <c r="AV47" s="1">
        <v>8.6</v>
      </c>
    </row>
    <row r="48" spans="1:48">
      <c r="A48" s="1" t="s">
        <v>140</v>
      </c>
      <c r="B48" s="1" t="s">
        <v>141</v>
      </c>
      <c r="C48" s="1">
        <v>0.87256</v>
      </c>
      <c r="D48" s="1">
        <v>1369</v>
      </c>
      <c r="E48" s="1">
        <v>18799</v>
      </c>
      <c r="F48" s="1">
        <v>330</v>
      </c>
      <c r="G48" s="1">
        <v>6603602</v>
      </c>
      <c r="H48" s="1">
        <v>51.3</v>
      </c>
      <c r="I48" s="1">
        <v>1592</v>
      </c>
      <c r="J48" s="1">
        <v>29797</v>
      </c>
      <c r="K48" s="1">
        <v>118</v>
      </c>
      <c r="L48" s="1">
        <v>3742715</v>
      </c>
      <c r="M48" s="1">
        <v>29.1</v>
      </c>
      <c r="N48" s="1">
        <v>1017</v>
      </c>
      <c r="O48" s="1">
        <v>5</v>
      </c>
      <c r="P48" s="1">
        <v>5</v>
      </c>
      <c r="Q48" s="1">
        <v>27</v>
      </c>
      <c r="R48" s="1">
        <v>0</v>
      </c>
      <c r="S48" s="1">
        <v>1156</v>
      </c>
      <c r="T48" s="1">
        <v>73</v>
      </c>
      <c r="U48" s="1">
        <v>1</v>
      </c>
      <c r="V48" s="1">
        <v>78</v>
      </c>
      <c r="W48" s="1">
        <v>0</v>
      </c>
      <c r="X48" s="1">
        <v>1270</v>
      </c>
      <c r="Y48" s="1">
        <v>1</v>
      </c>
      <c r="Z48" s="1">
        <v>1</v>
      </c>
      <c r="AA48" s="1">
        <v>1</v>
      </c>
      <c r="AB48" s="1">
        <v>0</v>
      </c>
      <c r="AC48" s="1">
        <v>1458</v>
      </c>
      <c r="AD48" s="1">
        <v>8943</v>
      </c>
      <c r="AE48" s="1">
        <v>67</v>
      </c>
      <c r="AF48" s="1">
        <v>637808</v>
      </c>
      <c r="AG48" s="1">
        <v>5</v>
      </c>
      <c r="AH48" s="1">
        <v>1496</v>
      </c>
      <c r="AI48" s="1">
        <v>573</v>
      </c>
      <c r="AJ48" s="1">
        <v>9</v>
      </c>
      <c r="AK48" s="1">
        <v>5489</v>
      </c>
      <c r="AL48" s="1">
        <v>0</v>
      </c>
      <c r="AM48" s="1">
        <v>1580</v>
      </c>
      <c r="AN48" s="1">
        <v>2557</v>
      </c>
      <c r="AO48" s="1">
        <v>1</v>
      </c>
      <c r="AP48" s="1">
        <v>2722</v>
      </c>
      <c r="AQ48" s="1">
        <v>0</v>
      </c>
      <c r="AR48" s="1">
        <v>1748</v>
      </c>
      <c r="AS48" s="1">
        <v>8831</v>
      </c>
      <c r="AT48" s="1">
        <v>199</v>
      </c>
      <c r="AU48" s="1">
        <v>1870661</v>
      </c>
      <c r="AV48" s="1">
        <v>14.5</v>
      </c>
    </row>
    <row r="49" spans="1:48">
      <c r="A49" s="1" t="s">
        <v>142</v>
      </c>
      <c r="B49" s="1" t="s">
        <v>143</v>
      </c>
      <c r="C49" s="1">
        <v>0.98942200000000002</v>
      </c>
      <c r="D49" s="1">
        <v>1367</v>
      </c>
      <c r="E49" s="1">
        <v>15799</v>
      </c>
      <c r="F49" s="1">
        <v>334</v>
      </c>
      <c r="G49" s="1">
        <v>5617050</v>
      </c>
      <c r="H49" s="1">
        <v>74.5</v>
      </c>
      <c r="I49" s="1">
        <v>1586</v>
      </c>
      <c r="J49" s="1">
        <v>14477</v>
      </c>
      <c r="K49" s="1">
        <v>100</v>
      </c>
      <c r="L49" s="1">
        <v>1541029</v>
      </c>
      <c r="M49" s="1">
        <v>20.399999999999999</v>
      </c>
      <c r="N49" s="1">
        <v>1039</v>
      </c>
      <c r="O49" s="1">
        <v>573</v>
      </c>
      <c r="P49" s="1">
        <v>69</v>
      </c>
      <c r="Q49" s="1">
        <v>42086</v>
      </c>
      <c r="R49" s="1">
        <v>0.6</v>
      </c>
      <c r="S49" s="1">
        <v>1150</v>
      </c>
      <c r="T49" s="1">
        <v>3</v>
      </c>
      <c r="U49" s="1">
        <v>1</v>
      </c>
      <c r="V49" s="1">
        <v>3</v>
      </c>
      <c r="W49" s="1">
        <v>0</v>
      </c>
      <c r="X49" s="1">
        <v>1292</v>
      </c>
      <c r="Y49" s="1">
        <v>239</v>
      </c>
      <c r="Z49" s="1">
        <v>1</v>
      </c>
      <c r="AA49" s="1">
        <v>254</v>
      </c>
      <c r="AB49" s="1">
        <v>0</v>
      </c>
      <c r="AC49" s="1">
        <v>1400</v>
      </c>
      <c r="AD49" s="1">
        <v>1</v>
      </c>
      <c r="AE49" s="1">
        <v>1</v>
      </c>
      <c r="AF49" s="1">
        <v>1</v>
      </c>
      <c r="AG49" s="1">
        <v>0</v>
      </c>
      <c r="AH49" s="1">
        <v>1500</v>
      </c>
      <c r="AI49" s="1">
        <v>453</v>
      </c>
      <c r="AJ49" s="1">
        <v>21</v>
      </c>
      <c r="AK49" s="1">
        <v>10126</v>
      </c>
      <c r="AL49" s="1">
        <v>0.1</v>
      </c>
      <c r="AM49" s="1">
        <v>1592</v>
      </c>
      <c r="AN49" s="1">
        <v>2741</v>
      </c>
      <c r="AO49" s="1">
        <v>33</v>
      </c>
      <c r="AP49" s="1">
        <v>96284</v>
      </c>
      <c r="AQ49" s="1">
        <v>1.3</v>
      </c>
      <c r="AR49" s="1">
        <v>1748</v>
      </c>
      <c r="AS49" s="1">
        <v>1093</v>
      </c>
      <c r="AT49" s="1">
        <v>199</v>
      </c>
      <c r="AU49" s="1">
        <v>231529</v>
      </c>
      <c r="AV49" s="1">
        <v>3.1</v>
      </c>
    </row>
    <row r="50" spans="1:48">
      <c r="A50" s="1" t="s">
        <v>144</v>
      </c>
      <c r="B50" s="1" t="s">
        <v>145</v>
      </c>
      <c r="C50" s="1">
        <v>0.98346199999999995</v>
      </c>
      <c r="D50" s="1">
        <v>1365</v>
      </c>
      <c r="E50" s="1">
        <v>5371</v>
      </c>
      <c r="F50" s="1">
        <v>314</v>
      </c>
      <c r="G50" s="1">
        <v>1795217</v>
      </c>
      <c r="H50" s="1">
        <v>75</v>
      </c>
      <c r="I50" s="1">
        <v>1586</v>
      </c>
      <c r="J50" s="1">
        <v>4645</v>
      </c>
      <c r="K50" s="1">
        <v>100</v>
      </c>
      <c r="L50" s="1">
        <v>494445</v>
      </c>
      <c r="M50" s="1">
        <v>20.7</v>
      </c>
      <c r="N50" s="1">
        <v>1045</v>
      </c>
      <c r="O50" s="1">
        <v>207</v>
      </c>
      <c r="P50" s="1">
        <v>93</v>
      </c>
      <c r="Q50" s="1">
        <v>20492</v>
      </c>
      <c r="R50" s="1">
        <v>0.9</v>
      </c>
      <c r="S50" s="1">
        <v>1172</v>
      </c>
      <c r="T50" s="1">
        <v>1</v>
      </c>
      <c r="U50" s="1">
        <v>1</v>
      </c>
      <c r="V50" s="1">
        <v>1</v>
      </c>
      <c r="W50" s="1">
        <v>0</v>
      </c>
      <c r="X50" s="1">
        <v>1292</v>
      </c>
      <c r="Y50" s="1">
        <v>161</v>
      </c>
      <c r="Z50" s="1">
        <v>63</v>
      </c>
      <c r="AA50" s="1">
        <v>10797</v>
      </c>
      <c r="AB50" s="1">
        <v>0.5</v>
      </c>
      <c r="AC50" s="1">
        <v>1400</v>
      </c>
      <c r="AD50" s="1">
        <v>1</v>
      </c>
      <c r="AE50" s="1">
        <v>1</v>
      </c>
      <c r="AF50" s="1">
        <v>1</v>
      </c>
      <c r="AG50" s="1">
        <v>0</v>
      </c>
      <c r="AH50" s="1">
        <v>1500</v>
      </c>
      <c r="AI50" s="1">
        <v>149</v>
      </c>
      <c r="AJ50" s="1">
        <v>3</v>
      </c>
      <c r="AK50" s="1">
        <v>476</v>
      </c>
      <c r="AL50" s="1">
        <v>0</v>
      </c>
      <c r="AM50" s="1">
        <v>1590</v>
      </c>
      <c r="AN50" s="1">
        <v>927</v>
      </c>
      <c r="AO50" s="1">
        <v>35</v>
      </c>
      <c r="AP50" s="1">
        <v>34537</v>
      </c>
      <c r="AQ50" s="1">
        <v>1.4</v>
      </c>
      <c r="AR50" s="1">
        <v>1738</v>
      </c>
      <c r="AS50" s="1">
        <v>275</v>
      </c>
      <c r="AT50" s="1">
        <v>125</v>
      </c>
      <c r="AU50" s="1">
        <v>36591</v>
      </c>
      <c r="AV50" s="1">
        <v>1.5</v>
      </c>
    </row>
    <row r="51" spans="1:48">
      <c r="A51" s="1" t="s">
        <v>146</v>
      </c>
      <c r="B51" s="1" t="s">
        <v>147</v>
      </c>
      <c r="C51" s="1">
        <v>0.98206800000000005</v>
      </c>
      <c r="D51" s="1">
        <v>1355</v>
      </c>
      <c r="E51" s="1">
        <v>3825</v>
      </c>
      <c r="F51" s="1">
        <v>276</v>
      </c>
      <c r="G51" s="1">
        <v>1123758</v>
      </c>
      <c r="H51" s="1">
        <v>66.400000000000006</v>
      </c>
      <c r="I51" s="1">
        <v>1592</v>
      </c>
      <c r="J51" s="1">
        <v>4155</v>
      </c>
      <c r="K51" s="1">
        <v>102</v>
      </c>
      <c r="L51" s="1">
        <v>451132</v>
      </c>
      <c r="M51" s="1">
        <v>26.7</v>
      </c>
      <c r="N51" s="1">
        <v>1041</v>
      </c>
      <c r="O51" s="1">
        <v>127</v>
      </c>
      <c r="P51" s="1">
        <v>137</v>
      </c>
      <c r="Q51" s="1">
        <v>18521</v>
      </c>
      <c r="R51" s="1">
        <v>1.1000000000000001</v>
      </c>
      <c r="S51" s="1">
        <v>1160</v>
      </c>
      <c r="T51" s="1">
        <v>15</v>
      </c>
      <c r="U51" s="1">
        <v>1</v>
      </c>
      <c r="V51" s="1">
        <v>16</v>
      </c>
      <c r="W51" s="1">
        <v>0</v>
      </c>
      <c r="X51" s="1">
        <v>1270</v>
      </c>
      <c r="Y51" s="1">
        <v>1</v>
      </c>
      <c r="Z51" s="1">
        <v>1</v>
      </c>
      <c r="AA51" s="1">
        <v>1</v>
      </c>
      <c r="AB51" s="1">
        <v>0</v>
      </c>
      <c r="AC51" s="1">
        <v>1402</v>
      </c>
      <c r="AD51" s="1">
        <v>49</v>
      </c>
      <c r="AE51" s="1">
        <v>149</v>
      </c>
      <c r="AF51" s="1">
        <v>7772</v>
      </c>
      <c r="AG51" s="1">
        <v>0.5</v>
      </c>
      <c r="AH51" s="1">
        <v>1500</v>
      </c>
      <c r="AI51" s="1">
        <v>117</v>
      </c>
      <c r="AJ51" s="1">
        <v>39</v>
      </c>
      <c r="AK51" s="1">
        <v>4857</v>
      </c>
      <c r="AL51" s="1">
        <v>0.3</v>
      </c>
      <c r="AM51" s="1">
        <v>1598</v>
      </c>
      <c r="AN51" s="1">
        <v>871</v>
      </c>
      <c r="AO51" s="1">
        <v>23</v>
      </c>
      <c r="AP51" s="1">
        <v>21324</v>
      </c>
      <c r="AQ51" s="1">
        <v>1.3</v>
      </c>
      <c r="AR51" s="1">
        <v>1730</v>
      </c>
      <c r="AS51" s="1">
        <v>389</v>
      </c>
      <c r="AT51" s="1">
        <v>155</v>
      </c>
      <c r="AU51" s="1">
        <v>64182</v>
      </c>
      <c r="AV51" s="1">
        <v>3.8</v>
      </c>
    </row>
    <row r="52" spans="1:48">
      <c r="A52" s="1" t="s">
        <v>148</v>
      </c>
      <c r="B52" s="1" t="s">
        <v>149</v>
      </c>
      <c r="C52" s="1">
        <v>0.96768900000000002</v>
      </c>
      <c r="D52" s="1">
        <v>1357</v>
      </c>
      <c r="E52" s="1">
        <v>2977</v>
      </c>
      <c r="F52" s="1">
        <v>254</v>
      </c>
      <c r="G52" s="1">
        <v>804905</v>
      </c>
      <c r="H52" s="1">
        <v>64.3</v>
      </c>
      <c r="I52" s="1">
        <v>1594</v>
      </c>
      <c r="J52" s="1">
        <v>3469</v>
      </c>
      <c r="K52" s="1">
        <v>100</v>
      </c>
      <c r="L52" s="1">
        <v>369264</v>
      </c>
      <c r="M52" s="1">
        <v>29.5</v>
      </c>
      <c r="N52" s="1">
        <v>1073</v>
      </c>
      <c r="O52" s="1">
        <v>99</v>
      </c>
      <c r="P52" s="1">
        <v>145</v>
      </c>
      <c r="Q52" s="1">
        <v>15280</v>
      </c>
      <c r="R52" s="1">
        <v>1.2</v>
      </c>
      <c r="S52" s="1">
        <v>1174</v>
      </c>
      <c r="T52" s="1">
        <v>73</v>
      </c>
      <c r="U52" s="1">
        <v>1</v>
      </c>
      <c r="V52" s="1">
        <v>78</v>
      </c>
      <c r="W52" s="1">
        <v>0</v>
      </c>
      <c r="X52" s="1">
        <v>1270</v>
      </c>
      <c r="Y52" s="1">
        <v>1</v>
      </c>
      <c r="Z52" s="1">
        <v>1</v>
      </c>
      <c r="AA52" s="1">
        <v>1</v>
      </c>
      <c r="AB52" s="1">
        <v>0</v>
      </c>
      <c r="AC52" s="1">
        <v>1456</v>
      </c>
      <c r="AD52" s="1">
        <v>83</v>
      </c>
      <c r="AE52" s="1">
        <v>3</v>
      </c>
      <c r="AF52" s="1">
        <v>265</v>
      </c>
      <c r="AG52" s="1">
        <v>0</v>
      </c>
      <c r="AH52" s="1">
        <v>1500</v>
      </c>
      <c r="AI52" s="1">
        <v>247</v>
      </c>
      <c r="AJ52" s="1">
        <v>41</v>
      </c>
      <c r="AK52" s="1">
        <v>10780</v>
      </c>
      <c r="AL52" s="1">
        <v>0.9</v>
      </c>
      <c r="AM52" s="1">
        <v>1598</v>
      </c>
      <c r="AN52" s="1">
        <v>611</v>
      </c>
      <c r="AO52" s="1">
        <v>17</v>
      </c>
      <c r="AP52" s="1">
        <v>11057</v>
      </c>
      <c r="AQ52" s="1">
        <v>0.9</v>
      </c>
      <c r="AR52" s="1">
        <v>1736</v>
      </c>
      <c r="AS52" s="1">
        <v>277</v>
      </c>
      <c r="AT52" s="1">
        <v>137</v>
      </c>
      <c r="AU52" s="1">
        <v>40395</v>
      </c>
      <c r="AV52" s="1">
        <v>3.2</v>
      </c>
    </row>
    <row r="53" spans="1:48">
      <c r="A53" s="1" t="s">
        <v>150</v>
      </c>
      <c r="B53" s="1" t="s">
        <v>151</v>
      </c>
      <c r="C53" s="1">
        <v>0.98943099999999995</v>
      </c>
      <c r="D53" s="1">
        <v>1367</v>
      </c>
      <c r="E53" s="1">
        <v>14461</v>
      </c>
      <c r="F53" s="1">
        <v>308</v>
      </c>
      <c r="G53" s="1">
        <v>4741123</v>
      </c>
      <c r="H53" s="1">
        <v>70.8</v>
      </c>
      <c r="I53" s="1">
        <v>1590</v>
      </c>
      <c r="J53" s="1">
        <v>14995</v>
      </c>
      <c r="K53" s="1">
        <v>102</v>
      </c>
      <c r="L53" s="1">
        <v>1628092</v>
      </c>
      <c r="M53" s="1">
        <v>24.3</v>
      </c>
      <c r="N53" s="1">
        <v>1045</v>
      </c>
      <c r="O53" s="1">
        <v>721</v>
      </c>
      <c r="P53" s="1">
        <v>91</v>
      </c>
      <c r="Q53" s="1">
        <v>69841</v>
      </c>
      <c r="R53" s="1">
        <v>1</v>
      </c>
      <c r="S53" s="1">
        <v>1172</v>
      </c>
      <c r="T53" s="1">
        <v>1</v>
      </c>
      <c r="U53" s="1">
        <v>1</v>
      </c>
      <c r="V53" s="1">
        <v>1</v>
      </c>
      <c r="W53" s="1">
        <v>0</v>
      </c>
      <c r="X53" s="1">
        <v>1270</v>
      </c>
      <c r="Y53" s="1">
        <v>1</v>
      </c>
      <c r="Z53" s="1">
        <v>1</v>
      </c>
      <c r="AA53" s="1">
        <v>1</v>
      </c>
      <c r="AB53" s="1">
        <v>0</v>
      </c>
      <c r="AC53" s="1">
        <v>1404</v>
      </c>
      <c r="AD53" s="1">
        <v>53</v>
      </c>
      <c r="AE53" s="1">
        <v>1</v>
      </c>
      <c r="AF53" s="1">
        <v>56</v>
      </c>
      <c r="AG53" s="1">
        <v>0</v>
      </c>
      <c r="AH53" s="1">
        <v>1500</v>
      </c>
      <c r="AI53" s="1">
        <v>599</v>
      </c>
      <c r="AJ53" s="1">
        <v>31</v>
      </c>
      <c r="AK53" s="1">
        <v>19766</v>
      </c>
      <c r="AL53" s="1">
        <v>0.3</v>
      </c>
      <c r="AM53" s="1">
        <v>1594</v>
      </c>
      <c r="AN53" s="1">
        <v>921</v>
      </c>
      <c r="AO53" s="1">
        <v>25</v>
      </c>
      <c r="AP53" s="1">
        <v>24509</v>
      </c>
      <c r="AQ53" s="1">
        <v>0.4</v>
      </c>
      <c r="AR53" s="1">
        <v>1728</v>
      </c>
      <c r="AS53" s="1">
        <v>1641</v>
      </c>
      <c r="AT53" s="1">
        <v>123</v>
      </c>
      <c r="AU53" s="1">
        <v>214855</v>
      </c>
      <c r="AV53" s="1">
        <v>3.2</v>
      </c>
    </row>
    <row r="54" spans="1:48">
      <c r="A54" s="1" t="s">
        <v>152</v>
      </c>
      <c r="B54" s="1" t="s">
        <v>153</v>
      </c>
      <c r="C54" s="1">
        <v>0.98421700000000001</v>
      </c>
      <c r="D54" s="1">
        <v>1365</v>
      </c>
      <c r="E54" s="1">
        <v>13415</v>
      </c>
      <c r="F54" s="1">
        <v>306</v>
      </c>
      <c r="G54" s="1">
        <v>4369627</v>
      </c>
      <c r="H54" s="1">
        <v>69.8</v>
      </c>
      <c r="I54" s="1">
        <v>1590</v>
      </c>
      <c r="J54" s="1">
        <v>13737</v>
      </c>
      <c r="K54" s="1">
        <v>102</v>
      </c>
      <c r="L54" s="1">
        <v>1491504</v>
      </c>
      <c r="M54" s="1">
        <v>23.8</v>
      </c>
      <c r="N54" s="1">
        <v>1041</v>
      </c>
      <c r="O54" s="1">
        <v>657</v>
      </c>
      <c r="P54" s="1">
        <v>91</v>
      </c>
      <c r="Q54" s="1">
        <v>63641</v>
      </c>
      <c r="R54" s="1">
        <v>1</v>
      </c>
      <c r="S54" s="1">
        <v>1172</v>
      </c>
      <c r="T54" s="1">
        <v>1</v>
      </c>
      <c r="U54" s="1">
        <v>1</v>
      </c>
      <c r="V54" s="1">
        <v>1</v>
      </c>
      <c r="W54" s="1">
        <v>0</v>
      </c>
      <c r="X54" s="1">
        <v>1270</v>
      </c>
      <c r="Y54" s="1">
        <v>1</v>
      </c>
      <c r="Z54" s="1">
        <v>1</v>
      </c>
      <c r="AA54" s="1">
        <v>1</v>
      </c>
      <c r="AB54" s="1">
        <v>0</v>
      </c>
      <c r="AC54" s="1">
        <v>1402</v>
      </c>
      <c r="AD54" s="1">
        <v>3</v>
      </c>
      <c r="AE54" s="1">
        <v>1</v>
      </c>
      <c r="AF54" s="1">
        <v>3</v>
      </c>
      <c r="AG54" s="1">
        <v>0</v>
      </c>
      <c r="AH54" s="1">
        <v>1500</v>
      </c>
      <c r="AI54" s="1">
        <v>557</v>
      </c>
      <c r="AJ54" s="1">
        <v>27</v>
      </c>
      <c r="AK54" s="1">
        <v>16009</v>
      </c>
      <c r="AL54" s="1">
        <v>0.3</v>
      </c>
      <c r="AM54" s="1">
        <v>1598</v>
      </c>
      <c r="AN54" s="1">
        <v>1347</v>
      </c>
      <c r="AO54" s="1">
        <v>25</v>
      </c>
      <c r="AP54" s="1">
        <v>35846</v>
      </c>
      <c r="AQ54" s="1">
        <v>0.6</v>
      </c>
      <c r="AR54" s="1">
        <v>1748</v>
      </c>
      <c r="AS54" s="1">
        <v>1341</v>
      </c>
      <c r="AT54" s="1">
        <v>197</v>
      </c>
      <c r="AU54" s="1">
        <v>281208</v>
      </c>
      <c r="AV54" s="1">
        <v>4.5</v>
      </c>
    </row>
    <row r="55" spans="1:48">
      <c r="A55" s="1" t="s">
        <v>154</v>
      </c>
      <c r="B55" s="1" t="s">
        <v>155</v>
      </c>
      <c r="C55" s="1">
        <v>0.98862000000000005</v>
      </c>
      <c r="D55" s="1">
        <v>1367</v>
      </c>
      <c r="E55" s="1">
        <v>9387</v>
      </c>
      <c r="F55" s="1">
        <v>308</v>
      </c>
      <c r="G55" s="1">
        <v>3077583</v>
      </c>
      <c r="H55" s="1">
        <v>70.400000000000006</v>
      </c>
      <c r="I55" s="1">
        <v>1590</v>
      </c>
      <c r="J55" s="1">
        <v>9837</v>
      </c>
      <c r="K55" s="1">
        <v>102</v>
      </c>
      <c r="L55" s="1">
        <v>1068059</v>
      </c>
      <c r="M55" s="1">
        <v>24.4</v>
      </c>
      <c r="N55" s="1">
        <v>1045</v>
      </c>
      <c r="O55" s="1">
        <v>431</v>
      </c>
      <c r="P55" s="1">
        <v>83</v>
      </c>
      <c r="Q55" s="1">
        <v>38079</v>
      </c>
      <c r="R55" s="1">
        <v>0.9</v>
      </c>
      <c r="S55" s="1">
        <v>1172</v>
      </c>
      <c r="T55" s="1">
        <v>1</v>
      </c>
      <c r="U55" s="1">
        <v>1</v>
      </c>
      <c r="V55" s="1">
        <v>1</v>
      </c>
      <c r="W55" s="1">
        <v>0</v>
      </c>
      <c r="X55" s="1">
        <v>1270</v>
      </c>
      <c r="Y55" s="1">
        <v>1</v>
      </c>
      <c r="Z55" s="1">
        <v>1</v>
      </c>
      <c r="AA55" s="1">
        <v>1</v>
      </c>
      <c r="AB55" s="1">
        <v>0</v>
      </c>
      <c r="AC55" s="1">
        <v>1406</v>
      </c>
      <c r="AD55" s="1">
        <v>33</v>
      </c>
      <c r="AE55" s="1">
        <v>1</v>
      </c>
      <c r="AF55" s="1">
        <v>35</v>
      </c>
      <c r="AG55" s="1">
        <v>0</v>
      </c>
      <c r="AH55" s="1">
        <v>1500</v>
      </c>
      <c r="AI55" s="1">
        <v>417</v>
      </c>
      <c r="AJ55" s="1">
        <v>33</v>
      </c>
      <c r="AK55" s="1">
        <v>14648</v>
      </c>
      <c r="AL55" s="1">
        <v>0.3</v>
      </c>
      <c r="AM55" s="1">
        <v>1596</v>
      </c>
      <c r="AN55" s="1">
        <v>403</v>
      </c>
      <c r="AO55" s="1">
        <v>23</v>
      </c>
      <c r="AP55" s="1">
        <v>9867</v>
      </c>
      <c r="AQ55" s="1">
        <v>0.2</v>
      </c>
      <c r="AR55" s="1">
        <v>1738</v>
      </c>
      <c r="AS55" s="1">
        <v>1025</v>
      </c>
      <c r="AT55" s="1">
        <v>147</v>
      </c>
      <c r="AU55" s="1">
        <v>160389</v>
      </c>
      <c r="AV55" s="1">
        <v>3.7</v>
      </c>
    </row>
    <row r="56" spans="1:48">
      <c r="A56" s="1" t="s">
        <v>156</v>
      </c>
      <c r="B56" s="1" t="s">
        <v>157</v>
      </c>
      <c r="C56" s="1">
        <v>0.98862399999999995</v>
      </c>
      <c r="D56" s="1">
        <v>1369</v>
      </c>
      <c r="E56" s="1">
        <v>14941</v>
      </c>
      <c r="F56" s="1">
        <v>316</v>
      </c>
      <c r="G56" s="1">
        <v>5025728</v>
      </c>
      <c r="H56" s="1">
        <v>71.3</v>
      </c>
      <c r="I56" s="1">
        <v>1588</v>
      </c>
      <c r="J56" s="1">
        <v>15671</v>
      </c>
      <c r="K56" s="1">
        <v>102</v>
      </c>
      <c r="L56" s="1">
        <v>1701489</v>
      </c>
      <c r="M56" s="1">
        <v>24.1</v>
      </c>
      <c r="N56" s="1">
        <v>1035</v>
      </c>
      <c r="O56" s="1">
        <v>695</v>
      </c>
      <c r="P56" s="1">
        <v>63</v>
      </c>
      <c r="Q56" s="1">
        <v>46608</v>
      </c>
      <c r="R56" s="1">
        <v>0.7</v>
      </c>
      <c r="S56" s="1">
        <v>1172</v>
      </c>
      <c r="T56" s="1">
        <v>1</v>
      </c>
      <c r="U56" s="1">
        <v>1</v>
      </c>
      <c r="V56" s="1">
        <v>1</v>
      </c>
      <c r="W56" s="1">
        <v>0</v>
      </c>
      <c r="X56" s="1">
        <v>1270</v>
      </c>
      <c r="Y56" s="1">
        <v>1</v>
      </c>
      <c r="Z56" s="1">
        <v>1</v>
      </c>
      <c r="AA56" s="1">
        <v>1</v>
      </c>
      <c r="AB56" s="1">
        <v>0</v>
      </c>
      <c r="AC56" s="1">
        <v>1456</v>
      </c>
      <c r="AD56" s="1">
        <v>39</v>
      </c>
      <c r="AE56" s="1">
        <v>1</v>
      </c>
      <c r="AF56" s="1">
        <v>42</v>
      </c>
      <c r="AG56" s="1">
        <v>0</v>
      </c>
      <c r="AH56" s="1">
        <v>1502</v>
      </c>
      <c r="AI56" s="1">
        <v>729</v>
      </c>
      <c r="AJ56" s="1">
        <v>35</v>
      </c>
      <c r="AK56" s="1">
        <v>27160</v>
      </c>
      <c r="AL56" s="1">
        <v>0.4</v>
      </c>
      <c r="AM56" s="1">
        <v>1592</v>
      </c>
      <c r="AN56" s="1">
        <v>761</v>
      </c>
      <c r="AO56" s="1">
        <v>11</v>
      </c>
      <c r="AP56" s="1">
        <v>8911</v>
      </c>
      <c r="AQ56" s="1">
        <v>0.1</v>
      </c>
      <c r="AR56" s="1">
        <v>1732</v>
      </c>
      <c r="AS56" s="1">
        <v>1683</v>
      </c>
      <c r="AT56" s="1">
        <v>135</v>
      </c>
      <c r="AU56" s="1">
        <v>241852</v>
      </c>
      <c r="AV56" s="1">
        <v>3.4</v>
      </c>
    </row>
    <row r="57" spans="1:48">
      <c r="A57" s="1" t="s">
        <v>158</v>
      </c>
      <c r="B57" s="1" t="s">
        <v>159</v>
      </c>
      <c r="C57" s="1">
        <v>0.989398</v>
      </c>
      <c r="D57" s="1">
        <v>1365</v>
      </c>
      <c r="E57" s="1">
        <v>11671</v>
      </c>
      <c r="F57" s="1">
        <v>298</v>
      </c>
      <c r="G57" s="1">
        <v>3702172</v>
      </c>
      <c r="H57" s="1">
        <v>69</v>
      </c>
      <c r="I57" s="1">
        <v>1592</v>
      </c>
      <c r="J57" s="1">
        <v>12453</v>
      </c>
      <c r="K57" s="1">
        <v>100</v>
      </c>
      <c r="L57" s="1">
        <v>1325581</v>
      </c>
      <c r="M57" s="1">
        <v>24.7</v>
      </c>
      <c r="N57" s="1">
        <v>1051</v>
      </c>
      <c r="O57" s="1">
        <v>459</v>
      </c>
      <c r="P57" s="1">
        <v>95</v>
      </c>
      <c r="Q57" s="1">
        <v>46416</v>
      </c>
      <c r="R57" s="1">
        <v>0.9</v>
      </c>
      <c r="S57" s="1">
        <v>1172</v>
      </c>
      <c r="T57" s="1">
        <v>1</v>
      </c>
      <c r="U57" s="1">
        <v>1</v>
      </c>
      <c r="V57" s="1">
        <v>1</v>
      </c>
      <c r="W57" s="1">
        <v>0</v>
      </c>
      <c r="X57" s="1">
        <v>1270</v>
      </c>
      <c r="Y57" s="1">
        <v>1</v>
      </c>
      <c r="Z57" s="1">
        <v>1</v>
      </c>
      <c r="AA57" s="1">
        <v>1</v>
      </c>
      <c r="AB57" s="1">
        <v>0</v>
      </c>
      <c r="AC57" s="1">
        <v>1402</v>
      </c>
      <c r="AD57" s="1">
        <v>37</v>
      </c>
      <c r="AE57" s="1">
        <v>119</v>
      </c>
      <c r="AF57" s="1">
        <v>4687</v>
      </c>
      <c r="AG57" s="1">
        <v>0.1</v>
      </c>
      <c r="AH57" s="1">
        <v>1500</v>
      </c>
      <c r="AI57" s="1">
        <v>431</v>
      </c>
      <c r="AJ57" s="1">
        <v>33</v>
      </c>
      <c r="AK57" s="1">
        <v>15140</v>
      </c>
      <c r="AL57" s="1">
        <v>0.3</v>
      </c>
      <c r="AM57" s="1">
        <v>1598</v>
      </c>
      <c r="AN57" s="1">
        <v>1309</v>
      </c>
      <c r="AO57" s="1">
        <v>29</v>
      </c>
      <c r="AP57" s="1">
        <v>40408</v>
      </c>
      <c r="AQ57" s="1">
        <v>0.8</v>
      </c>
      <c r="AR57" s="1">
        <v>1738</v>
      </c>
      <c r="AS57" s="1">
        <v>1263</v>
      </c>
      <c r="AT57" s="1">
        <v>173</v>
      </c>
      <c r="AU57" s="1">
        <v>232585</v>
      </c>
      <c r="AV57" s="1">
        <v>4.3</v>
      </c>
    </row>
    <row r="58" spans="1:48">
      <c r="A58" s="1" t="s">
        <v>160</v>
      </c>
      <c r="B58" s="1" t="s">
        <v>161</v>
      </c>
      <c r="C58" s="1">
        <v>0.987236</v>
      </c>
      <c r="D58" s="1">
        <v>1365</v>
      </c>
      <c r="E58" s="1">
        <v>11231</v>
      </c>
      <c r="F58" s="1">
        <v>300</v>
      </c>
      <c r="G58" s="1">
        <v>3586509</v>
      </c>
      <c r="H58" s="1">
        <v>68.3</v>
      </c>
      <c r="I58" s="1">
        <v>1590</v>
      </c>
      <c r="J58" s="1">
        <v>12925</v>
      </c>
      <c r="K58" s="1">
        <v>100</v>
      </c>
      <c r="L58" s="1">
        <v>1375824</v>
      </c>
      <c r="M58" s="1">
        <v>26.2</v>
      </c>
      <c r="N58" s="1">
        <v>1049</v>
      </c>
      <c r="O58" s="1">
        <v>507</v>
      </c>
      <c r="P58" s="1">
        <v>79</v>
      </c>
      <c r="Q58" s="1">
        <v>42635</v>
      </c>
      <c r="R58" s="1">
        <v>0.8</v>
      </c>
      <c r="S58" s="1">
        <v>1170</v>
      </c>
      <c r="T58" s="1">
        <v>1</v>
      </c>
      <c r="U58" s="1">
        <v>1</v>
      </c>
      <c r="V58" s="1">
        <v>1</v>
      </c>
      <c r="W58" s="1">
        <v>0</v>
      </c>
      <c r="X58" s="1">
        <v>1270</v>
      </c>
      <c r="Y58" s="1">
        <v>1</v>
      </c>
      <c r="Z58" s="1">
        <v>1</v>
      </c>
      <c r="AA58" s="1">
        <v>1</v>
      </c>
      <c r="AB58" s="1">
        <v>0</v>
      </c>
      <c r="AC58" s="1">
        <v>1456</v>
      </c>
      <c r="AD58" s="1">
        <v>5</v>
      </c>
      <c r="AE58" s="1">
        <v>1</v>
      </c>
      <c r="AF58" s="1">
        <v>5</v>
      </c>
      <c r="AG58" s="1">
        <v>0</v>
      </c>
      <c r="AH58" s="1">
        <v>1500</v>
      </c>
      <c r="AI58" s="1">
        <v>473</v>
      </c>
      <c r="AJ58" s="1">
        <v>33</v>
      </c>
      <c r="AK58" s="1">
        <v>16615</v>
      </c>
      <c r="AL58" s="1">
        <v>0.3</v>
      </c>
      <c r="AM58" s="1">
        <v>1594</v>
      </c>
      <c r="AN58" s="1">
        <v>1083</v>
      </c>
      <c r="AO58" s="1">
        <v>27</v>
      </c>
      <c r="AP58" s="1">
        <v>31126</v>
      </c>
      <c r="AQ58" s="1">
        <v>0.6</v>
      </c>
      <c r="AR58" s="1">
        <v>1728</v>
      </c>
      <c r="AS58" s="1">
        <v>1333</v>
      </c>
      <c r="AT58" s="1">
        <v>141</v>
      </c>
      <c r="AU58" s="1">
        <v>200070</v>
      </c>
      <c r="AV58" s="1">
        <v>3.8</v>
      </c>
    </row>
    <row r="59" spans="1:48">
      <c r="A59" s="1" t="s">
        <v>162</v>
      </c>
      <c r="B59" s="1" t="s">
        <v>163</v>
      </c>
      <c r="C59" s="1">
        <v>0.98910600000000004</v>
      </c>
      <c r="D59" s="1">
        <v>1367</v>
      </c>
      <c r="E59" s="1">
        <v>9863</v>
      </c>
      <c r="F59" s="1">
        <v>302</v>
      </c>
      <c r="G59" s="1">
        <v>3170649</v>
      </c>
      <c r="H59" s="1">
        <v>68.400000000000006</v>
      </c>
      <c r="I59" s="1">
        <v>1592</v>
      </c>
      <c r="J59" s="1">
        <v>11737</v>
      </c>
      <c r="K59" s="1">
        <v>100</v>
      </c>
      <c r="L59" s="1">
        <v>1249365</v>
      </c>
      <c r="M59" s="1">
        <v>26.9</v>
      </c>
      <c r="N59" s="1">
        <v>1047</v>
      </c>
      <c r="O59" s="1">
        <v>359</v>
      </c>
      <c r="P59" s="1">
        <v>87</v>
      </c>
      <c r="Q59" s="1">
        <v>33246</v>
      </c>
      <c r="R59" s="1">
        <v>0.7</v>
      </c>
      <c r="S59" s="1">
        <v>1160</v>
      </c>
      <c r="T59" s="1">
        <v>11</v>
      </c>
      <c r="U59" s="1">
        <v>1</v>
      </c>
      <c r="V59" s="1">
        <v>12</v>
      </c>
      <c r="W59" s="1">
        <v>0</v>
      </c>
      <c r="X59" s="1">
        <v>1270</v>
      </c>
      <c r="Y59" s="1">
        <v>1</v>
      </c>
      <c r="Z59" s="1">
        <v>1</v>
      </c>
      <c r="AA59" s="1">
        <v>1</v>
      </c>
      <c r="AB59" s="1">
        <v>0</v>
      </c>
      <c r="AC59" s="1">
        <v>1450</v>
      </c>
      <c r="AD59" s="1">
        <v>3</v>
      </c>
      <c r="AE59" s="1">
        <v>1</v>
      </c>
      <c r="AF59" s="1">
        <v>3</v>
      </c>
      <c r="AG59" s="1">
        <v>0</v>
      </c>
      <c r="AH59" s="1">
        <v>1534</v>
      </c>
      <c r="AI59" s="1">
        <v>239</v>
      </c>
      <c r="AJ59" s="1">
        <v>77</v>
      </c>
      <c r="AK59" s="1">
        <v>19589</v>
      </c>
      <c r="AL59" s="1">
        <v>0.4</v>
      </c>
      <c r="AM59" s="1">
        <v>1594</v>
      </c>
      <c r="AN59" s="1">
        <v>591</v>
      </c>
      <c r="AO59" s="1">
        <v>29</v>
      </c>
      <c r="AP59" s="1">
        <v>18244</v>
      </c>
      <c r="AQ59" s="1">
        <v>0.4</v>
      </c>
      <c r="AR59" s="1">
        <v>1738</v>
      </c>
      <c r="AS59" s="1">
        <v>941</v>
      </c>
      <c r="AT59" s="1">
        <v>147</v>
      </c>
      <c r="AU59" s="1">
        <v>147245</v>
      </c>
      <c r="AV59" s="1">
        <v>3.2</v>
      </c>
    </row>
    <row r="60" spans="1:48">
      <c r="A60" s="1" t="s">
        <v>164</v>
      </c>
      <c r="B60" s="1" t="s">
        <v>165</v>
      </c>
      <c r="C60" s="1">
        <v>0.99003600000000003</v>
      </c>
      <c r="D60" s="1">
        <v>1367</v>
      </c>
      <c r="E60" s="1">
        <v>15327</v>
      </c>
      <c r="F60" s="1">
        <v>312</v>
      </c>
      <c r="G60" s="1">
        <v>5090307</v>
      </c>
      <c r="H60" s="1">
        <v>68.3</v>
      </c>
      <c r="I60" s="1">
        <v>1590</v>
      </c>
      <c r="J60" s="1">
        <v>17845</v>
      </c>
      <c r="K60" s="1">
        <v>100</v>
      </c>
      <c r="L60" s="1">
        <v>1899541</v>
      </c>
      <c r="M60" s="1">
        <v>25.5</v>
      </c>
      <c r="N60" s="1">
        <v>1045</v>
      </c>
      <c r="O60" s="1">
        <v>683</v>
      </c>
      <c r="P60" s="1">
        <v>83</v>
      </c>
      <c r="Q60" s="1">
        <v>60344</v>
      </c>
      <c r="R60" s="1">
        <v>0.8</v>
      </c>
      <c r="S60" s="1">
        <v>1172</v>
      </c>
      <c r="T60" s="1">
        <v>1</v>
      </c>
      <c r="U60" s="1">
        <v>1</v>
      </c>
      <c r="V60" s="1">
        <v>1</v>
      </c>
      <c r="W60" s="1">
        <v>0</v>
      </c>
      <c r="X60" s="1">
        <v>1270</v>
      </c>
      <c r="Y60" s="1">
        <v>1</v>
      </c>
      <c r="Z60" s="1">
        <v>1</v>
      </c>
      <c r="AA60" s="1">
        <v>1</v>
      </c>
      <c r="AB60" s="1">
        <v>0</v>
      </c>
      <c r="AC60" s="1">
        <v>1402</v>
      </c>
      <c r="AD60" s="1">
        <v>47</v>
      </c>
      <c r="AE60" s="1">
        <v>127</v>
      </c>
      <c r="AF60" s="1">
        <v>6354</v>
      </c>
      <c r="AG60" s="1">
        <v>0.1</v>
      </c>
      <c r="AH60" s="1">
        <v>1500</v>
      </c>
      <c r="AI60" s="1">
        <v>727</v>
      </c>
      <c r="AJ60" s="1">
        <v>37</v>
      </c>
      <c r="AK60" s="1">
        <v>28633</v>
      </c>
      <c r="AL60" s="1">
        <v>0.4</v>
      </c>
      <c r="AM60" s="1">
        <v>1594</v>
      </c>
      <c r="AN60" s="1">
        <v>1509</v>
      </c>
      <c r="AO60" s="1">
        <v>33</v>
      </c>
      <c r="AP60" s="1">
        <v>53007</v>
      </c>
      <c r="AQ60" s="1">
        <v>0.7</v>
      </c>
      <c r="AR60" s="1">
        <v>1736</v>
      </c>
      <c r="AS60" s="1">
        <v>1965</v>
      </c>
      <c r="AT60" s="1">
        <v>153</v>
      </c>
      <c r="AU60" s="1">
        <v>320027</v>
      </c>
      <c r="AV60" s="1">
        <v>4.3</v>
      </c>
    </row>
    <row r="61" spans="1:48">
      <c r="A61" s="1" t="s">
        <v>166</v>
      </c>
      <c r="B61" s="1" t="s">
        <v>167</v>
      </c>
      <c r="C61" s="1">
        <v>0.98979099999999998</v>
      </c>
      <c r="D61" s="1">
        <v>1369</v>
      </c>
      <c r="E61" s="1">
        <v>9553</v>
      </c>
      <c r="F61" s="1">
        <v>312</v>
      </c>
      <c r="G61" s="1">
        <v>3172682</v>
      </c>
      <c r="H61" s="1">
        <v>68.8</v>
      </c>
      <c r="I61" s="1">
        <v>1592</v>
      </c>
      <c r="J61" s="1">
        <v>11141</v>
      </c>
      <c r="K61" s="1">
        <v>100</v>
      </c>
      <c r="L61" s="1">
        <v>1185923</v>
      </c>
      <c r="M61" s="1">
        <v>25.7</v>
      </c>
      <c r="N61" s="1">
        <v>1043</v>
      </c>
      <c r="O61" s="1">
        <v>477</v>
      </c>
      <c r="P61" s="1">
        <v>81</v>
      </c>
      <c r="Q61" s="1">
        <v>41128</v>
      </c>
      <c r="R61" s="1">
        <v>0.9</v>
      </c>
      <c r="S61" s="1">
        <v>1154</v>
      </c>
      <c r="T61" s="1">
        <v>1</v>
      </c>
      <c r="U61" s="1">
        <v>1</v>
      </c>
      <c r="V61" s="1">
        <v>1</v>
      </c>
      <c r="W61" s="1">
        <v>0</v>
      </c>
      <c r="X61" s="1">
        <v>1270</v>
      </c>
      <c r="Y61" s="1">
        <v>1</v>
      </c>
      <c r="Z61" s="1">
        <v>1</v>
      </c>
      <c r="AA61" s="1">
        <v>1</v>
      </c>
      <c r="AB61" s="1">
        <v>0</v>
      </c>
      <c r="AC61" s="1">
        <v>1402</v>
      </c>
      <c r="AD61" s="1">
        <v>247</v>
      </c>
      <c r="AE61" s="1">
        <v>1</v>
      </c>
      <c r="AF61" s="1">
        <v>263</v>
      </c>
      <c r="AG61" s="1">
        <v>0</v>
      </c>
      <c r="AH61" s="1">
        <v>1500</v>
      </c>
      <c r="AI61" s="1">
        <v>381</v>
      </c>
      <c r="AJ61" s="1">
        <v>23</v>
      </c>
      <c r="AK61" s="1">
        <v>9328</v>
      </c>
      <c r="AL61" s="1">
        <v>0.2</v>
      </c>
      <c r="AM61" s="1">
        <v>1596</v>
      </c>
      <c r="AN61" s="1">
        <v>967</v>
      </c>
      <c r="AO61" s="1">
        <v>29</v>
      </c>
      <c r="AP61" s="1">
        <v>29851</v>
      </c>
      <c r="AQ61" s="1">
        <v>0.6</v>
      </c>
      <c r="AR61" s="1">
        <v>1740</v>
      </c>
      <c r="AS61" s="1">
        <v>993</v>
      </c>
      <c r="AT61" s="1">
        <v>163</v>
      </c>
      <c r="AU61" s="1">
        <v>172294</v>
      </c>
      <c r="AV61" s="1">
        <v>3.7</v>
      </c>
    </row>
    <row r="62" spans="1:48">
      <c r="A62" s="1" t="s">
        <v>168</v>
      </c>
      <c r="B62" s="1" t="s">
        <v>169</v>
      </c>
      <c r="C62" s="1">
        <v>0.98787800000000003</v>
      </c>
      <c r="D62" s="1">
        <v>1365</v>
      </c>
      <c r="E62" s="1">
        <v>8897</v>
      </c>
      <c r="F62" s="1">
        <v>302</v>
      </c>
      <c r="G62" s="1">
        <v>2860110</v>
      </c>
      <c r="H62" s="1">
        <v>67.7</v>
      </c>
      <c r="I62" s="1">
        <v>1592</v>
      </c>
      <c r="J62" s="1">
        <v>10665</v>
      </c>
      <c r="K62" s="1">
        <v>100</v>
      </c>
      <c r="L62" s="1">
        <v>1135254</v>
      </c>
      <c r="M62" s="1">
        <v>26.9</v>
      </c>
      <c r="N62" s="1">
        <v>1049</v>
      </c>
      <c r="O62" s="1">
        <v>297</v>
      </c>
      <c r="P62" s="1">
        <v>81</v>
      </c>
      <c r="Q62" s="1">
        <v>25608</v>
      </c>
      <c r="R62" s="1">
        <v>0.6</v>
      </c>
      <c r="S62" s="1">
        <v>1150</v>
      </c>
      <c r="T62" s="1">
        <v>1</v>
      </c>
      <c r="U62" s="1">
        <v>1</v>
      </c>
      <c r="V62" s="1">
        <v>1</v>
      </c>
      <c r="W62" s="1">
        <v>0</v>
      </c>
      <c r="X62" s="1">
        <v>1270</v>
      </c>
      <c r="Y62" s="1">
        <v>1</v>
      </c>
      <c r="Z62" s="1">
        <v>1</v>
      </c>
      <c r="AA62" s="1">
        <v>1</v>
      </c>
      <c r="AB62" s="1">
        <v>0</v>
      </c>
      <c r="AC62" s="1">
        <v>1456</v>
      </c>
      <c r="AD62" s="1">
        <v>89</v>
      </c>
      <c r="AE62" s="1">
        <v>129</v>
      </c>
      <c r="AF62" s="1">
        <v>12221</v>
      </c>
      <c r="AG62" s="1">
        <v>0.3</v>
      </c>
      <c r="AH62" s="1">
        <v>1500</v>
      </c>
      <c r="AI62" s="1">
        <v>465</v>
      </c>
      <c r="AJ62" s="1">
        <v>31</v>
      </c>
      <c r="AK62" s="1">
        <v>15344</v>
      </c>
      <c r="AL62" s="1">
        <v>0.4</v>
      </c>
      <c r="AM62" s="1">
        <v>1590</v>
      </c>
      <c r="AN62" s="1">
        <v>763</v>
      </c>
      <c r="AO62" s="1">
        <v>27</v>
      </c>
      <c r="AP62" s="1">
        <v>21929</v>
      </c>
      <c r="AQ62" s="1">
        <v>0.5</v>
      </c>
      <c r="AR62" s="1">
        <v>1732</v>
      </c>
      <c r="AS62" s="1">
        <v>1009</v>
      </c>
      <c r="AT62" s="1">
        <v>143</v>
      </c>
      <c r="AU62" s="1">
        <v>153589</v>
      </c>
      <c r="AV62" s="1">
        <v>3.6</v>
      </c>
    </row>
    <row r="63" spans="1:48">
      <c r="A63" s="1" t="s">
        <v>170</v>
      </c>
      <c r="B63" s="1" t="s">
        <v>171</v>
      </c>
      <c r="C63" s="1">
        <v>0.98798600000000003</v>
      </c>
      <c r="D63" s="1">
        <v>1369</v>
      </c>
      <c r="E63" s="1">
        <v>24231</v>
      </c>
      <c r="F63" s="1">
        <v>288</v>
      </c>
      <c r="G63" s="1">
        <v>7428413</v>
      </c>
      <c r="H63" s="1">
        <v>60.9</v>
      </c>
      <c r="I63" s="1">
        <v>1584</v>
      </c>
      <c r="J63" s="1">
        <v>32325</v>
      </c>
      <c r="K63" s="1">
        <v>120</v>
      </c>
      <c r="L63" s="1">
        <v>4129068</v>
      </c>
      <c r="M63" s="1">
        <v>33.9</v>
      </c>
      <c r="N63" s="1">
        <v>1031</v>
      </c>
      <c r="O63" s="1">
        <v>913</v>
      </c>
      <c r="P63" s="1">
        <v>39</v>
      </c>
      <c r="Q63" s="1">
        <v>37902</v>
      </c>
      <c r="R63" s="1">
        <v>0.3</v>
      </c>
      <c r="S63" s="1">
        <v>1156</v>
      </c>
      <c r="T63" s="1">
        <v>89</v>
      </c>
      <c r="U63" s="1">
        <v>9</v>
      </c>
      <c r="V63" s="1">
        <v>853</v>
      </c>
      <c r="W63" s="1">
        <v>0</v>
      </c>
      <c r="X63" s="1">
        <v>1270</v>
      </c>
      <c r="Y63" s="1">
        <v>1</v>
      </c>
      <c r="Z63" s="1">
        <v>1</v>
      </c>
      <c r="AA63" s="1">
        <v>1</v>
      </c>
      <c r="AB63" s="1">
        <v>0</v>
      </c>
      <c r="AC63" s="1">
        <v>1456</v>
      </c>
      <c r="AD63" s="1">
        <v>1463</v>
      </c>
      <c r="AE63" s="1">
        <v>69</v>
      </c>
      <c r="AF63" s="1">
        <v>107455</v>
      </c>
      <c r="AG63" s="1">
        <v>0.9</v>
      </c>
      <c r="AH63" s="1">
        <v>1484</v>
      </c>
      <c r="AI63" s="1">
        <v>709</v>
      </c>
      <c r="AJ63" s="1">
        <v>37</v>
      </c>
      <c r="AK63" s="1">
        <v>27924</v>
      </c>
      <c r="AL63" s="1">
        <v>0.2</v>
      </c>
      <c r="AM63" s="1">
        <v>1592</v>
      </c>
      <c r="AN63" s="1">
        <v>2285</v>
      </c>
      <c r="AO63" s="1">
        <v>23</v>
      </c>
      <c r="AP63" s="1">
        <v>55943</v>
      </c>
      <c r="AQ63" s="1">
        <v>0.5</v>
      </c>
      <c r="AR63" s="1">
        <v>1748</v>
      </c>
      <c r="AS63" s="1">
        <v>2913</v>
      </c>
      <c r="AT63" s="1">
        <v>131</v>
      </c>
      <c r="AU63" s="1">
        <v>406204</v>
      </c>
      <c r="AV63" s="1">
        <v>3.3</v>
      </c>
    </row>
    <row r="64" spans="1:48">
      <c r="A64" s="1" t="s">
        <v>172</v>
      </c>
      <c r="B64" s="1" t="s">
        <v>173</v>
      </c>
      <c r="C64" s="1">
        <v>0.983873</v>
      </c>
      <c r="D64" s="1">
        <v>1367</v>
      </c>
      <c r="E64" s="1">
        <v>10029</v>
      </c>
      <c r="F64" s="1">
        <v>312</v>
      </c>
      <c r="G64" s="1">
        <v>3330768</v>
      </c>
      <c r="H64" s="1">
        <v>67.599999999999994</v>
      </c>
      <c r="I64" s="1">
        <v>1588</v>
      </c>
      <c r="J64" s="1">
        <v>11615</v>
      </c>
      <c r="K64" s="1">
        <v>112</v>
      </c>
      <c r="L64" s="1">
        <v>1384744</v>
      </c>
      <c r="M64" s="1">
        <v>28.1</v>
      </c>
      <c r="N64" s="1">
        <v>1037</v>
      </c>
      <c r="O64" s="1">
        <v>333</v>
      </c>
      <c r="P64" s="1">
        <v>75</v>
      </c>
      <c r="Q64" s="1">
        <v>26585</v>
      </c>
      <c r="R64" s="1">
        <v>0.5</v>
      </c>
      <c r="S64" s="1">
        <v>1172</v>
      </c>
      <c r="T64" s="1">
        <v>1</v>
      </c>
      <c r="U64" s="1">
        <v>1</v>
      </c>
      <c r="V64" s="1">
        <v>1</v>
      </c>
      <c r="W64" s="1">
        <v>0</v>
      </c>
      <c r="X64" s="1">
        <v>1270</v>
      </c>
      <c r="Y64" s="1">
        <v>1</v>
      </c>
      <c r="Z64" s="1">
        <v>1</v>
      </c>
      <c r="AA64" s="1">
        <v>1</v>
      </c>
      <c r="AB64" s="1">
        <v>0</v>
      </c>
      <c r="AC64" s="1">
        <v>1456</v>
      </c>
      <c r="AD64" s="1">
        <v>179</v>
      </c>
      <c r="AE64" s="1">
        <v>93</v>
      </c>
      <c r="AF64" s="1">
        <v>17720</v>
      </c>
      <c r="AG64" s="1">
        <v>0.4</v>
      </c>
      <c r="AH64" s="1">
        <v>1494</v>
      </c>
      <c r="AI64" s="1">
        <v>413</v>
      </c>
      <c r="AJ64" s="1">
        <v>27</v>
      </c>
      <c r="AK64" s="1">
        <v>11870</v>
      </c>
      <c r="AL64" s="1">
        <v>0.2</v>
      </c>
      <c r="AM64" s="1">
        <v>1592</v>
      </c>
      <c r="AN64" s="1">
        <v>517</v>
      </c>
      <c r="AO64" s="1">
        <v>23</v>
      </c>
      <c r="AP64" s="1">
        <v>12658</v>
      </c>
      <c r="AQ64" s="1">
        <v>0.3</v>
      </c>
      <c r="AR64" s="1">
        <v>1748</v>
      </c>
      <c r="AS64" s="1">
        <v>995</v>
      </c>
      <c r="AT64" s="1">
        <v>137</v>
      </c>
      <c r="AU64" s="1">
        <v>145103</v>
      </c>
      <c r="AV64" s="1">
        <v>2.9</v>
      </c>
    </row>
    <row r="65" spans="1:48">
      <c r="A65" s="1" t="s">
        <v>174</v>
      </c>
      <c r="B65" s="1" t="s">
        <v>175</v>
      </c>
      <c r="C65" s="1">
        <v>0.98625799999999997</v>
      </c>
      <c r="D65" s="1">
        <v>1367</v>
      </c>
      <c r="E65" s="1">
        <v>12945</v>
      </c>
      <c r="F65" s="1">
        <v>290</v>
      </c>
      <c r="G65" s="1">
        <v>3996062</v>
      </c>
      <c r="H65" s="1">
        <v>63.6</v>
      </c>
      <c r="I65" s="1">
        <v>1586</v>
      </c>
      <c r="J65" s="1">
        <v>15759</v>
      </c>
      <c r="K65" s="1">
        <v>120</v>
      </c>
      <c r="L65" s="1">
        <v>2012992</v>
      </c>
      <c r="M65" s="1">
        <v>32</v>
      </c>
      <c r="N65" s="1">
        <v>1039</v>
      </c>
      <c r="O65" s="1">
        <v>455</v>
      </c>
      <c r="P65" s="1">
        <v>53</v>
      </c>
      <c r="Q65" s="1">
        <v>25670</v>
      </c>
      <c r="R65" s="1">
        <v>0.4</v>
      </c>
      <c r="S65" s="1">
        <v>1152</v>
      </c>
      <c r="T65" s="1">
        <v>75</v>
      </c>
      <c r="U65" s="1">
        <v>7</v>
      </c>
      <c r="V65" s="1">
        <v>559</v>
      </c>
      <c r="W65" s="1">
        <v>0</v>
      </c>
      <c r="X65" s="1">
        <v>1270</v>
      </c>
      <c r="Y65" s="1">
        <v>1</v>
      </c>
      <c r="Z65" s="1">
        <v>1</v>
      </c>
      <c r="AA65" s="1">
        <v>1</v>
      </c>
      <c r="AB65" s="1">
        <v>0</v>
      </c>
      <c r="AC65" s="1">
        <v>1456</v>
      </c>
      <c r="AD65" s="1">
        <v>1119</v>
      </c>
      <c r="AE65" s="1">
        <v>57</v>
      </c>
      <c r="AF65" s="1">
        <v>67895</v>
      </c>
      <c r="AG65" s="1">
        <v>1.1000000000000001</v>
      </c>
      <c r="AH65" s="1">
        <v>1500</v>
      </c>
      <c r="AI65" s="1">
        <v>281</v>
      </c>
      <c r="AJ65" s="1">
        <v>3</v>
      </c>
      <c r="AK65" s="1">
        <v>897</v>
      </c>
      <c r="AL65" s="1">
        <v>0</v>
      </c>
      <c r="AM65" s="1">
        <v>1592</v>
      </c>
      <c r="AN65" s="1">
        <v>953</v>
      </c>
      <c r="AO65" s="1">
        <v>21</v>
      </c>
      <c r="AP65" s="1">
        <v>21303</v>
      </c>
      <c r="AQ65" s="1">
        <v>0.3</v>
      </c>
      <c r="AR65" s="1">
        <v>1740</v>
      </c>
      <c r="AS65" s="1">
        <v>1511</v>
      </c>
      <c r="AT65" s="1">
        <v>101</v>
      </c>
      <c r="AU65" s="1">
        <v>162449</v>
      </c>
      <c r="AV65" s="1">
        <v>2.6</v>
      </c>
    </row>
    <row r="66" spans="1:48">
      <c r="A66" s="1" t="s">
        <v>176</v>
      </c>
      <c r="B66" s="1" t="s">
        <v>177</v>
      </c>
      <c r="C66" s="1">
        <v>0.98536000000000001</v>
      </c>
      <c r="D66" s="1">
        <v>1369</v>
      </c>
      <c r="E66" s="1">
        <v>16065</v>
      </c>
      <c r="F66" s="1">
        <v>312</v>
      </c>
      <c r="G66" s="1">
        <v>5335407</v>
      </c>
      <c r="H66" s="1">
        <v>66.2</v>
      </c>
      <c r="I66" s="1">
        <v>1586</v>
      </c>
      <c r="J66" s="1">
        <v>18727</v>
      </c>
      <c r="K66" s="1">
        <v>114</v>
      </c>
      <c r="L66" s="1">
        <v>2272507</v>
      </c>
      <c r="M66" s="1">
        <v>28.2</v>
      </c>
      <c r="N66" s="1">
        <v>1043</v>
      </c>
      <c r="O66" s="1">
        <v>615</v>
      </c>
      <c r="P66" s="1">
        <v>63</v>
      </c>
      <c r="Q66" s="1">
        <v>41243</v>
      </c>
      <c r="R66" s="1">
        <v>0.5</v>
      </c>
      <c r="S66" s="1">
        <v>1172</v>
      </c>
      <c r="T66" s="1">
        <v>1</v>
      </c>
      <c r="U66" s="1">
        <v>1</v>
      </c>
      <c r="V66" s="1">
        <v>1</v>
      </c>
      <c r="W66" s="1">
        <v>0</v>
      </c>
      <c r="X66" s="1">
        <v>1270</v>
      </c>
      <c r="Y66" s="1">
        <v>1</v>
      </c>
      <c r="Z66" s="1">
        <v>1</v>
      </c>
      <c r="AA66" s="1">
        <v>1</v>
      </c>
      <c r="AB66" s="1">
        <v>0</v>
      </c>
      <c r="AC66" s="1">
        <v>1456</v>
      </c>
      <c r="AD66" s="1">
        <v>543</v>
      </c>
      <c r="AE66" s="1">
        <v>91</v>
      </c>
      <c r="AF66" s="1">
        <v>52599</v>
      </c>
      <c r="AG66" s="1">
        <v>0.7</v>
      </c>
      <c r="AH66" s="1">
        <v>1480</v>
      </c>
      <c r="AI66" s="1">
        <v>435</v>
      </c>
      <c r="AJ66" s="1">
        <v>35</v>
      </c>
      <c r="AK66" s="1">
        <v>16207</v>
      </c>
      <c r="AL66" s="1">
        <v>0.2</v>
      </c>
      <c r="AM66" s="1">
        <v>1592</v>
      </c>
      <c r="AN66" s="1">
        <v>431</v>
      </c>
      <c r="AO66" s="1">
        <v>27</v>
      </c>
      <c r="AP66" s="1">
        <v>12387</v>
      </c>
      <c r="AQ66" s="1">
        <v>0.2</v>
      </c>
      <c r="AR66" s="1">
        <v>1748</v>
      </c>
      <c r="AS66" s="1">
        <v>1805</v>
      </c>
      <c r="AT66" s="1">
        <v>171</v>
      </c>
      <c r="AU66" s="1">
        <v>328553</v>
      </c>
      <c r="AV66" s="1">
        <v>4.0999999999999996</v>
      </c>
    </row>
    <row r="67" spans="1:48">
      <c r="A67" s="1" t="s">
        <v>178</v>
      </c>
      <c r="B67" s="1" t="s">
        <v>179</v>
      </c>
      <c r="C67" s="1">
        <v>0.98744299999999996</v>
      </c>
      <c r="D67" s="1">
        <v>1369</v>
      </c>
      <c r="E67" s="1">
        <v>13205</v>
      </c>
      <c r="F67" s="1">
        <v>306</v>
      </c>
      <c r="G67" s="1">
        <v>4301224</v>
      </c>
      <c r="H67" s="1">
        <v>63.9</v>
      </c>
      <c r="I67" s="1">
        <v>1586</v>
      </c>
      <c r="J67" s="1">
        <v>17189</v>
      </c>
      <c r="K67" s="1">
        <v>112</v>
      </c>
      <c r="L67" s="1">
        <v>2049278</v>
      </c>
      <c r="M67" s="1">
        <v>30.4</v>
      </c>
      <c r="N67" s="1">
        <v>1047</v>
      </c>
      <c r="O67" s="1">
        <v>411</v>
      </c>
      <c r="P67" s="1">
        <v>61</v>
      </c>
      <c r="Q67" s="1">
        <v>26687</v>
      </c>
      <c r="R67" s="1">
        <v>0.4</v>
      </c>
      <c r="S67" s="1">
        <v>1154</v>
      </c>
      <c r="T67" s="1">
        <v>1</v>
      </c>
      <c r="U67" s="1">
        <v>1</v>
      </c>
      <c r="V67" s="1">
        <v>1</v>
      </c>
      <c r="W67" s="1">
        <v>0</v>
      </c>
      <c r="X67" s="1">
        <v>1270</v>
      </c>
      <c r="Y67" s="1">
        <v>1</v>
      </c>
      <c r="Z67" s="1">
        <v>1</v>
      </c>
      <c r="AA67" s="1">
        <v>1</v>
      </c>
      <c r="AB67" s="1">
        <v>0</v>
      </c>
      <c r="AC67" s="1">
        <v>1456</v>
      </c>
      <c r="AD67" s="1">
        <v>1045</v>
      </c>
      <c r="AE67" s="1">
        <v>79</v>
      </c>
      <c r="AF67" s="1">
        <v>87877</v>
      </c>
      <c r="AG67" s="1">
        <v>1.3</v>
      </c>
      <c r="AH67" s="1">
        <v>1500</v>
      </c>
      <c r="AI67" s="1">
        <v>321</v>
      </c>
      <c r="AJ67" s="1">
        <v>31</v>
      </c>
      <c r="AK67" s="1">
        <v>10593</v>
      </c>
      <c r="AL67" s="1">
        <v>0.2</v>
      </c>
      <c r="AM67" s="1">
        <v>1598</v>
      </c>
      <c r="AN67" s="1">
        <v>905</v>
      </c>
      <c r="AO67" s="1">
        <v>25</v>
      </c>
      <c r="AP67" s="1">
        <v>24084</v>
      </c>
      <c r="AQ67" s="1">
        <v>0.4</v>
      </c>
      <c r="AR67" s="1">
        <v>1742</v>
      </c>
      <c r="AS67" s="1">
        <v>1687</v>
      </c>
      <c r="AT67" s="1">
        <v>129</v>
      </c>
      <c r="AU67" s="1">
        <v>231653</v>
      </c>
      <c r="AV67" s="1">
        <v>3.4</v>
      </c>
    </row>
    <row r="68" spans="1:48">
      <c r="A68" s="1" t="s">
        <v>180</v>
      </c>
      <c r="B68" s="1" t="s">
        <v>181</v>
      </c>
      <c r="C68" s="1">
        <v>0.98209100000000005</v>
      </c>
      <c r="D68" s="1">
        <v>1369</v>
      </c>
      <c r="E68" s="1">
        <v>21819</v>
      </c>
      <c r="F68" s="1">
        <v>312</v>
      </c>
      <c r="G68" s="1">
        <v>7246389</v>
      </c>
      <c r="H68" s="1">
        <v>68.2</v>
      </c>
      <c r="I68" s="1">
        <v>1590</v>
      </c>
      <c r="J68" s="1">
        <v>24573</v>
      </c>
      <c r="K68" s="1">
        <v>104</v>
      </c>
      <c r="L68" s="1">
        <v>2720343</v>
      </c>
      <c r="M68" s="1">
        <v>25.6</v>
      </c>
      <c r="N68" s="1">
        <v>1033</v>
      </c>
      <c r="O68" s="1">
        <v>847</v>
      </c>
      <c r="P68" s="1">
        <v>67</v>
      </c>
      <c r="Q68" s="1">
        <v>60407</v>
      </c>
      <c r="R68" s="1">
        <v>0.6</v>
      </c>
      <c r="S68" s="1">
        <v>1172</v>
      </c>
      <c r="T68" s="1">
        <v>1</v>
      </c>
      <c r="U68" s="1">
        <v>1</v>
      </c>
      <c r="V68" s="1">
        <v>1</v>
      </c>
      <c r="W68" s="1">
        <v>0</v>
      </c>
      <c r="X68" s="1">
        <v>1270</v>
      </c>
      <c r="Y68" s="1">
        <v>1</v>
      </c>
      <c r="Z68" s="1">
        <v>1</v>
      </c>
      <c r="AA68" s="1">
        <v>1</v>
      </c>
      <c r="AB68" s="1">
        <v>0</v>
      </c>
      <c r="AC68" s="1">
        <v>1456</v>
      </c>
      <c r="AD68" s="1">
        <v>397</v>
      </c>
      <c r="AE68" s="1">
        <v>103</v>
      </c>
      <c r="AF68" s="1">
        <v>43527</v>
      </c>
      <c r="AG68" s="1">
        <v>0.4</v>
      </c>
      <c r="AH68" s="1">
        <v>1504</v>
      </c>
      <c r="AI68" s="1">
        <v>939</v>
      </c>
      <c r="AJ68" s="1">
        <v>39</v>
      </c>
      <c r="AK68" s="1">
        <v>38982</v>
      </c>
      <c r="AL68" s="1">
        <v>0.4</v>
      </c>
      <c r="AM68" s="1">
        <v>1592</v>
      </c>
      <c r="AN68" s="1">
        <v>937</v>
      </c>
      <c r="AO68" s="1">
        <v>3</v>
      </c>
      <c r="AP68" s="1">
        <v>2992</v>
      </c>
      <c r="AQ68" s="1">
        <v>0</v>
      </c>
      <c r="AR68" s="1">
        <v>1746</v>
      </c>
      <c r="AS68" s="1">
        <v>2599</v>
      </c>
      <c r="AT68" s="1">
        <v>187</v>
      </c>
      <c r="AU68" s="1">
        <v>517345</v>
      </c>
      <c r="AV68" s="1">
        <v>4.9000000000000004</v>
      </c>
    </row>
    <row r="69" spans="1:48">
      <c r="A69" s="1" t="s">
        <v>182</v>
      </c>
      <c r="B69" s="1" t="s">
        <v>183</v>
      </c>
      <c r="C69" s="1">
        <v>0.98251200000000005</v>
      </c>
      <c r="D69" s="1">
        <v>1369</v>
      </c>
      <c r="E69" s="1">
        <v>20469</v>
      </c>
      <c r="F69" s="1">
        <v>322</v>
      </c>
      <c r="G69" s="1">
        <v>7015921</v>
      </c>
      <c r="H69" s="1">
        <v>68.5</v>
      </c>
      <c r="I69" s="1">
        <v>1588</v>
      </c>
      <c r="J69" s="1">
        <v>23845</v>
      </c>
      <c r="K69" s="1">
        <v>104</v>
      </c>
      <c r="L69" s="1">
        <v>2639751</v>
      </c>
      <c r="M69" s="1">
        <v>25.8</v>
      </c>
      <c r="N69" s="1">
        <v>1025</v>
      </c>
      <c r="O69" s="1">
        <v>995</v>
      </c>
      <c r="P69" s="1">
        <v>61</v>
      </c>
      <c r="Q69" s="1">
        <v>64608</v>
      </c>
      <c r="R69" s="1">
        <v>0.6</v>
      </c>
      <c r="S69" s="1">
        <v>1172</v>
      </c>
      <c r="T69" s="1">
        <v>1</v>
      </c>
      <c r="U69" s="1">
        <v>1</v>
      </c>
      <c r="V69" s="1">
        <v>1</v>
      </c>
      <c r="W69" s="1">
        <v>0</v>
      </c>
      <c r="X69" s="1">
        <v>1270</v>
      </c>
      <c r="Y69" s="1">
        <v>1</v>
      </c>
      <c r="Z69" s="1">
        <v>1</v>
      </c>
      <c r="AA69" s="1">
        <v>1</v>
      </c>
      <c r="AB69" s="1">
        <v>0</v>
      </c>
      <c r="AC69" s="1">
        <v>1456</v>
      </c>
      <c r="AD69" s="1">
        <v>277</v>
      </c>
      <c r="AE69" s="1">
        <v>113</v>
      </c>
      <c r="AF69" s="1">
        <v>33319</v>
      </c>
      <c r="AG69" s="1">
        <v>0.3</v>
      </c>
      <c r="AH69" s="1">
        <v>1492</v>
      </c>
      <c r="AI69" s="1">
        <v>979</v>
      </c>
      <c r="AJ69" s="1">
        <v>43</v>
      </c>
      <c r="AK69" s="1">
        <v>44811</v>
      </c>
      <c r="AL69" s="1">
        <v>0.4</v>
      </c>
      <c r="AM69" s="1">
        <v>1598</v>
      </c>
      <c r="AN69" s="1">
        <v>255</v>
      </c>
      <c r="AO69" s="1">
        <v>21</v>
      </c>
      <c r="AP69" s="1">
        <v>5700</v>
      </c>
      <c r="AQ69" s="1">
        <v>0.1</v>
      </c>
      <c r="AR69" s="1">
        <v>1742</v>
      </c>
      <c r="AS69" s="1">
        <v>2469</v>
      </c>
      <c r="AT69" s="1">
        <v>169</v>
      </c>
      <c r="AU69" s="1">
        <v>444161</v>
      </c>
      <c r="AV69" s="1">
        <v>4.3</v>
      </c>
    </row>
    <row r="70" spans="1:48">
      <c r="A70" s="1" t="s">
        <v>184</v>
      </c>
      <c r="B70" s="1" t="s">
        <v>185</v>
      </c>
      <c r="C70" s="1">
        <v>0.984541</v>
      </c>
      <c r="D70" s="1">
        <v>1369</v>
      </c>
      <c r="E70" s="1">
        <v>8675</v>
      </c>
      <c r="F70" s="1">
        <v>318</v>
      </c>
      <c r="G70" s="1">
        <v>2936492</v>
      </c>
      <c r="H70" s="1">
        <v>67.2</v>
      </c>
      <c r="I70" s="1">
        <v>1590</v>
      </c>
      <c r="J70" s="1">
        <v>11211</v>
      </c>
      <c r="K70" s="1">
        <v>100</v>
      </c>
      <c r="L70" s="1">
        <v>1193374</v>
      </c>
      <c r="M70" s="1">
        <v>27.3</v>
      </c>
      <c r="N70" s="1">
        <v>1017</v>
      </c>
      <c r="O70" s="1">
        <v>295</v>
      </c>
      <c r="P70" s="1">
        <v>61</v>
      </c>
      <c r="Q70" s="1">
        <v>19155</v>
      </c>
      <c r="R70" s="1">
        <v>0.4</v>
      </c>
      <c r="S70" s="1">
        <v>1172</v>
      </c>
      <c r="T70" s="1">
        <v>1</v>
      </c>
      <c r="U70" s="1">
        <v>1</v>
      </c>
      <c r="V70" s="1">
        <v>1</v>
      </c>
      <c r="W70" s="1">
        <v>0</v>
      </c>
      <c r="X70" s="1">
        <v>1270</v>
      </c>
      <c r="Y70" s="1">
        <v>1</v>
      </c>
      <c r="Z70" s="1">
        <v>1</v>
      </c>
      <c r="AA70" s="1">
        <v>1</v>
      </c>
      <c r="AB70" s="1">
        <v>0</v>
      </c>
      <c r="AC70" s="1">
        <v>1456</v>
      </c>
      <c r="AD70" s="1">
        <v>147</v>
      </c>
      <c r="AE70" s="1">
        <v>125</v>
      </c>
      <c r="AF70" s="1">
        <v>19560</v>
      </c>
      <c r="AG70" s="1">
        <v>0.4</v>
      </c>
      <c r="AH70" s="1">
        <v>1500</v>
      </c>
      <c r="AI70" s="1">
        <v>489</v>
      </c>
      <c r="AJ70" s="1">
        <v>29</v>
      </c>
      <c r="AK70" s="1">
        <v>15095</v>
      </c>
      <c r="AL70" s="1">
        <v>0.3</v>
      </c>
      <c r="AM70" s="1">
        <v>1592</v>
      </c>
      <c r="AN70" s="1">
        <v>363</v>
      </c>
      <c r="AO70" s="1">
        <v>27</v>
      </c>
      <c r="AP70" s="1">
        <v>10433</v>
      </c>
      <c r="AQ70" s="1">
        <v>0.2</v>
      </c>
      <c r="AR70" s="1">
        <v>1734</v>
      </c>
      <c r="AS70" s="1">
        <v>1085</v>
      </c>
      <c r="AT70" s="1">
        <v>151</v>
      </c>
      <c r="AU70" s="1">
        <v>174397</v>
      </c>
      <c r="AV70" s="1">
        <v>4</v>
      </c>
    </row>
    <row r="71" spans="1:48">
      <c r="A71" s="1" t="s">
        <v>186</v>
      </c>
      <c r="B71" s="1" t="s">
        <v>187</v>
      </c>
      <c r="C71" s="1">
        <v>0.98412699999999997</v>
      </c>
      <c r="D71" s="1">
        <v>1367</v>
      </c>
      <c r="E71" s="1">
        <v>8845</v>
      </c>
      <c r="F71" s="1">
        <v>322</v>
      </c>
      <c r="G71" s="1">
        <v>3031698</v>
      </c>
      <c r="H71" s="1">
        <v>67.2</v>
      </c>
      <c r="I71" s="1">
        <v>1590</v>
      </c>
      <c r="J71" s="1">
        <v>11271</v>
      </c>
      <c r="K71" s="1">
        <v>100</v>
      </c>
      <c r="L71" s="1">
        <v>1199761</v>
      </c>
      <c r="M71" s="1">
        <v>26.6</v>
      </c>
      <c r="N71" s="1">
        <v>1031</v>
      </c>
      <c r="O71" s="1">
        <v>281</v>
      </c>
      <c r="P71" s="1">
        <v>67</v>
      </c>
      <c r="Q71" s="1">
        <v>20041</v>
      </c>
      <c r="R71" s="1">
        <v>0.4</v>
      </c>
      <c r="S71" s="1">
        <v>1172</v>
      </c>
      <c r="T71" s="1">
        <v>1</v>
      </c>
      <c r="U71" s="1">
        <v>1</v>
      </c>
      <c r="V71" s="1">
        <v>1</v>
      </c>
      <c r="W71" s="1">
        <v>0</v>
      </c>
      <c r="X71" s="1">
        <v>1270</v>
      </c>
      <c r="Y71" s="1">
        <v>1</v>
      </c>
      <c r="Z71" s="1">
        <v>1</v>
      </c>
      <c r="AA71" s="1">
        <v>1</v>
      </c>
      <c r="AB71" s="1">
        <v>0</v>
      </c>
      <c r="AC71" s="1">
        <v>1456</v>
      </c>
      <c r="AD71" s="1">
        <v>29</v>
      </c>
      <c r="AE71" s="1">
        <v>149</v>
      </c>
      <c r="AF71" s="1">
        <v>4600</v>
      </c>
      <c r="AG71" s="1">
        <v>0.1</v>
      </c>
      <c r="AH71" s="1">
        <v>1500</v>
      </c>
      <c r="AI71" s="1">
        <v>351</v>
      </c>
      <c r="AJ71" s="1">
        <v>39</v>
      </c>
      <c r="AK71" s="1">
        <v>14571</v>
      </c>
      <c r="AL71" s="1">
        <v>0.3</v>
      </c>
      <c r="AM71" s="1">
        <v>1596</v>
      </c>
      <c r="AN71" s="1">
        <v>957</v>
      </c>
      <c r="AO71" s="1">
        <v>31</v>
      </c>
      <c r="AP71" s="1">
        <v>31580</v>
      </c>
      <c r="AQ71" s="1">
        <v>0.7</v>
      </c>
      <c r="AR71" s="1">
        <v>1744</v>
      </c>
      <c r="AS71" s="1">
        <v>1077</v>
      </c>
      <c r="AT71" s="1">
        <v>181</v>
      </c>
      <c r="AU71" s="1">
        <v>207504</v>
      </c>
      <c r="AV71" s="1">
        <v>4.5999999999999996</v>
      </c>
    </row>
    <row r="72" spans="1:48">
      <c r="A72" s="1" t="s">
        <v>188</v>
      </c>
      <c r="B72" s="1" t="s">
        <v>189</v>
      </c>
      <c r="C72" s="1">
        <v>0.98468100000000003</v>
      </c>
      <c r="D72" s="1">
        <v>1369</v>
      </c>
      <c r="E72" s="1">
        <v>5445</v>
      </c>
      <c r="F72" s="1">
        <v>320</v>
      </c>
      <c r="G72" s="1">
        <v>1854727</v>
      </c>
      <c r="H72" s="1">
        <v>67.2</v>
      </c>
      <c r="I72" s="1">
        <v>1590</v>
      </c>
      <c r="J72" s="1">
        <v>6951</v>
      </c>
      <c r="K72" s="1">
        <v>100</v>
      </c>
      <c r="L72" s="1">
        <v>739911</v>
      </c>
      <c r="M72" s="1">
        <v>26.8</v>
      </c>
      <c r="N72" s="1">
        <v>1035</v>
      </c>
      <c r="O72" s="1">
        <v>177</v>
      </c>
      <c r="P72" s="1">
        <v>67</v>
      </c>
      <c r="Q72" s="1">
        <v>12624</v>
      </c>
      <c r="R72" s="1">
        <v>0.5</v>
      </c>
      <c r="S72" s="1">
        <v>1172</v>
      </c>
      <c r="T72" s="1">
        <v>1</v>
      </c>
      <c r="U72" s="1">
        <v>1</v>
      </c>
      <c r="V72" s="1">
        <v>1</v>
      </c>
      <c r="W72" s="1">
        <v>0</v>
      </c>
      <c r="X72" s="1">
        <v>1270</v>
      </c>
      <c r="Y72" s="1">
        <v>1</v>
      </c>
      <c r="Z72" s="1">
        <v>1</v>
      </c>
      <c r="AA72" s="1">
        <v>1</v>
      </c>
      <c r="AB72" s="1">
        <v>0</v>
      </c>
      <c r="AC72" s="1">
        <v>1456</v>
      </c>
      <c r="AD72" s="1">
        <v>55</v>
      </c>
      <c r="AE72" s="1">
        <v>137</v>
      </c>
      <c r="AF72" s="1">
        <v>8021</v>
      </c>
      <c r="AG72" s="1">
        <v>0.3</v>
      </c>
      <c r="AH72" s="1">
        <v>1500</v>
      </c>
      <c r="AI72" s="1">
        <v>195</v>
      </c>
      <c r="AJ72" s="1">
        <v>37</v>
      </c>
      <c r="AK72" s="1">
        <v>7680</v>
      </c>
      <c r="AL72" s="1">
        <v>0.3</v>
      </c>
      <c r="AM72" s="1">
        <v>1598</v>
      </c>
      <c r="AN72" s="1">
        <v>759</v>
      </c>
      <c r="AO72" s="1">
        <v>29</v>
      </c>
      <c r="AP72" s="1">
        <v>23430</v>
      </c>
      <c r="AQ72" s="1">
        <v>0.8</v>
      </c>
      <c r="AR72" s="1">
        <v>1748</v>
      </c>
      <c r="AS72" s="1">
        <v>573</v>
      </c>
      <c r="AT72" s="1">
        <v>187</v>
      </c>
      <c r="AU72" s="1">
        <v>114059</v>
      </c>
      <c r="AV72" s="1">
        <v>4.0999999999999996</v>
      </c>
    </row>
    <row r="73" spans="1:48">
      <c r="A73" s="1" t="s">
        <v>190</v>
      </c>
      <c r="B73" s="1" t="s">
        <v>191</v>
      </c>
      <c r="C73" s="1">
        <v>0.98586799999999997</v>
      </c>
      <c r="D73" s="1">
        <v>1369</v>
      </c>
      <c r="E73" s="1">
        <v>4125</v>
      </c>
      <c r="F73" s="1">
        <v>310</v>
      </c>
      <c r="G73" s="1">
        <v>1361187</v>
      </c>
      <c r="H73" s="1">
        <v>65.900000000000006</v>
      </c>
      <c r="I73" s="1">
        <v>1588</v>
      </c>
      <c r="J73" s="1">
        <v>5517</v>
      </c>
      <c r="K73" s="1">
        <v>104</v>
      </c>
      <c r="L73" s="1">
        <v>610757</v>
      </c>
      <c r="M73" s="1">
        <v>29.6</v>
      </c>
      <c r="N73" s="1">
        <v>1021</v>
      </c>
      <c r="O73" s="1">
        <v>103</v>
      </c>
      <c r="P73" s="1">
        <v>57</v>
      </c>
      <c r="Q73" s="1">
        <v>6249</v>
      </c>
      <c r="R73" s="1">
        <v>0.3</v>
      </c>
      <c r="S73" s="1">
        <v>1176</v>
      </c>
      <c r="T73" s="1">
        <v>95</v>
      </c>
      <c r="U73" s="1">
        <v>1</v>
      </c>
      <c r="V73" s="1">
        <v>101</v>
      </c>
      <c r="W73" s="1">
        <v>0</v>
      </c>
      <c r="X73" s="1">
        <v>1270</v>
      </c>
      <c r="Y73" s="1">
        <v>1</v>
      </c>
      <c r="Z73" s="1">
        <v>1</v>
      </c>
      <c r="AA73" s="1">
        <v>1</v>
      </c>
      <c r="AB73" s="1">
        <v>0</v>
      </c>
      <c r="AC73" s="1">
        <v>1456</v>
      </c>
      <c r="AD73" s="1">
        <v>53</v>
      </c>
      <c r="AE73" s="1">
        <v>109</v>
      </c>
      <c r="AF73" s="1">
        <v>6149</v>
      </c>
      <c r="AG73" s="1">
        <v>0.3</v>
      </c>
      <c r="AH73" s="1">
        <v>1484</v>
      </c>
      <c r="AI73" s="1">
        <v>267</v>
      </c>
      <c r="AJ73" s="1">
        <v>51</v>
      </c>
      <c r="AK73" s="1">
        <v>14495</v>
      </c>
      <c r="AL73" s="1">
        <v>0.7</v>
      </c>
      <c r="AM73" s="1">
        <v>1598</v>
      </c>
      <c r="AN73" s="1">
        <v>303</v>
      </c>
      <c r="AO73" s="1">
        <v>19</v>
      </c>
      <c r="AP73" s="1">
        <v>6128</v>
      </c>
      <c r="AQ73" s="1">
        <v>0.3</v>
      </c>
      <c r="AR73" s="1">
        <v>1732</v>
      </c>
      <c r="AS73" s="1">
        <v>517</v>
      </c>
      <c r="AT73" s="1">
        <v>111</v>
      </c>
      <c r="AU73" s="1">
        <v>61087</v>
      </c>
      <c r="AV73" s="1">
        <v>3</v>
      </c>
    </row>
    <row r="74" spans="1:48">
      <c r="A74" s="1" t="s">
        <v>192</v>
      </c>
      <c r="B74" s="1" t="s">
        <v>193</v>
      </c>
      <c r="C74" s="1">
        <v>0.98684799999999995</v>
      </c>
      <c r="D74" s="1">
        <v>1369</v>
      </c>
      <c r="E74" s="1">
        <v>6175</v>
      </c>
      <c r="F74" s="1">
        <v>302</v>
      </c>
      <c r="G74" s="1">
        <v>1985071</v>
      </c>
      <c r="H74" s="1">
        <v>64.5</v>
      </c>
      <c r="I74" s="1">
        <v>1592</v>
      </c>
      <c r="J74" s="1">
        <v>8287</v>
      </c>
      <c r="K74" s="1">
        <v>100</v>
      </c>
      <c r="L74" s="1">
        <v>882124</v>
      </c>
      <c r="M74" s="1">
        <v>28.7</v>
      </c>
      <c r="N74" s="1">
        <v>1045</v>
      </c>
      <c r="O74" s="1">
        <v>227</v>
      </c>
      <c r="P74" s="1">
        <v>73</v>
      </c>
      <c r="Q74" s="1">
        <v>17639</v>
      </c>
      <c r="R74" s="1">
        <v>0.6</v>
      </c>
      <c r="S74" s="1">
        <v>1170</v>
      </c>
      <c r="T74" s="1">
        <v>49</v>
      </c>
      <c r="U74" s="1">
        <v>1</v>
      </c>
      <c r="V74" s="1">
        <v>52</v>
      </c>
      <c r="W74" s="1">
        <v>0</v>
      </c>
      <c r="X74" s="1">
        <v>1270</v>
      </c>
      <c r="Y74" s="1">
        <v>1</v>
      </c>
      <c r="Z74" s="1">
        <v>1</v>
      </c>
      <c r="AA74" s="1">
        <v>1</v>
      </c>
      <c r="AB74" s="1">
        <v>0</v>
      </c>
      <c r="AC74" s="1">
        <v>1456</v>
      </c>
      <c r="AD74" s="1">
        <v>209</v>
      </c>
      <c r="AE74" s="1">
        <v>105</v>
      </c>
      <c r="AF74" s="1">
        <v>23360</v>
      </c>
      <c r="AG74" s="1">
        <v>0.8</v>
      </c>
      <c r="AH74" s="1">
        <v>1500</v>
      </c>
      <c r="AI74" s="1">
        <v>91</v>
      </c>
      <c r="AJ74" s="1">
        <v>39</v>
      </c>
      <c r="AK74" s="1">
        <v>3778</v>
      </c>
      <c r="AL74" s="1">
        <v>0.1</v>
      </c>
      <c r="AM74" s="1">
        <v>1598</v>
      </c>
      <c r="AN74" s="1">
        <v>705</v>
      </c>
      <c r="AO74" s="1">
        <v>29</v>
      </c>
      <c r="AP74" s="1">
        <v>21763</v>
      </c>
      <c r="AQ74" s="1">
        <v>0.7</v>
      </c>
      <c r="AR74" s="1">
        <v>1736</v>
      </c>
      <c r="AS74" s="1">
        <v>897</v>
      </c>
      <c r="AT74" s="1">
        <v>151</v>
      </c>
      <c r="AU74" s="1">
        <v>144179</v>
      </c>
      <c r="AV74" s="1">
        <v>4.7</v>
      </c>
    </row>
    <row r="75" spans="1:48">
      <c r="A75" s="1" t="s">
        <v>194</v>
      </c>
      <c r="B75" s="1" t="s">
        <v>195</v>
      </c>
      <c r="C75" s="1">
        <v>0.98844799999999999</v>
      </c>
      <c r="D75" s="1">
        <v>1369</v>
      </c>
      <c r="E75" s="1">
        <v>5753</v>
      </c>
      <c r="F75" s="1">
        <v>298</v>
      </c>
      <c r="G75" s="1">
        <v>1824916</v>
      </c>
      <c r="H75" s="1">
        <v>65.8</v>
      </c>
      <c r="I75" s="1">
        <v>1590</v>
      </c>
      <c r="J75" s="1">
        <v>7455</v>
      </c>
      <c r="K75" s="1">
        <v>104</v>
      </c>
      <c r="L75" s="1">
        <v>825303</v>
      </c>
      <c r="M75" s="1">
        <v>29.8</v>
      </c>
      <c r="N75" s="1">
        <v>1061</v>
      </c>
      <c r="O75" s="1">
        <v>133</v>
      </c>
      <c r="P75" s="1">
        <v>65</v>
      </c>
      <c r="Q75" s="1">
        <v>9202</v>
      </c>
      <c r="R75" s="1">
        <v>0.3</v>
      </c>
      <c r="S75" s="1">
        <v>1170</v>
      </c>
      <c r="T75" s="1">
        <v>57</v>
      </c>
      <c r="U75" s="1">
        <v>1</v>
      </c>
      <c r="V75" s="1">
        <v>61</v>
      </c>
      <c r="W75" s="1">
        <v>0</v>
      </c>
      <c r="X75" s="1">
        <v>1270</v>
      </c>
      <c r="Y75" s="1">
        <v>1</v>
      </c>
      <c r="Z75" s="1">
        <v>1</v>
      </c>
      <c r="AA75" s="1">
        <v>1</v>
      </c>
      <c r="AB75" s="1">
        <v>0</v>
      </c>
      <c r="AC75" s="1">
        <v>1456</v>
      </c>
      <c r="AD75" s="1">
        <v>65</v>
      </c>
      <c r="AE75" s="1">
        <v>99</v>
      </c>
      <c r="AF75" s="1">
        <v>6850</v>
      </c>
      <c r="AG75" s="1">
        <v>0.2</v>
      </c>
      <c r="AH75" s="1">
        <v>1492</v>
      </c>
      <c r="AI75" s="1">
        <v>191</v>
      </c>
      <c r="AJ75" s="1">
        <v>45</v>
      </c>
      <c r="AK75" s="1">
        <v>9149</v>
      </c>
      <c r="AL75" s="1">
        <v>0.3</v>
      </c>
      <c r="AM75" s="1">
        <v>1592</v>
      </c>
      <c r="AN75" s="1">
        <v>207</v>
      </c>
      <c r="AO75" s="1">
        <v>23</v>
      </c>
      <c r="AP75" s="1">
        <v>5068</v>
      </c>
      <c r="AQ75" s="1">
        <v>0.2</v>
      </c>
      <c r="AR75" s="1">
        <v>1738</v>
      </c>
      <c r="AS75" s="1">
        <v>655</v>
      </c>
      <c r="AT75" s="1">
        <v>133</v>
      </c>
      <c r="AU75" s="1">
        <v>92731</v>
      </c>
      <c r="AV75" s="1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53E4-A1F7-4044-B891-8357975798D0}">
  <dimension ref="A1:AV72"/>
  <sheetViews>
    <sheetView workbookViewId="0">
      <selection activeCell="A60" sqref="A60"/>
    </sheetView>
  </sheetViews>
  <sheetFormatPr defaultColWidth="11.5703125" defaultRowHeight="15.95"/>
  <cols>
    <col min="1" max="16384" width="11.5703125" style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196</v>
      </c>
      <c r="B2" s="1" t="s">
        <v>197</v>
      </c>
      <c r="C2" s="1">
        <v>0.98832699999999996</v>
      </c>
      <c r="D2" s="1">
        <v>1369</v>
      </c>
      <c r="E2" s="1">
        <v>24279</v>
      </c>
      <c r="F2" s="1">
        <v>344</v>
      </c>
      <c r="G2" s="1">
        <v>8890403</v>
      </c>
      <c r="H2" s="1">
        <v>72.099999999999994</v>
      </c>
      <c r="I2" s="1">
        <v>1586</v>
      </c>
      <c r="J2" s="1">
        <v>24671</v>
      </c>
      <c r="K2" s="1">
        <v>114</v>
      </c>
      <c r="L2" s="1">
        <v>2993807</v>
      </c>
      <c r="M2" s="1">
        <v>24.3</v>
      </c>
      <c r="N2" s="1">
        <v>1051</v>
      </c>
      <c r="O2" s="1">
        <v>743</v>
      </c>
      <c r="P2" s="1">
        <v>51</v>
      </c>
      <c r="Q2" s="1">
        <v>40336</v>
      </c>
      <c r="R2" s="1">
        <v>0.3</v>
      </c>
      <c r="S2" s="1">
        <v>1154</v>
      </c>
      <c r="T2" s="1">
        <v>1</v>
      </c>
      <c r="U2" s="1">
        <v>1</v>
      </c>
      <c r="V2" s="1">
        <v>1</v>
      </c>
      <c r="W2" s="1">
        <v>0</v>
      </c>
      <c r="X2" s="1">
        <v>1256</v>
      </c>
      <c r="Y2" s="1">
        <v>1</v>
      </c>
      <c r="Z2" s="1">
        <v>1</v>
      </c>
      <c r="AA2" s="1">
        <v>1</v>
      </c>
      <c r="AB2" s="1">
        <v>0</v>
      </c>
      <c r="AC2" s="1">
        <v>1456</v>
      </c>
      <c r="AD2" s="1">
        <v>341</v>
      </c>
      <c r="AE2" s="1">
        <v>69</v>
      </c>
      <c r="AF2" s="1">
        <v>25046</v>
      </c>
      <c r="AG2" s="1">
        <v>0.2</v>
      </c>
      <c r="AH2" s="1">
        <v>1506</v>
      </c>
      <c r="AI2" s="1">
        <v>379</v>
      </c>
      <c r="AJ2" s="1">
        <v>11</v>
      </c>
      <c r="AK2" s="1">
        <v>4438</v>
      </c>
      <c r="AL2" s="1">
        <v>0</v>
      </c>
      <c r="AM2" s="1">
        <v>1596</v>
      </c>
      <c r="AN2" s="1">
        <v>481</v>
      </c>
      <c r="AO2" s="1">
        <v>23</v>
      </c>
      <c r="AP2" s="1">
        <v>11776</v>
      </c>
      <c r="AQ2" s="1">
        <v>0.1</v>
      </c>
      <c r="AR2" s="1">
        <v>1730</v>
      </c>
      <c r="AS2" s="1">
        <v>3151</v>
      </c>
      <c r="AT2" s="1">
        <v>107</v>
      </c>
      <c r="AU2" s="1">
        <v>358893</v>
      </c>
      <c r="AV2" s="1">
        <v>2.9</v>
      </c>
    </row>
    <row r="3" spans="1:48">
      <c r="A3" s="1" t="s">
        <v>198</v>
      </c>
      <c r="B3" s="1" t="s">
        <v>199</v>
      </c>
      <c r="C3" s="1">
        <v>0.98870999999999998</v>
      </c>
      <c r="D3" s="1">
        <v>1369</v>
      </c>
      <c r="E3" s="1">
        <v>13083</v>
      </c>
      <c r="F3" s="1">
        <v>334</v>
      </c>
      <c r="G3" s="1">
        <v>4651425</v>
      </c>
      <c r="H3" s="1">
        <v>73.900000000000006</v>
      </c>
      <c r="I3" s="1">
        <v>1590</v>
      </c>
      <c r="J3" s="1">
        <v>12779</v>
      </c>
      <c r="K3" s="1">
        <v>100</v>
      </c>
      <c r="L3" s="1">
        <v>1360282</v>
      </c>
      <c r="M3" s="1">
        <v>21.6</v>
      </c>
      <c r="N3" s="1">
        <v>1035</v>
      </c>
      <c r="O3" s="1">
        <v>461</v>
      </c>
      <c r="P3" s="1">
        <v>75</v>
      </c>
      <c r="Q3" s="1">
        <v>36804</v>
      </c>
      <c r="R3" s="1">
        <v>0.6</v>
      </c>
      <c r="S3" s="1">
        <v>1154</v>
      </c>
      <c r="T3" s="1">
        <v>1</v>
      </c>
      <c r="U3" s="1">
        <v>1</v>
      </c>
      <c r="V3" s="1">
        <v>1</v>
      </c>
      <c r="W3" s="1">
        <v>0</v>
      </c>
      <c r="X3" s="1">
        <v>1298</v>
      </c>
      <c r="Y3" s="1">
        <v>381</v>
      </c>
      <c r="Z3" s="1">
        <v>7</v>
      </c>
      <c r="AA3" s="1">
        <v>2839</v>
      </c>
      <c r="AB3" s="1">
        <v>0</v>
      </c>
      <c r="AC3" s="1">
        <v>1416</v>
      </c>
      <c r="AD3" s="1">
        <v>1</v>
      </c>
      <c r="AE3" s="1">
        <v>1</v>
      </c>
      <c r="AF3" s="1">
        <v>1</v>
      </c>
      <c r="AG3" s="1">
        <v>0</v>
      </c>
      <c r="AH3" s="1">
        <v>1506</v>
      </c>
      <c r="AI3" s="1">
        <v>415</v>
      </c>
      <c r="AJ3" s="1">
        <v>21</v>
      </c>
      <c r="AK3" s="1">
        <v>9277</v>
      </c>
      <c r="AL3" s="1">
        <v>0.1</v>
      </c>
      <c r="AM3" s="1">
        <v>1598</v>
      </c>
      <c r="AN3" s="1">
        <v>2063</v>
      </c>
      <c r="AO3" s="1">
        <v>25</v>
      </c>
      <c r="AP3" s="1">
        <v>54900</v>
      </c>
      <c r="AQ3" s="1">
        <v>0.9</v>
      </c>
      <c r="AR3" s="1">
        <v>1736</v>
      </c>
      <c r="AS3" s="1">
        <v>863</v>
      </c>
      <c r="AT3" s="1">
        <v>191</v>
      </c>
      <c r="AU3" s="1">
        <v>175459</v>
      </c>
      <c r="AV3" s="1">
        <v>2.8</v>
      </c>
    </row>
    <row r="4" spans="1:48">
      <c r="A4" s="1" t="s">
        <v>200</v>
      </c>
      <c r="B4" s="1" t="s">
        <v>201</v>
      </c>
      <c r="C4" s="1">
        <v>0.98939500000000002</v>
      </c>
      <c r="D4" s="1">
        <v>1369</v>
      </c>
      <c r="E4" s="1">
        <v>10431</v>
      </c>
      <c r="F4" s="1">
        <v>334</v>
      </c>
      <c r="G4" s="1">
        <v>3708554</v>
      </c>
      <c r="H4" s="1">
        <v>73.7</v>
      </c>
      <c r="I4" s="1">
        <v>1588</v>
      </c>
      <c r="J4" s="1">
        <v>10427</v>
      </c>
      <c r="K4" s="1">
        <v>100</v>
      </c>
      <c r="L4" s="1">
        <v>1109920</v>
      </c>
      <c r="M4" s="1">
        <v>22.1</v>
      </c>
      <c r="N4" s="1">
        <v>1035</v>
      </c>
      <c r="O4" s="1">
        <v>391</v>
      </c>
      <c r="P4" s="1">
        <v>79</v>
      </c>
      <c r="Q4" s="1">
        <v>32880</v>
      </c>
      <c r="R4" s="1">
        <v>0.7</v>
      </c>
      <c r="S4" s="1">
        <v>1154</v>
      </c>
      <c r="T4" s="1">
        <v>1</v>
      </c>
      <c r="U4" s="1">
        <v>1</v>
      </c>
      <c r="V4" s="1">
        <v>1</v>
      </c>
      <c r="W4" s="1">
        <v>0</v>
      </c>
      <c r="X4" s="1">
        <v>1292</v>
      </c>
      <c r="Y4" s="1">
        <v>3</v>
      </c>
      <c r="Z4" s="1">
        <v>1</v>
      </c>
      <c r="AA4" s="1">
        <v>3</v>
      </c>
      <c r="AB4" s="1">
        <v>0</v>
      </c>
      <c r="AC4" s="1">
        <v>1416</v>
      </c>
      <c r="AD4" s="1">
        <v>1</v>
      </c>
      <c r="AE4" s="1">
        <v>1</v>
      </c>
      <c r="AF4" s="1">
        <v>1</v>
      </c>
      <c r="AG4" s="1">
        <v>0</v>
      </c>
      <c r="AH4" s="1">
        <v>1506</v>
      </c>
      <c r="AI4" s="1">
        <v>181</v>
      </c>
      <c r="AJ4" s="1">
        <v>19</v>
      </c>
      <c r="AK4" s="1">
        <v>3661</v>
      </c>
      <c r="AL4" s="1">
        <v>0.1</v>
      </c>
      <c r="AM4" s="1">
        <v>1598</v>
      </c>
      <c r="AN4" s="1">
        <v>1551</v>
      </c>
      <c r="AO4" s="1">
        <v>25</v>
      </c>
      <c r="AP4" s="1">
        <v>41275</v>
      </c>
      <c r="AQ4" s="1">
        <v>0.8</v>
      </c>
      <c r="AR4" s="1">
        <v>1722</v>
      </c>
      <c r="AS4" s="1">
        <v>999</v>
      </c>
      <c r="AT4" s="1">
        <v>127</v>
      </c>
      <c r="AU4" s="1">
        <v>135052</v>
      </c>
      <c r="AV4" s="1">
        <v>2.7</v>
      </c>
    </row>
    <row r="5" spans="1:48">
      <c r="A5" s="1" t="s">
        <v>202</v>
      </c>
      <c r="B5" s="1" t="s">
        <v>203</v>
      </c>
      <c r="C5" s="1">
        <v>0.99016199999999999</v>
      </c>
      <c r="D5" s="1">
        <v>1369</v>
      </c>
      <c r="E5" s="1">
        <v>9819</v>
      </c>
      <c r="F5" s="1">
        <v>326</v>
      </c>
      <c r="G5" s="1">
        <v>3407353</v>
      </c>
      <c r="H5" s="1">
        <v>73.2</v>
      </c>
      <c r="I5" s="1">
        <v>1590</v>
      </c>
      <c r="J5" s="1">
        <v>9787</v>
      </c>
      <c r="K5" s="1">
        <v>100</v>
      </c>
      <c r="L5" s="1">
        <v>1041794</v>
      </c>
      <c r="M5" s="1">
        <v>22.4</v>
      </c>
      <c r="N5" s="1">
        <v>1047</v>
      </c>
      <c r="O5" s="1">
        <v>429</v>
      </c>
      <c r="P5" s="1">
        <v>81</v>
      </c>
      <c r="Q5" s="1">
        <v>36989</v>
      </c>
      <c r="R5" s="1">
        <v>0.8</v>
      </c>
      <c r="S5" s="1">
        <v>1194</v>
      </c>
      <c r="T5" s="1">
        <v>3273</v>
      </c>
      <c r="U5" s="1">
        <v>1</v>
      </c>
      <c r="V5" s="1">
        <v>3484</v>
      </c>
      <c r="W5" s="1">
        <v>0.1</v>
      </c>
      <c r="X5" s="1">
        <v>1294</v>
      </c>
      <c r="Y5" s="1">
        <v>1</v>
      </c>
      <c r="Z5" s="1">
        <v>1</v>
      </c>
      <c r="AA5" s="1">
        <v>1</v>
      </c>
      <c r="AB5" s="1">
        <v>0</v>
      </c>
      <c r="AC5" s="1">
        <v>1416</v>
      </c>
      <c r="AD5" s="1">
        <v>1</v>
      </c>
      <c r="AE5" s="1">
        <v>1</v>
      </c>
      <c r="AF5" s="1">
        <v>1</v>
      </c>
      <c r="AG5" s="1">
        <v>0</v>
      </c>
      <c r="AH5" s="1">
        <v>1506</v>
      </c>
      <c r="AI5" s="1">
        <v>203</v>
      </c>
      <c r="AJ5" s="1">
        <v>29</v>
      </c>
      <c r="AK5" s="1">
        <v>6267</v>
      </c>
      <c r="AL5" s="1">
        <v>0.1</v>
      </c>
      <c r="AM5" s="1">
        <v>1598</v>
      </c>
      <c r="AN5" s="1">
        <v>1417</v>
      </c>
      <c r="AO5" s="1">
        <v>23</v>
      </c>
      <c r="AP5" s="1">
        <v>34692</v>
      </c>
      <c r="AQ5" s="1">
        <v>0.7</v>
      </c>
      <c r="AR5" s="1">
        <v>1726</v>
      </c>
      <c r="AS5" s="1">
        <v>771</v>
      </c>
      <c r="AT5" s="1">
        <v>155</v>
      </c>
      <c r="AU5" s="1">
        <v>127209</v>
      </c>
      <c r="AV5" s="1">
        <v>2.7</v>
      </c>
    </row>
    <row r="6" spans="1:48">
      <c r="A6" s="1" t="s">
        <v>204</v>
      </c>
      <c r="B6" s="1" t="s">
        <v>205</v>
      </c>
      <c r="C6" s="1">
        <v>0.98970899999999995</v>
      </c>
      <c r="D6" s="1">
        <v>1369</v>
      </c>
      <c r="E6" s="1">
        <v>12473</v>
      </c>
      <c r="F6" s="1">
        <v>332</v>
      </c>
      <c r="G6" s="1">
        <v>4407996</v>
      </c>
      <c r="H6" s="1">
        <v>73.8</v>
      </c>
      <c r="I6" s="1">
        <v>1588</v>
      </c>
      <c r="J6" s="1">
        <v>12315</v>
      </c>
      <c r="K6" s="1">
        <v>100</v>
      </c>
      <c r="L6" s="1">
        <v>1310891</v>
      </c>
      <c r="M6" s="1">
        <v>21.9</v>
      </c>
      <c r="N6" s="1">
        <v>1043</v>
      </c>
      <c r="O6" s="1">
        <v>443</v>
      </c>
      <c r="P6" s="1">
        <v>77</v>
      </c>
      <c r="Q6" s="1">
        <v>36310</v>
      </c>
      <c r="R6" s="1">
        <v>0.6</v>
      </c>
      <c r="S6" s="1">
        <v>1154</v>
      </c>
      <c r="T6" s="1">
        <v>1</v>
      </c>
      <c r="U6" s="1">
        <v>1</v>
      </c>
      <c r="V6" s="1">
        <v>1</v>
      </c>
      <c r="W6" s="1">
        <v>0</v>
      </c>
      <c r="X6" s="1">
        <v>1292</v>
      </c>
      <c r="Y6" s="1">
        <v>37</v>
      </c>
      <c r="Z6" s="1">
        <v>1</v>
      </c>
      <c r="AA6" s="1">
        <v>39</v>
      </c>
      <c r="AB6" s="1">
        <v>0</v>
      </c>
      <c r="AC6" s="1">
        <v>1416</v>
      </c>
      <c r="AD6" s="1">
        <v>1</v>
      </c>
      <c r="AE6" s="1">
        <v>1</v>
      </c>
      <c r="AF6" s="1">
        <v>1</v>
      </c>
      <c r="AG6" s="1">
        <v>0</v>
      </c>
      <c r="AH6" s="1">
        <v>1506</v>
      </c>
      <c r="AI6" s="1">
        <v>303</v>
      </c>
      <c r="AJ6" s="1">
        <v>27</v>
      </c>
      <c r="AK6" s="1">
        <v>8708</v>
      </c>
      <c r="AL6" s="1">
        <v>0.1</v>
      </c>
      <c r="AM6" s="1">
        <v>1598</v>
      </c>
      <c r="AN6" s="1">
        <v>1563</v>
      </c>
      <c r="AO6" s="1">
        <v>25</v>
      </c>
      <c r="AP6" s="1">
        <v>41594</v>
      </c>
      <c r="AQ6" s="1">
        <v>0.7</v>
      </c>
      <c r="AR6" s="1">
        <v>1722</v>
      </c>
      <c r="AS6" s="1">
        <v>1099</v>
      </c>
      <c r="AT6" s="1">
        <v>143</v>
      </c>
      <c r="AU6" s="1">
        <v>167288</v>
      </c>
      <c r="AV6" s="1">
        <v>2.8</v>
      </c>
    </row>
    <row r="7" spans="1:48" s="2" customFormat="1">
      <c r="A7" s="2" t="s">
        <v>206</v>
      </c>
      <c r="B7" s="2" t="s">
        <v>207</v>
      </c>
      <c r="C7" s="2">
        <v>0.31788499999999997</v>
      </c>
      <c r="D7" s="2">
        <v>1361</v>
      </c>
      <c r="E7" s="2">
        <v>4253</v>
      </c>
      <c r="F7" s="2">
        <v>200</v>
      </c>
      <c r="G7" s="2">
        <v>905436</v>
      </c>
      <c r="H7" s="2">
        <v>58.3</v>
      </c>
      <c r="I7" s="2">
        <v>1584</v>
      </c>
      <c r="J7" s="2">
        <v>5459</v>
      </c>
      <c r="K7" s="2">
        <v>100</v>
      </c>
      <c r="L7" s="2">
        <v>581093</v>
      </c>
      <c r="M7" s="2">
        <v>37.4</v>
      </c>
      <c r="N7" s="2">
        <v>1015</v>
      </c>
      <c r="O7" s="2">
        <v>1</v>
      </c>
      <c r="P7" s="2">
        <v>1</v>
      </c>
      <c r="Q7" s="2">
        <v>1</v>
      </c>
      <c r="R7" s="2">
        <v>0</v>
      </c>
      <c r="S7" s="2">
        <v>1174</v>
      </c>
      <c r="T7" s="2">
        <v>327</v>
      </c>
      <c r="U7" s="2">
        <v>57</v>
      </c>
      <c r="V7" s="2">
        <v>19841</v>
      </c>
      <c r="W7" s="2">
        <v>1.3</v>
      </c>
      <c r="X7" s="2">
        <v>1252</v>
      </c>
      <c r="Y7" s="2">
        <v>31</v>
      </c>
      <c r="Z7" s="2">
        <v>1</v>
      </c>
      <c r="AA7" s="2">
        <v>33</v>
      </c>
      <c r="AB7" s="2">
        <v>0</v>
      </c>
      <c r="AC7" s="2">
        <v>1456</v>
      </c>
      <c r="AD7" s="2">
        <v>23</v>
      </c>
      <c r="AE7" s="2">
        <v>137</v>
      </c>
      <c r="AF7" s="2">
        <v>3354</v>
      </c>
      <c r="AG7" s="2">
        <v>0.2</v>
      </c>
      <c r="AH7" s="2">
        <v>1500</v>
      </c>
      <c r="AI7" s="2">
        <v>209</v>
      </c>
      <c r="AJ7" s="2">
        <v>27</v>
      </c>
      <c r="AK7" s="2">
        <v>6007</v>
      </c>
      <c r="AL7" s="2">
        <v>0.4</v>
      </c>
      <c r="AM7" s="2">
        <v>1594</v>
      </c>
      <c r="AN7" s="2">
        <v>1039</v>
      </c>
      <c r="AO7" s="2">
        <v>33</v>
      </c>
      <c r="AP7" s="2">
        <v>36497</v>
      </c>
      <c r="AQ7" s="2">
        <v>2.4</v>
      </c>
      <c r="AR7" s="2">
        <v>1716</v>
      </c>
      <c r="AS7" s="2">
        <v>1</v>
      </c>
      <c r="AT7" s="2">
        <v>1</v>
      </c>
      <c r="AU7" s="2">
        <v>1</v>
      </c>
      <c r="AV7" s="2">
        <v>0</v>
      </c>
    </row>
    <row r="8" spans="1:48">
      <c r="A8" s="1" t="s">
        <v>208</v>
      </c>
      <c r="B8" s="1" t="s">
        <v>209</v>
      </c>
      <c r="C8" s="1">
        <v>0.96097900000000003</v>
      </c>
      <c r="D8" s="1">
        <v>1369</v>
      </c>
      <c r="E8" s="1">
        <v>3957</v>
      </c>
      <c r="F8" s="1">
        <v>282</v>
      </c>
      <c r="G8" s="1">
        <v>1187811</v>
      </c>
      <c r="H8" s="1">
        <v>64.099999999999994</v>
      </c>
      <c r="I8" s="1">
        <v>1596</v>
      </c>
      <c r="J8" s="1">
        <v>4207</v>
      </c>
      <c r="K8" s="1">
        <v>100</v>
      </c>
      <c r="L8" s="1">
        <v>447821</v>
      </c>
      <c r="M8" s="1">
        <v>24.2</v>
      </c>
      <c r="N8" s="1">
        <v>1073</v>
      </c>
      <c r="O8" s="1">
        <v>379</v>
      </c>
      <c r="P8" s="1">
        <v>129</v>
      </c>
      <c r="Q8" s="1">
        <v>52043</v>
      </c>
      <c r="R8" s="1">
        <v>2.8</v>
      </c>
      <c r="S8" s="1">
        <v>1156</v>
      </c>
      <c r="T8" s="1">
        <v>95</v>
      </c>
      <c r="U8" s="1">
        <v>37</v>
      </c>
      <c r="V8" s="1">
        <v>3742</v>
      </c>
      <c r="W8" s="1">
        <v>0.2</v>
      </c>
      <c r="X8" s="1">
        <v>1296</v>
      </c>
      <c r="Y8" s="1">
        <v>359</v>
      </c>
      <c r="Z8" s="1">
        <v>19</v>
      </c>
      <c r="AA8" s="1">
        <v>7261</v>
      </c>
      <c r="AB8" s="1">
        <v>0.4</v>
      </c>
      <c r="AC8" s="1">
        <v>1402</v>
      </c>
      <c r="AD8" s="1">
        <v>77</v>
      </c>
      <c r="AE8" s="1">
        <v>143</v>
      </c>
      <c r="AF8" s="1">
        <v>11721</v>
      </c>
      <c r="AG8" s="1">
        <v>0.6</v>
      </c>
      <c r="AH8" s="1">
        <v>1528</v>
      </c>
      <c r="AI8" s="1">
        <v>53</v>
      </c>
      <c r="AJ8" s="1">
        <v>33</v>
      </c>
      <c r="AK8" s="1">
        <v>1862</v>
      </c>
      <c r="AL8" s="1">
        <v>0.1</v>
      </c>
      <c r="AM8" s="1">
        <v>1598</v>
      </c>
      <c r="AN8" s="1">
        <v>829</v>
      </c>
      <c r="AO8" s="1">
        <v>27</v>
      </c>
      <c r="AP8" s="1">
        <v>23826</v>
      </c>
      <c r="AQ8" s="1">
        <v>1.3</v>
      </c>
      <c r="AR8" s="1">
        <v>1748</v>
      </c>
      <c r="AS8" s="1">
        <v>549</v>
      </c>
      <c r="AT8" s="1">
        <v>199</v>
      </c>
      <c r="AU8" s="1">
        <v>116294</v>
      </c>
      <c r="AV8" s="1">
        <v>6.3</v>
      </c>
    </row>
    <row r="9" spans="1:48">
      <c r="A9" s="1" t="s">
        <v>210</v>
      </c>
      <c r="B9" s="1" t="s">
        <v>211</v>
      </c>
      <c r="C9" s="1">
        <v>0.97569600000000001</v>
      </c>
      <c r="D9" s="1">
        <v>1369</v>
      </c>
      <c r="E9" s="1">
        <v>3415</v>
      </c>
      <c r="F9" s="1">
        <v>312</v>
      </c>
      <c r="G9" s="1">
        <v>1134168</v>
      </c>
      <c r="H9" s="1">
        <v>71.5</v>
      </c>
      <c r="I9" s="1">
        <v>1594</v>
      </c>
      <c r="J9" s="1">
        <v>3177</v>
      </c>
      <c r="K9" s="1">
        <v>100</v>
      </c>
      <c r="L9" s="1">
        <v>338181</v>
      </c>
      <c r="M9" s="1">
        <v>21.3</v>
      </c>
      <c r="N9" s="1">
        <v>1033</v>
      </c>
      <c r="O9" s="1">
        <v>267</v>
      </c>
      <c r="P9" s="1">
        <v>153</v>
      </c>
      <c r="Q9" s="1">
        <v>43485</v>
      </c>
      <c r="R9" s="1">
        <v>2.7</v>
      </c>
      <c r="S9" s="1">
        <v>1152</v>
      </c>
      <c r="T9" s="1">
        <v>41</v>
      </c>
      <c r="U9" s="1">
        <v>1</v>
      </c>
      <c r="V9" s="1">
        <v>44</v>
      </c>
      <c r="W9" s="1">
        <v>0</v>
      </c>
      <c r="X9" s="1">
        <v>1296</v>
      </c>
      <c r="Y9" s="1">
        <v>113</v>
      </c>
      <c r="Z9" s="1">
        <v>75</v>
      </c>
      <c r="AA9" s="1">
        <v>9021</v>
      </c>
      <c r="AB9" s="1">
        <v>0.6</v>
      </c>
      <c r="AC9" s="1">
        <v>1404</v>
      </c>
      <c r="AD9" s="1">
        <v>7</v>
      </c>
      <c r="AE9" s="1">
        <v>1</v>
      </c>
      <c r="AF9" s="1">
        <v>7</v>
      </c>
      <c r="AG9" s="1">
        <v>0</v>
      </c>
      <c r="AH9" s="1">
        <v>1500</v>
      </c>
      <c r="AI9" s="1">
        <v>71</v>
      </c>
      <c r="AJ9" s="1">
        <v>1</v>
      </c>
      <c r="AK9" s="1">
        <v>76</v>
      </c>
      <c r="AL9" s="1">
        <v>0</v>
      </c>
      <c r="AM9" s="1">
        <v>1598</v>
      </c>
      <c r="AN9" s="1">
        <v>857</v>
      </c>
      <c r="AO9" s="1">
        <v>29</v>
      </c>
      <c r="AP9" s="1">
        <v>26455</v>
      </c>
      <c r="AQ9" s="1">
        <v>1.7</v>
      </c>
      <c r="AR9" s="1">
        <v>1738</v>
      </c>
      <c r="AS9" s="1">
        <v>263</v>
      </c>
      <c r="AT9" s="1">
        <v>121</v>
      </c>
      <c r="AU9" s="1">
        <v>33875</v>
      </c>
      <c r="AV9" s="1">
        <v>2.1</v>
      </c>
    </row>
    <row r="10" spans="1:48">
      <c r="A10" s="1" t="s">
        <v>212</v>
      </c>
      <c r="B10" s="1" t="s">
        <v>213</v>
      </c>
      <c r="C10" s="1">
        <v>0.990456</v>
      </c>
      <c r="D10" s="1">
        <v>1367</v>
      </c>
      <c r="E10" s="1">
        <v>12083</v>
      </c>
      <c r="F10" s="1">
        <v>324</v>
      </c>
      <c r="G10" s="1">
        <v>4167273</v>
      </c>
      <c r="H10" s="1">
        <v>70</v>
      </c>
      <c r="I10" s="1">
        <v>1584</v>
      </c>
      <c r="J10" s="1">
        <v>11335</v>
      </c>
      <c r="K10" s="1">
        <v>116</v>
      </c>
      <c r="L10" s="1">
        <v>1399625</v>
      </c>
      <c r="M10" s="1">
        <v>23.5</v>
      </c>
      <c r="N10" s="1">
        <v>1039</v>
      </c>
      <c r="O10" s="1">
        <v>551</v>
      </c>
      <c r="P10" s="1">
        <v>63</v>
      </c>
      <c r="Q10" s="1">
        <v>36951</v>
      </c>
      <c r="R10" s="1">
        <v>0.6</v>
      </c>
      <c r="S10" s="1">
        <v>1154</v>
      </c>
      <c r="T10" s="1">
        <v>1</v>
      </c>
      <c r="U10" s="1">
        <v>1</v>
      </c>
      <c r="V10" s="1">
        <v>1</v>
      </c>
      <c r="W10" s="1">
        <v>0</v>
      </c>
      <c r="X10" s="1">
        <v>1256</v>
      </c>
      <c r="Y10" s="1">
        <v>1</v>
      </c>
      <c r="Z10" s="1">
        <v>1</v>
      </c>
      <c r="AA10" s="1">
        <v>1</v>
      </c>
      <c r="AB10" s="1">
        <v>0</v>
      </c>
      <c r="AC10" s="1">
        <v>1424</v>
      </c>
      <c r="AD10" s="1">
        <v>309</v>
      </c>
      <c r="AE10" s="1">
        <v>125</v>
      </c>
      <c r="AF10" s="1">
        <v>41115</v>
      </c>
      <c r="AG10" s="1">
        <v>0.7</v>
      </c>
      <c r="AH10" s="1">
        <v>1482</v>
      </c>
      <c r="AI10" s="1">
        <v>609</v>
      </c>
      <c r="AJ10" s="1">
        <v>47</v>
      </c>
      <c r="AK10" s="1">
        <v>30468</v>
      </c>
      <c r="AL10" s="1">
        <v>0.5</v>
      </c>
      <c r="AM10" s="1">
        <v>1590</v>
      </c>
      <c r="AN10" s="1">
        <v>421</v>
      </c>
      <c r="AO10" s="1">
        <v>21</v>
      </c>
      <c r="AP10" s="1">
        <v>9411</v>
      </c>
      <c r="AQ10" s="1">
        <v>0.2</v>
      </c>
      <c r="AR10" s="1">
        <v>1746</v>
      </c>
      <c r="AS10" s="1">
        <v>1397</v>
      </c>
      <c r="AT10" s="1">
        <v>181</v>
      </c>
      <c r="AU10" s="1">
        <v>269158</v>
      </c>
      <c r="AV10" s="1">
        <v>4.5</v>
      </c>
    </row>
    <row r="11" spans="1:48">
      <c r="A11" s="1" t="s">
        <v>214</v>
      </c>
      <c r="B11" s="1" t="s">
        <v>215</v>
      </c>
      <c r="C11" s="1">
        <v>0.99142699999999995</v>
      </c>
      <c r="D11" s="1">
        <v>1369</v>
      </c>
      <c r="E11" s="1">
        <v>19355</v>
      </c>
      <c r="F11" s="1">
        <v>328</v>
      </c>
      <c r="G11" s="1">
        <v>6757705</v>
      </c>
      <c r="H11" s="1">
        <v>71.3</v>
      </c>
      <c r="I11" s="1">
        <v>1584</v>
      </c>
      <c r="J11" s="1">
        <v>18341</v>
      </c>
      <c r="K11" s="1">
        <v>114</v>
      </c>
      <c r="L11" s="1">
        <v>2225666</v>
      </c>
      <c r="M11" s="1">
        <v>23.5</v>
      </c>
      <c r="N11" s="1">
        <v>1037</v>
      </c>
      <c r="O11" s="1">
        <v>739</v>
      </c>
      <c r="P11" s="1">
        <v>65</v>
      </c>
      <c r="Q11" s="1">
        <v>51132</v>
      </c>
      <c r="R11" s="1">
        <v>0.5</v>
      </c>
      <c r="S11" s="1">
        <v>1154</v>
      </c>
      <c r="T11" s="1">
        <v>1</v>
      </c>
      <c r="U11" s="1">
        <v>1</v>
      </c>
      <c r="V11" s="1">
        <v>1</v>
      </c>
      <c r="W11" s="1">
        <v>0</v>
      </c>
      <c r="X11" s="1">
        <v>1256</v>
      </c>
      <c r="Y11" s="1">
        <v>1</v>
      </c>
      <c r="Z11" s="1">
        <v>1</v>
      </c>
      <c r="AA11" s="1">
        <v>1</v>
      </c>
      <c r="AB11" s="1">
        <v>0</v>
      </c>
      <c r="AC11" s="1">
        <v>1440</v>
      </c>
      <c r="AD11" s="1">
        <v>29</v>
      </c>
      <c r="AE11" s="1">
        <v>137</v>
      </c>
      <c r="AF11" s="1">
        <v>4229</v>
      </c>
      <c r="AG11" s="1">
        <v>0</v>
      </c>
      <c r="AH11" s="1">
        <v>1486</v>
      </c>
      <c r="AI11" s="1">
        <v>895</v>
      </c>
      <c r="AJ11" s="1">
        <v>47</v>
      </c>
      <c r="AK11" s="1">
        <v>44777</v>
      </c>
      <c r="AL11" s="1">
        <v>0.5</v>
      </c>
      <c r="AM11" s="1">
        <v>1594</v>
      </c>
      <c r="AN11" s="1">
        <v>585</v>
      </c>
      <c r="AO11" s="1">
        <v>23</v>
      </c>
      <c r="AP11" s="1">
        <v>14322</v>
      </c>
      <c r="AQ11" s="1">
        <v>0.2</v>
      </c>
      <c r="AR11" s="1">
        <v>1736</v>
      </c>
      <c r="AS11" s="1">
        <v>2265</v>
      </c>
      <c r="AT11" s="1">
        <v>159</v>
      </c>
      <c r="AU11" s="1">
        <v>383352</v>
      </c>
      <c r="AV11" s="1">
        <v>4</v>
      </c>
    </row>
    <row r="12" spans="1:48">
      <c r="A12" s="1" t="s">
        <v>216</v>
      </c>
      <c r="B12" s="1" t="s">
        <v>217</v>
      </c>
      <c r="C12" s="1">
        <v>0.98861699999999997</v>
      </c>
      <c r="D12" s="1">
        <v>1367</v>
      </c>
      <c r="E12" s="1">
        <v>22081</v>
      </c>
      <c r="F12" s="1">
        <v>334</v>
      </c>
      <c r="G12" s="1">
        <v>7850502</v>
      </c>
      <c r="H12" s="1">
        <v>70.400000000000006</v>
      </c>
      <c r="I12" s="1">
        <v>1584</v>
      </c>
      <c r="J12" s="1">
        <v>20743</v>
      </c>
      <c r="K12" s="1">
        <v>114</v>
      </c>
      <c r="L12" s="1">
        <v>2517147</v>
      </c>
      <c r="M12" s="1">
        <v>22.6</v>
      </c>
      <c r="N12" s="1">
        <v>1047</v>
      </c>
      <c r="O12" s="1">
        <v>845</v>
      </c>
      <c r="P12" s="1">
        <v>69</v>
      </c>
      <c r="Q12" s="1">
        <v>62064</v>
      </c>
      <c r="R12" s="1">
        <v>0.6</v>
      </c>
      <c r="S12" s="1">
        <v>1154</v>
      </c>
      <c r="T12" s="1">
        <v>1</v>
      </c>
      <c r="U12" s="1">
        <v>1</v>
      </c>
      <c r="V12" s="1">
        <v>1</v>
      </c>
      <c r="W12" s="1">
        <v>0</v>
      </c>
      <c r="X12" s="1">
        <v>1256</v>
      </c>
      <c r="Y12" s="1">
        <v>1</v>
      </c>
      <c r="Z12" s="1">
        <v>1</v>
      </c>
      <c r="AA12" s="1">
        <v>1</v>
      </c>
      <c r="AB12" s="1">
        <v>0</v>
      </c>
      <c r="AC12" s="1">
        <v>1424</v>
      </c>
      <c r="AD12" s="1">
        <v>127</v>
      </c>
      <c r="AE12" s="1">
        <v>143</v>
      </c>
      <c r="AF12" s="1">
        <v>19332</v>
      </c>
      <c r="AG12" s="1">
        <v>0.2</v>
      </c>
      <c r="AH12" s="1">
        <v>1490</v>
      </c>
      <c r="AI12" s="1">
        <v>1497</v>
      </c>
      <c r="AJ12" s="1">
        <v>49</v>
      </c>
      <c r="AK12" s="1">
        <v>78082</v>
      </c>
      <c r="AL12" s="1">
        <v>0.7</v>
      </c>
      <c r="AM12" s="1">
        <v>1594</v>
      </c>
      <c r="AN12" s="1">
        <v>661</v>
      </c>
      <c r="AO12" s="1">
        <v>21</v>
      </c>
      <c r="AP12" s="1">
        <v>14776</v>
      </c>
      <c r="AQ12" s="1">
        <v>0.1</v>
      </c>
      <c r="AR12" s="1">
        <v>1746</v>
      </c>
      <c r="AS12" s="1">
        <v>2887</v>
      </c>
      <c r="AT12" s="1">
        <v>199</v>
      </c>
      <c r="AU12" s="1">
        <v>611550</v>
      </c>
      <c r="AV12" s="1">
        <v>5.5</v>
      </c>
    </row>
    <row r="13" spans="1:48">
      <c r="A13" s="1" t="s">
        <v>218</v>
      </c>
      <c r="B13" s="1" t="s">
        <v>113</v>
      </c>
      <c r="C13" s="1">
        <v>0.98563800000000001</v>
      </c>
      <c r="D13" s="1">
        <v>1367</v>
      </c>
      <c r="E13" s="1">
        <v>10707</v>
      </c>
      <c r="F13" s="1">
        <v>336</v>
      </c>
      <c r="G13" s="1">
        <v>3829476</v>
      </c>
      <c r="H13" s="1">
        <v>70.099999999999994</v>
      </c>
      <c r="I13" s="1">
        <v>1586</v>
      </c>
      <c r="J13" s="1">
        <v>10587</v>
      </c>
      <c r="K13" s="1">
        <v>116</v>
      </c>
      <c r="L13" s="1">
        <v>1307263</v>
      </c>
      <c r="M13" s="1">
        <v>23.9</v>
      </c>
      <c r="N13" s="1">
        <v>1025</v>
      </c>
      <c r="O13" s="1">
        <v>403</v>
      </c>
      <c r="P13" s="1">
        <v>51</v>
      </c>
      <c r="Q13" s="1">
        <v>21878</v>
      </c>
      <c r="R13" s="1">
        <v>0.4</v>
      </c>
      <c r="S13" s="1">
        <v>1154</v>
      </c>
      <c r="T13" s="1">
        <v>1</v>
      </c>
      <c r="U13" s="1">
        <v>1</v>
      </c>
      <c r="V13" s="1">
        <v>1</v>
      </c>
      <c r="W13" s="1">
        <v>0</v>
      </c>
      <c r="X13" s="1">
        <v>1256</v>
      </c>
      <c r="Y13" s="1">
        <v>1</v>
      </c>
      <c r="Z13" s="1">
        <v>1</v>
      </c>
      <c r="AA13" s="1">
        <v>1</v>
      </c>
      <c r="AB13" s="1">
        <v>0</v>
      </c>
      <c r="AC13" s="1">
        <v>1456</v>
      </c>
      <c r="AD13" s="1">
        <v>285</v>
      </c>
      <c r="AE13" s="1">
        <v>63</v>
      </c>
      <c r="AF13" s="1">
        <v>19113</v>
      </c>
      <c r="AG13" s="1">
        <v>0.3</v>
      </c>
      <c r="AH13" s="1">
        <v>1484</v>
      </c>
      <c r="AI13" s="1">
        <v>185</v>
      </c>
      <c r="AJ13" s="1">
        <v>37</v>
      </c>
      <c r="AK13" s="1">
        <v>7286</v>
      </c>
      <c r="AL13" s="1">
        <v>0.1</v>
      </c>
      <c r="AM13" s="1">
        <v>1582</v>
      </c>
      <c r="AN13" s="1">
        <v>23</v>
      </c>
      <c r="AO13" s="1">
        <v>3</v>
      </c>
      <c r="AP13" s="1">
        <v>73</v>
      </c>
      <c r="AQ13" s="1">
        <v>0</v>
      </c>
      <c r="AR13" s="1">
        <v>1748</v>
      </c>
      <c r="AS13" s="1">
        <v>1327</v>
      </c>
      <c r="AT13" s="1">
        <v>199</v>
      </c>
      <c r="AU13" s="1">
        <v>281097</v>
      </c>
      <c r="AV13" s="1">
        <v>5.0999999999999996</v>
      </c>
    </row>
    <row r="14" spans="1:48">
      <c r="A14" s="1" t="s">
        <v>219</v>
      </c>
      <c r="B14" s="1" t="s">
        <v>220</v>
      </c>
      <c r="C14" s="1">
        <v>0.98951500000000003</v>
      </c>
      <c r="D14" s="1">
        <v>1365</v>
      </c>
      <c r="E14" s="1">
        <v>16309</v>
      </c>
      <c r="F14" s="1">
        <v>316</v>
      </c>
      <c r="G14" s="1">
        <v>5485884</v>
      </c>
      <c r="H14" s="1">
        <v>68.099999999999994</v>
      </c>
      <c r="I14" s="1">
        <v>1584</v>
      </c>
      <c r="J14" s="1">
        <v>15983</v>
      </c>
      <c r="K14" s="1">
        <v>120</v>
      </c>
      <c r="L14" s="1">
        <v>2041605</v>
      </c>
      <c r="M14" s="1">
        <v>25.4</v>
      </c>
      <c r="N14" s="1">
        <v>1061</v>
      </c>
      <c r="O14" s="1">
        <v>475</v>
      </c>
      <c r="P14" s="1">
        <v>59</v>
      </c>
      <c r="Q14" s="1">
        <v>29832</v>
      </c>
      <c r="R14" s="1">
        <v>0.4</v>
      </c>
      <c r="S14" s="1">
        <v>1192</v>
      </c>
      <c r="T14" s="1">
        <v>1629</v>
      </c>
      <c r="U14" s="1">
        <v>3</v>
      </c>
      <c r="V14" s="1">
        <v>5202</v>
      </c>
      <c r="W14" s="1">
        <v>0.1</v>
      </c>
      <c r="X14" s="1">
        <v>1256</v>
      </c>
      <c r="Y14" s="1">
        <v>1</v>
      </c>
      <c r="Z14" s="1">
        <v>1</v>
      </c>
      <c r="AA14" s="1">
        <v>1</v>
      </c>
      <c r="AB14" s="1">
        <v>0</v>
      </c>
      <c r="AC14" s="1">
        <v>1440</v>
      </c>
      <c r="AD14" s="1">
        <v>675</v>
      </c>
      <c r="AE14" s="1">
        <v>89</v>
      </c>
      <c r="AF14" s="1">
        <v>63948</v>
      </c>
      <c r="AG14" s="1">
        <v>0.8</v>
      </c>
      <c r="AH14" s="1">
        <v>1506</v>
      </c>
      <c r="AI14" s="1">
        <v>405</v>
      </c>
      <c r="AJ14" s="1">
        <v>77</v>
      </c>
      <c r="AK14" s="1">
        <v>33195</v>
      </c>
      <c r="AL14" s="1">
        <v>0.4</v>
      </c>
      <c r="AM14" s="1">
        <v>1582</v>
      </c>
      <c r="AN14" s="1">
        <v>695</v>
      </c>
      <c r="AO14" s="1">
        <v>17</v>
      </c>
      <c r="AP14" s="1">
        <v>12577</v>
      </c>
      <c r="AQ14" s="1">
        <v>0.2</v>
      </c>
      <c r="AR14" s="1">
        <v>1748</v>
      </c>
      <c r="AS14" s="1">
        <v>1839</v>
      </c>
      <c r="AT14" s="1">
        <v>193</v>
      </c>
      <c r="AU14" s="1">
        <v>377808</v>
      </c>
      <c r="AV14" s="1">
        <v>4.7</v>
      </c>
    </row>
    <row r="15" spans="1:48">
      <c r="A15" s="1" t="s">
        <v>221</v>
      </c>
      <c r="B15" s="1" t="s">
        <v>222</v>
      </c>
      <c r="C15" s="1">
        <v>0.99146199999999995</v>
      </c>
      <c r="D15" s="1">
        <v>1369</v>
      </c>
      <c r="E15" s="1">
        <v>13243</v>
      </c>
      <c r="F15" s="1">
        <v>342</v>
      </c>
      <c r="G15" s="1">
        <v>4821084</v>
      </c>
      <c r="H15" s="1">
        <v>72.900000000000006</v>
      </c>
      <c r="I15" s="1">
        <v>1588</v>
      </c>
      <c r="J15" s="1">
        <v>13841</v>
      </c>
      <c r="K15" s="1">
        <v>104</v>
      </c>
      <c r="L15" s="1">
        <v>1532262</v>
      </c>
      <c r="M15" s="1">
        <v>23.2</v>
      </c>
      <c r="N15" s="1">
        <v>1031</v>
      </c>
      <c r="O15" s="1">
        <v>411</v>
      </c>
      <c r="P15" s="1">
        <v>65</v>
      </c>
      <c r="Q15" s="1">
        <v>28437</v>
      </c>
      <c r="R15" s="1">
        <v>0.4</v>
      </c>
      <c r="S15" s="1">
        <v>1154</v>
      </c>
      <c r="T15" s="1">
        <v>1</v>
      </c>
      <c r="U15" s="1">
        <v>1</v>
      </c>
      <c r="V15" s="1">
        <v>1</v>
      </c>
      <c r="W15" s="1">
        <v>0</v>
      </c>
      <c r="X15" s="1">
        <v>1256</v>
      </c>
      <c r="Y15" s="1">
        <v>1</v>
      </c>
      <c r="Z15" s="1">
        <v>1</v>
      </c>
      <c r="AA15" s="1">
        <v>1</v>
      </c>
      <c r="AB15" s="1">
        <v>0</v>
      </c>
      <c r="AC15" s="1">
        <v>1402</v>
      </c>
      <c r="AD15" s="1">
        <v>31</v>
      </c>
      <c r="AE15" s="1">
        <v>143</v>
      </c>
      <c r="AF15" s="1">
        <v>4719</v>
      </c>
      <c r="AG15" s="1">
        <v>0.1</v>
      </c>
      <c r="AH15" s="1">
        <v>1506</v>
      </c>
      <c r="AI15" s="1">
        <v>631</v>
      </c>
      <c r="AJ15" s="1">
        <v>29</v>
      </c>
      <c r="AK15" s="1">
        <v>19479</v>
      </c>
      <c r="AL15" s="1">
        <v>0.3</v>
      </c>
      <c r="AM15" s="1">
        <v>1596</v>
      </c>
      <c r="AN15" s="1">
        <v>421</v>
      </c>
      <c r="AO15" s="1">
        <v>19</v>
      </c>
      <c r="AP15" s="1">
        <v>8515</v>
      </c>
      <c r="AQ15" s="1">
        <v>0.1</v>
      </c>
      <c r="AR15" s="1">
        <v>1724</v>
      </c>
      <c r="AS15" s="1">
        <v>1551</v>
      </c>
      <c r="AT15" s="1">
        <v>121</v>
      </c>
      <c r="AU15" s="1">
        <v>199770</v>
      </c>
      <c r="AV15" s="1">
        <v>3</v>
      </c>
    </row>
    <row r="16" spans="1:48">
      <c r="A16" s="1" t="s">
        <v>223</v>
      </c>
      <c r="B16" s="1" t="s">
        <v>224</v>
      </c>
      <c r="C16" s="1">
        <v>0.99169600000000002</v>
      </c>
      <c r="D16" s="1">
        <v>1369</v>
      </c>
      <c r="E16" s="1">
        <v>15083</v>
      </c>
      <c r="F16" s="1">
        <v>340</v>
      </c>
      <c r="G16" s="1">
        <v>5458821</v>
      </c>
      <c r="H16" s="1">
        <v>71.900000000000006</v>
      </c>
      <c r="I16" s="1">
        <v>1588</v>
      </c>
      <c r="J16" s="1">
        <v>16395</v>
      </c>
      <c r="K16" s="1">
        <v>104</v>
      </c>
      <c r="L16" s="1">
        <v>1815001</v>
      </c>
      <c r="M16" s="1">
        <v>23.9</v>
      </c>
      <c r="N16" s="1">
        <v>1053</v>
      </c>
      <c r="O16" s="1">
        <v>379</v>
      </c>
      <c r="P16" s="1">
        <v>61</v>
      </c>
      <c r="Q16" s="1">
        <v>24609</v>
      </c>
      <c r="R16" s="1">
        <v>0.3</v>
      </c>
      <c r="S16" s="1">
        <v>1154</v>
      </c>
      <c r="T16" s="1">
        <v>1</v>
      </c>
      <c r="U16" s="1">
        <v>1</v>
      </c>
      <c r="V16" s="1">
        <v>1</v>
      </c>
      <c r="W16" s="1">
        <v>0</v>
      </c>
      <c r="X16" s="1">
        <v>1256</v>
      </c>
      <c r="Y16" s="1">
        <v>1</v>
      </c>
      <c r="Z16" s="1">
        <v>1</v>
      </c>
      <c r="AA16" s="1">
        <v>1</v>
      </c>
      <c r="AB16" s="1">
        <v>0</v>
      </c>
      <c r="AC16" s="1">
        <v>1440</v>
      </c>
      <c r="AD16" s="1">
        <v>229</v>
      </c>
      <c r="AE16" s="1">
        <v>133</v>
      </c>
      <c r="AF16" s="1">
        <v>32420</v>
      </c>
      <c r="AG16" s="1">
        <v>0.4</v>
      </c>
      <c r="AH16" s="1">
        <v>1496</v>
      </c>
      <c r="AI16" s="1">
        <v>687</v>
      </c>
      <c r="AJ16" s="1">
        <v>39</v>
      </c>
      <c r="AK16" s="1">
        <v>28520</v>
      </c>
      <c r="AL16" s="1">
        <v>0.4</v>
      </c>
      <c r="AM16" s="1">
        <v>1598</v>
      </c>
      <c r="AN16" s="1">
        <v>585</v>
      </c>
      <c r="AO16" s="1">
        <v>23</v>
      </c>
      <c r="AP16" s="1">
        <v>14322</v>
      </c>
      <c r="AQ16" s="1">
        <v>0.2</v>
      </c>
      <c r="AR16" s="1">
        <v>1726</v>
      </c>
      <c r="AS16" s="1">
        <v>1623</v>
      </c>
      <c r="AT16" s="1">
        <v>129</v>
      </c>
      <c r="AU16" s="1">
        <v>222864</v>
      </c>
      <c r="AV16" s="1">
        <v>2.9</v>
      </c>
    </row>
    <row r="17" spans="1:48">
      <c r="A17" s="1" t="s">
        <v>225</v>
      </c>
      <c r="B17" s="1" t="s">
        <v>226</v>
      </c>
      <c r="C17" s="1">
        <v>0.988398</v>
      </c>
      <c r="D17" s="1">
        <v>1369</v>
      </c>
      <c r="E17" s="1">
        <v>14279</v>
      </c>
      <c r="F17" s="1">
        <v>330</v>
      </c>
      <c r="G17" s="1">
        <v>5015843</v>
      </c>
      <c r="H17" s="1">
        <v>71.7</v>
      </c>
      <c r="I17" s="1">
        <v>1588</v>
      </c>
      <c r="J17" s="1">
        <v>14573</v>
      </c>
      <c r="K17" s="1">
        <v>106</v>
      </c>
      <c r="L17" s="1">
        <v>1644323</v>
      </c>
      <c r="M17" s="1">
        <v>23.5</v>
      </c>
      <c r="N17" s="1">
        <v>1025</v>
      </c>
      <c r="O17" s="1">
        <v>483</v>
      </c>
      <c r="P17" s="1">
        <v>65</v>
      </c>
      <c r="Q17" s="1">
        <v>33419</v>
      </c>
      <c r="R17" s="1">
        <v>0.5</v>
      </c>
      <c r="S17" s="1">
        <v>1154</v>
      </c>
      <c r="T17" s="1">
        <v>1</v>
      </c>
      <c r="U17" s="1">
        <v>1</v>
      </c>
      <c r="V17" s="1">
        <v>1</v>
      </c>
      <c r="W17" s="1">
        <v>0</v>
      </c>
      <c r="X17" s="1">
        <v>1256</v>
      </c>
      <c r="Y17" s="1">
        <v>1</v>
      </c>
      <c r="Z17" s="1">
        <v>1</v>
      </c>
      <c r="AA17" s="1">
        <v>1</v>
      </c>
      <c r="AB17" s="1">
        <v>0</v>
      </c>
      <c r="AC17" s="1">
        <v>1440</v>
      </c>
      <c r="AD17" s="1">
        <v>99</v>
      </c>
      <c r="AE17" s="1">
        <v>129</v>
      </c>
      <c r="AF17" s="1">
        <v>13594</v>
      </c>
      <c r="AG17" s="1">
        <v>0.2</v>
      </c>
      <c r="AH17" s="1">
        <v>1494</v>
      </c>
      <c r="AI17" s="1">
        <v>1029</v>
      </c>
      <c r="AJ17" s="1">
        <v>55</v>
      </c>
      <c r="AK17" s="1">
        <v>60244</v>
      </c>
      <c r="AL17" s="1">
        <v>0.9</v>
      </c>
      <c r="AM17" s="1">
        <v>1586</v>
      </c>
      <c r="AN17" s="1">
        <v>363</v>
      </c>
      <c r="AO17" s="1">
        <v>5</v>
      </c>
      <c r="AP17" s="1">
        <v>1932</v>
      </c>
      <c r="AQ17" s="1">
        <v>0</v>
      </c>
      <c r="AR17" s="1">
        <v>1724</v>
      </c>
      <c r="AS17" s="1">
        <v>1971</v>
      </c>
      <c r="AT17" s="1">
        <v>109</v>
      </c>
      <c r="AU17" s="1">
        <v>228689</v>
      </c>
      <c r="AV17" s="1">
        <v>3.3</v>
      </c>
    </row>
    <row r="18" spans="1:48">
      <c r="A18" s="1" t="s">
        <v>227</v>
      </c>
      <c r="B18" s="1" t="s">
        <v>228</v>
      </c>
      <c r="C18" s="1">
        <v>0.98967899999999998</v>
      </c>
      <c r="D18" s="1">
        <v>1369</v>
      </c>
      <c r="E18" s="1">
        <v>12167</v>
      </c>
      <c r="F18" s="1">
        <v>336</v>
      </c>
      <c r="G18" s="1">
        <v>4351660</v>
      </c>
      <c r="H18" s="1">
        <v>72.900000000000006</v>
      </c>
      <c r="I18" s="1">
        <v>1590</v>
      </c>
      <c r="J18" s="1">
        <v>12389</v>
      </c>
      <c r="K18" s="1">
        <v>104</v>
      </c>
      <c r="L18" s="1">
        <v>1371519</v>
      </c>
      <c r="M18" s="1">
        <v>23</v>
      </c>
      <c r="N18" s="1">
        <v>1047</v>
      </c>
      <c r="O18" s="1">
        <v>279</v>
      </c>
      <c r="P18" s="1">
        <v>55</v>
      </c>
      <c r="Q18" s="1">
        <v>16334</v>
      </c>
      <c r="R18" s="1">
        <v>0.3</v>
      </c>
      <c r="S18" s="1">
        <v>1154</v>
      </c>
      <c r="T18" s="1">
        <v>1</v>
      </c>
      <c r="U18" s="1">
        <v>1</v>
      </c>
      <c r="V18" s="1">
        <v>1</v>
      </c>
      <c r="W18" s="1">
        <v>0</v>
      </c>
      <c r="X18" s="1">
        <v>1256</v>
      </c>
      <c r="Y18" s="1">
        <v>1</v>
      </c>
      <c r="Z18" s="1">
        <v>1</v>
      </c>
      <c r="AA18" s="1">
        <v>1</v>
      </c>
      <c r="AB18" s="1">
        <v>0</v>
      </c>
      <c r="AC18" s="1">
        <v>1456</v>
      </c>
      <c r="AD18" s="1">
        <v>239</v>
      </c>
      <c r="AE18" s="1">
        <v>135</v>
      </c>
      <c r="AF18" s="1">
        <v>34345</v>
      </c>
      <c r="AG18" s="1">
        <v>0.6</v>
      </c>
      <c r="AH18" s="1">
        <v>1502</v>
      </c>
      <c r="AI18" s="1">
        <v>867</v>
      </c>
      <c r="AJ18" s="1">
        <v>39</v>
      </c>
      <c r="AK18" s="1">
        <v>35993</v>
      </c>
      <c r="AL18" s="1">
        <v>0.6</v>
      </c>
      <c r="AM18" s="1">
        <v>1596</v>
      </c>
      <c r="AN18" s="1">
        <v>1149</v>
      </c>
      <c r="AO18" s="1">
        <v>1</v>
      </c>
      <c r="AP18" s="1">
        <v>1223</v>
      </c>
      <c r="AQ18" s="1">
        <v>0</v>
      </c>
      <c r="AR18" s="1">
        <v>1724</v>
      </c>
      <c r="AS18" s="1">
        <v>1247</v>
      </c>
      <c r="AT18" s="1">
        <v>121</v>
      </c>
      <c r="AU18" s="1">
        <v>160614</v>
      </c>
      <c r="AV18" s="1">
        <v>2.7</v>
      </c>
    </row>
    <row r="19" spans="1:48">
      <c r="A19" s="1" t="s">
        <v>229</v>
      </c>
      <c r="B19" s="1" t="s">
        <v>230</v>
      </c>
      <c r="C19" s="1">
        <v>0.98634599999999995</v>
      </c>
      <c r="D19" s="1">
        <v>1367</v>
      </c>
      <c r="E19" s="1">
        <v>45941</v>
      </c>
      <c r="F19" s="1">
        <v>346</v>
      </c>
      <c r="G19" s="1">
        <v>16920327</v>
      </c>
      <c r="H19" s="1">
        <v>70.2</v>
      </c>
      <c r="I19" s="1">
        <v>1588</v>
      </c>
      <c r="J19" s="1">
        <v>54609</v>
      </c>
      <c r="K19" s="1">
        <v>104</v>
      </c>
      <c r="L19" s="1">
        <v>6045466</v>
      </c>
      <c r="M19" s="1">
        <v>25.1</v>
      </c>
      <c r="N19" s="1">
        <v>1047</v>
      </c>
      <c r="O19" s="1">
        <v>1109</v>
      </c>
      <c r="P19" s="1">
        <v>53</v>
      </c>
      <c r="Q19" s="1">
        <v>62566</v>
      </c>
      <c r="R19" s="1">
        <v>0.3</v>
      </c>
      <c r="S19" s="1">
        <v>1154</v>
      </c>
      <c r="T19" s="1">
        <v>1</v>
      </c>
      <c r="U19" s="1">
        <v>1</v>
      </c>
      <c r="V19" s="1">
        <v>1</v>
      </c>
      <c r="W19" s="1">
        <v>0</v>
      </c>
      <c r="X19" s="1">
        <v>1256</v>
      </c>
      <c r="Y19" s="1">
        <v>1</v>
      </c>
      <c r="Z19" s="1">
        <v>1</v>
      </c>
      <c r="AA19" s="1">
        <v>1</v>
      </c>
      <c r="AB19" s="1">
        <v>0</v>
      </c>
      <c r="AC19" s="1">
        <v>1440</v>
      </c>
      <c r="AD19" s="1">
        <v>431</v>
      </c>
      <c r="AE19" s="1">
        <v>123</v>
      </c>
      <c r="AF19" s="1">
        <v>56431</v>
      </c>
      <c r="AG19" s="1">
        <v>0.2</v>
      </c>
      <c r="AH19" s="1">
        <v>1500</v>
      </c>
      <c r="AI19" s="1">
        <v>3959</v>
      </c>
      <c r="AJ19" s="1">
        <v>57</v>
      </c>
      <c r="AK19" s="1">
        <v>240211</v>
      </c>
      <c r="AL19" s="1">
        <v>1</v>
      </c>
      <c r="AM19" s="1">
        <v>1582</v>
      </c>
      <c r="AN19" s="1">
        <v>261</v>
      </c>
      <c r="AO19" s="1">
        <v>27</v>
      </c>
      <c r="AP19" s="1">
        <v>7501</v>
      </c>
      <c r="AQ19" s="1">
        <v>0</v>
      </c>
      <c r="AR19" s="1">
        <v>1728</v>
      </c>
      <c r="AS19" s="1">
        <v>6597</v>
      </c>
      <c r="AT19" s="1">
        <v>111</v>
      </c>
      <c r="AU19" s="1">
        <v>779474</v>
      </c>
      <c r="AV19" s="1">
        <v>3.2</v>
      </c>
    </row>
    <row r="20" spans="1:48">
      <c r="A20" s="1" t="s">
        <v>231</v>
      </c>
      <c r="B20" s="1" t="s">
        <v>232</v>
      </c>
      <c r="C20" s="1">
        <v>0.99096099999999998</v>
      </c>
      <c r="D20" s="1">
        <v>1369</v>
      </c>
      <c r="E20" s="1">
        <v>7325</v>
      </c>
      <c r="F20" s="1">
        <v>330</v>
      </c>
      <c r="G20" s="1">
        <v>2573083</v>
      </c>
      <c r="H20" s="1">
        <v>75.099999999999994</v>
      </c>
      <c r="I20" s="1">
        <v>1590</v>
      </c>
      <c r="J20" s="1">
        <v>7055</v>
      </c>
      <c r="K20" s="1">
        <v>100</v>
      </c>
      <c r="L20" s="1">
        <v>750981</v>
      </c>
      <c r="M20" s="1">
        <v>21.9</v>
      </c>
      <c r="N20" s="1">
        <v>1033</v>
      </c>
      <c r="O20" s="1">
        <v>239</v>
      </c>
      <c r="P20" s="1">
        <v>79</v>
      </c>
      <c r="Q20" s="1">
        <v>20098</v>
      </c>
      <c r="R20" s="1">
        <v>0.6</v>
      </c>
      <c r="S20" s="1">
        <v>1158</v>
      </c>
      <c r="T20" s="1">
        <v>1</v>
      </c>
      <c r="U20" s="1">
        <v>1</v>
      </c>
      <c r="V20" s="1">
        <v>1</v>
      </c>
      <c r="W20" s="1">
        <v>0</v>
      </c>
      <c r="X20" s="1">
        <v>1296</v>
      </c>
      <c r="Y20" s="1">
        <v>57</v>
      </c>
      <c r="Z20" s="1">
        <v>7</v>
      </c>
      <c r="AA20" s="1">
        <v>425</v>
      </c>
      <c r="AB20" s="1">
        <v>0</v>
      </c>
      <c r="AC20" s="1">
        <v>1400</v>
      </c>
      <c r="AD20" s="1">
        <v>1</v>
      </c>
      <c r="AE20" s="1">
        <v>1</v>
      </c>
      <c r="AF20" s="1">
        <v>1</v>
      </c>
      <c r="AG20" s="1">
        <v>0</v>
      </c>
      <c r="AH20" s="1">
        <v>1494</v>
      </c>
      <c r="AI20" s="1">
        <v>85</v>
      </c>
      <c r="AJ20" s="1">
        <v>11</v>
      </c>
      <c r="AK20" s="1">
        <v>995</v>
      </c>
      <c r="AL20" s="1">
        <v>0</v>
      </c>
      <c r="AM20" s="1">
        <v>1598</v>
      </c>
      <c r="AN20" s="1">
        <v>1181</v>
      </c>
      <c r="AO20" s="1">
        <v>29</v>
      </c>
      <c r="AP20" s="1">
        <v>36457</v>
      </c>
      <c r="AQ20" s="1">
        <v>1.1000000000000001</v>
      </c>
      <c r="AR20" s="1">
        <v>1724</v>
      </c>
      <c r="AS20" s="1">
        <v>445</v>
      </c>
      <c r="AT20" s="1">
        <v>95</v>
      </c>
      <c r="AU20" s="1">
        <v>45000</v>
      </c>
      <c r="AV20" s="1">
        <v>1.3</v>
      </c>
    </row>
    <row r="21" spans="1:48">
      <c r="A21" s="1" t="s">
        <v>233</v>
      </c>
      <c r="B21" s="1" t="s">
        <v>234</v>
      </c>
      <c r="C21" s="1">
        <v>0.99106499999999997</v>
      </c>
      <c r="D21" s="1">
        <v>1369</v>
      </c>
      <c r="E21" s="1">
        <v>12343</v>
      </c>
      <c r="F21" s="1">
        <v>318</v>
      </c>
      <c r="G21" s="1">
        <v>4178112</v>
      </c>
      <c r="H21" s="1">
        <v>71.5</v>
      </c>
      <c r="I21" s="1">
        <v>1594</v>
      </c>
      <c r="J21" s="1">
        <v>12901</v>
      </c>
      <c r="K21" s="1">
        <v>100</v>
      </c>
      <c r="L21" s="1">
        <v>1373269</v>
      </c>
      <c r="M21" s="1">
        <v>23.5</v>
      </c>
      <c r="N21" s="1">
        <v>1057</v>
      </c>
      <c r="O21" s="1">
        <v>521</v>
      </c>
      <c r="P21" s="1">
        <v>107</v>
      </c>
      <c r="Q21" s="1">
        <v>59341</v>
      </c>
      <c r="R21" s="1">
        <v>1</v>
      </c>
      <c r="S21" s="1">
        <v>1156</v>
      </c>
      <c r="T21" s="1">
        <v>11</v>
      </c>
      <c r="U21" s="1">
        <v>31</v>
      </c>
      <c r="V21" s="1">
        <v>363</v>
      </c>
      <c r="W21" s="1">
        <v>0</v>
      </c>
      <c r="X21" s="1">
        <v>1296</v>
      </c>
      <c r="Y21" s="1">
        <v>287</v>
      </c>
      <c r="Z21" s="1">
        <v>7</v>
      </c>
      <c r="AA21" s="1">
        <v>2139</v>
      </c>
      <c r="AB21" s="1">
        <v>0</v>
      </c>
      <c r="AC21" s="1">
        <v>1400</v>
      </c>
      <c r="AD21" s="1">
        <v>1</v>
      </c>
      <c r="AE21" s="1">
        <v>1</v>
      </c>
      <c r="AF21" s="1">
        <v>1</v>
      </c>
      <c r="AG21" s="1">
        <v>0</v>
      </c>
      <c r="AH21" s="1">
        <v>1500</v>
      </c>
      <c r="AI21" s="1">
        <v>207</v>
      </c>
      <c r="AJ21" s="1">
        <v>9</v>
      </c>
      <c r="AK21" s="1">
        <v>1983</v>
      </c>
      <c r="AL21" s="1">
        <v>0</v>
      </c>
      <c r="AM21" s="1">
        <v>1594</v>
      </c>
      <c r="AN21" s="1">
        <v>2191</v>
      </c>
      <c r="AO21" s="1">
        <v>27</v>
      </c>
      <c r="AP21" s="1">
        <v>62971</v>
      </c>
      <c r="AQ21" s="1">
        <v>1.1000000000000001</v>
      </c>
      <c r="AR21" s="1">
        <v>1748</v>
      </c>
      <c r="AS21" s="1">
        <v>803</v>
      </c>
      <c r="AT21" s="1">
        <v>193</v>
      </c>
      <c r="AU21" s="1">
        <v>164970</v>
      </c>
      <c r="AV21" s="1">
        <v>2.8</v>
      </c>
    </row>
    <row r="22" spans="1:48">
      <c r="A22" s="1" t="s">
        <v>235</v>
      </c>
      <c r="B22" s="1" t="s">
        <v>236</v>
      </c>
      <c r="C22" s="1">
        <v>0.98599999999999999</v>
      </c>
      <c r="D22" s="1">
        <v>1369</v>
      </c>
      <c r="E22" s="1">
        <v>16777</v>
      </c>
      <c r="F22" s="1">
        <v>342</v>
      </c>
      <c r="G22" s="1">
        <v>6107629</v>
      </c>
      <c r="H22" s="1">
        <v>71.900000000000006</v>
      </c>
      <c r="I22" s="1">
        <v>1594</v>
      </c>
      <c r="J22" s="1">
        <v>17889</v>
      </c>
      <c r="K22" s="1">
        <v>100</v>
      </c>
      <c r="L22" s="1">
        <v>1904225</v>
      </c>
      <c r="M22" s="1">
        <v>22.4</v>
      </c>
      <c r="N22" s="1">
        <v>1069</v>
      </c>
      <c r="O22" s="1">
        <v>957</v>
      </c>
      <c r="P22" s="1">
        <v>89</v>
      </c>
      <c r="Q22" s="1">
        <v>90664</v>
      </c>
      <c r="R22" s="1">
        <v>1.1000000000000001</v>
      </c>
      <c r="S22" s="1">
        <v>1154</v>
      </c>
      <c r="T22" s="1">
        <v>1</v>
      </c>
      <c r="U22" s="1">
        <v>1</v>
      </c>
      <c r="V22" s="1">
        <v>1</v>
      </c>
      <c r="W22" s="1">
        <v>0</v>
      </c>
      <c r="X22" s="1">
        <v>1296</v>
      </c>
      <c r="Y22" s="1">
        <v>55</v>
      </c>
      <c r="Z22" s="1">
        <v>3</v>
      </c>
      <c r="AA22" s="1">
        <v>176</v>
      </c>
      <c r="AB22" s="1">
        <v>0</v>
      </c>
      <c r="AC22" s="1">
        <v>1402</v>
      </c>
      <c r="AD22" s="1">
        <v>495</v>
      </c>
      <c r="AE22" s="1">
        <v>5</v>
      </c>
      <c r="AF22" s="1">
        <v>2635</v>
      </c>
      <c r="AG22" s="1">
        <v>0</v>
      </c>
      <c r="AH22" s="1">
        <v>1500</v>
      </c>
      <c r="AI22" s="1">
        <v>493</v>
      </c>
      <c r="AJ22" s="1">
        <v>3</v>
      </c>
      <c r="AK22" s="1">
        <v>1574</v>
      </c>
      <c r="AL22" s="1">
        <v>0</v>
      </c>
      <c r="AM22" s="1">
        <v>1598</v>
      </c>
      <c r="AN22" s="1">
        <v>2449</v>
      </c>
      <c r="AO22" s="1">
        <v>31</v>
      </c>
      <c r="AP22" s="1">
        <v>80813</v>
      </c>
      <c r="AQ22" s="1">
        <v>1</v>
      </c>
      <c r="AR22" s="1">
        <v>1748</v>
      </c>
      <c r="AS22" s="1">
        <v>1565</v>
      </c>
      <c r="AT22" s="1">
        <v>181</v>
      </c>
      <c r="AU22" s="1">
        <v>301526</v>
      </c>
      <c r="AV22" s="1">
        <v>3.6</v>
      </c>
    </row>
    <row r="23" spans="1:48">
      <c r="A23" s="1" t="s">
        <v>237</v>
      </c>
      <c r="B23" s="1" t="s">
        <v>238</v>
      </c>
      <c r="C23" s="1">
        <v>0.97723800000000005</v>
      </c>
      <c r="D23" s="1">
        <v>1365</v>
      </c>
      <c r="E23" s="1">
        <v>31145</v>
      </c>
      <c r="F23" s="1">
        <v>298</v>
      </c>
      <c r="G23" s="1">
        <v>9879542</v>
      </c>
      <c r="H23" s="1">
        <v>68</v>
      </c>
      <c r="I23" s="1">
        <v>1592</v>
      </c>
      <c r="J23" s="1">
        <v>35519</v>
      </c>
      <c r="K23" s="1">
        <v>100</v>
      </c>
      <c r="L23" s="1">
        <v>3780880</v>
      </c>
      <c r="M23" s="1">
        <v>26</v>
      </c>
      <c r="N23" s="1">
        <v>1029</v>
      </c>
      <c r="O23" s="1">
        <v>1283</v>
      </c>
      <c r="P23" s="1">
        <v>51</v>
      </c>
      <c r="Q23" s="1">
        <v>69651</v>
      </c>
      <c r="R23" s="1">
        <v>0.5</v>
      </c>
      <c r="S23" s="1">
        <v>1152</v>
      </c>
      <c r="T23" s="1">
        <v>309</v>
      </c>
      <c r="U23" s="1">
        <v>31</v>
      </c>
      <c r="V23" s="1">
        <v>10197</v>
      </c>
      <c r="W23" s="1">
        <v>0.1</v>
      </c>
      <c r="X23" s="1">
        <v>1256</v>
      </c>
      <c r="Y23" s="1">
        <v>1</v>
      </c>
      <c r="Z23" s="1">
        <v>1</v>
      </c>
      <c r="AA23" s="1">
        <v>1</v>
      </c>
      <c r="AB23" s="1">
        <v>0</v>
      </c>
      <c r="AC23" s="1">
        <v>1402</v>
      </c>
      <c r="AD23" s="1">
        <v>305</v>
      </c>
      <c r="AE23" s="1">
        <v>1</v>
      </c>
      <c r="AF23" s="1">
        <v>325</v>
      </c>
      <c r="AG23" s="1">
        <v>0</v>
      </c>
      <c r="AH23" s="1">
        <v>1506</v>
      </c>
      <c r="AI23" s="1">
        <v>1973</v>
      </c>
      <c r="AJ23" s="1">
        <v>31</v>
      </c>
      <c r="AK23" s="1">
        <v>65106</v>
      </c>
      <c r="AL23" s="1">
        <v>0.4</v>
      </c>
      <c r="AM23" s="1">
        <v>1594</v>
      </c>
      <c r="AN23" s="1">
        <v>3891</v>
      </c>
      <c r="AO23" s="1">
        <v>27</v>
      </c>
      <c r="AP23" s="1">
        <v>111830</v>
      </c>
      <c r="AQ23" s="1">
        <v>0.8</v>
      </c>
      <c r="AR23" s="1">
        <v>1724</v>
      </c>
      <c r="AS23" s="1">
        <v>4357</v>
      </c>
      <c r="AT23" s="1">
        <v>133</v>
      </c>
      <c r="AU23" s="1">
        <v>616838</v>
      </c>
      <c r="AV23" s="1">
        <v>4.2</v>
      </c>
    </row>
    <row r="24" spans="1:48">
      <c r="A24" s="1" t="s">
        <v>239</v>
      </c>
      <c r="B24" s="1" t="s">
        <v>240</v>
      </c>
      <c r="C24" s="1">
        <v>0.97536800000000001</v>
      </c>
      <c r="D24" s="1">
        <v>1363</v>
      </c>
      <c r="E24" s="1">
        <v>38729</v>
      </c>
      <c r="F24" s="1">
        <v>288</v>
      </c>
      <c r="G24" s="1">
        <v>11873014</v>
      </c>
      <c r="H24" s="1">
        <v>67.900000000000006</v>
      </c>
      <c r="I24" s="1">
        <v>1592</v>
      </c>
      <c r="J24" s="1">
        <v>43483</v>
      </c>
      <c r="K24" s="1">
        <v>100</v>
      </c>
      <c r="L24" s="1">
        <v>4628622</v>
      </c>
      <c r="M24" s="1">
        <v>26.5</v>
      </c>
      <c r="N24" s="1">
        <v>1039</v>
      </c>
      <c r="O24" s="1">
        <v>805</v>
      </c>
      <c r="P24" s="1">
        <v>43</v>
      </c>
      <c r="Q24" s="1">
        <v>36847</v>
      </c>
      <c r="R24" s="1">
        <v>0.2</v>
      </c>
      <c r="S24" s="1">
        <v>1152</v>
      </c>
      <c r="T24" s="1">
        <v>593</v>
      </c>
      <c r="U24" s="1">
        <v>9</v>
      </c>
      <c r="V24" s="1">
        <v>5681</v>
      </c>
      <c r="W24" s="1">
        <v>0</v>
      </c>
      <c r="X24" s="1">
        <v>1256</v>
      </c>
      <c r="Y24" s="1">
        <v>1</v>
      </c>
      <c r="Z24" s="1">
        <v>1</v>
      </c>
      <c r="AA24" s="1">
        <v>1</v>
      </c>
      <c r="AB24" s="1">
        <v>0</v>
      </c>
      <c r="AC24" s="1">
        <v>1416</v>
      </c>
      <c r="AD24" s="1">
        <v>1</v>
      </c>
      <c r="AE24" s="1">
        <v>1</v>
      </c>
      <c r="AF24" s="1">
        <v>1</v>
      </c>
      <c r="AG24" s="1">
        <v>0</v>
      </c>
      <c r="AH24" s="1">
        <v>1506</v>
      </c>
      <c r="AI24" s="1">
        <v>1967</v>
      </c>
      <c r="AJ24" s="1">
        <v>37</v>
      </c>
      <c r="AK24" s="1">
        <v>77471</v>
      </c>
      <c r="AL24" s="1">
        <v>0.4</v>
      </c>
      <c r="AM24" s="1">
        <v>1598</v>
      </c>
      <c r="AN24" s="1">
        <v>8705</v>
      </c>
      <c r="AO24" s="1">
        <v>27</v>
      </c>
      <c r="AP24" s="1">
        <v>250187</v>
      </c>
      <c r="AQ24" s="1">
        <v>1.4</v>
      </c>
      <c r="AR24" s="1">
        <v>1730</v>
      </c>
      <c r="AS24" s="1">
        <v>4801</v>
      </c>
      <c r="AT24" s="1">
        <v>119</v>
      </c>
      <c r="AU24" s="1">
        <v>608150</v>
      </c>
      <c r="AV24" s="1">
        <v>3.5</v>
      </c>
    </row>
    <row r="25" spans="1:48">
      <c r="A25" s="1" t="s">
        <v>241</v>
      </c>
      <c r="B25" s="1" t="s">
        <v>242</v>
      </c>
      <c r="C25" s="1">
        <v>0.97990699999999997</v>
      </c>
      <c r="D25" s="1">
        <v>1369</v>
      </c>
      <c r="E25" s="1">
        <v>59311</v>
      </c>
      <c r="F25" s="1">
        <v>298</v>
      </c>
      <c r="G25" s="1">
        <v>18814112</v>
      </c>
      <c r="H25" s="1">
        <v>71</v>
      </c>
      <c r="I25" s="1">
        <v>1592</v>
      </c>
      <c r="J25" s="1">
        <v>63175</v>
      </c>
      <c r="K25" s="1">
        <v>100</v>
      </c>
      <c r="L25" s="1">
        <v>6724771</v>
      </c>
      <c r="M25" s="1">
        <v>25.4</v>
      </c>
      <c r="N25" s="1">
        <v>1073</v>
      </c>
      <c r="O25" s="1">
        <v>1785</v>
      </c>
      <c r="P25" s="1">
        <v>103</v>
      </c>
      <c r="Q25" s="1">
        <v>195708</v>
      </c>
      <c r="R25" s="1">
        <v>0.7</v>
      </c>
      <c r="S25" s="1">
        <v>1170</v>
      </c>
      <c r="T25" s="1">
        <v>1497</v>
      </c>
      <c r="U25" s="1">
        <v>9</v>
      </c>
      <c r="V25" s="1">
        <v>14342</v>
      </c>
      <c r="W25" s="1">
        <v>0.1</v>
      </c>
      <c r="X25" s="1">
        <v>1256</v>
      </c>
      <c r="Y25" s="1">
        <v>1</v>
      </c>
      <c r="Z25" s="1">
        <v>1</v>
      </c>
      <c r="AA25" s="1">
        <v>1</v>
      </c>
      <c r="AB25" s="1">
        <v>0</v>
      </c>
      <c r="AC25" s="1">
        <v>1416</v>
      </c>
      <c r="AD25" s="1">
        <v>1</v>
      </c>
      <c r="AE25" s="1">
        <v>1</v>
      </c>
      <c r="AF25" s="1">
        <v>1</v>
      </c>
      <c r="AG25" s="1">
        <v>0</v>
      </c>
      <c r="AH25" s="1">
        <v>1500</v>
      </c>
      <c r="AI25" s="1">
        <v>219</v>
      </c>
      <c r="AJ25" s="1">
        <v>13</v>
      </c>
      <c r="AK25" s="1">
        <v>3031</v>
      </c>
      <c r="AL25" s="1">
        <v>0</v>
      </c>
      <c r="AM25" s="1">
        <v>1594</v>
      </c>
      <c r="AN25" s="1">
        <v>9999</v>
      </c>
      <c r="AO25" s="1">
        <v>33</v>
      </c>
      <c r="AP25" s="1">
        <v>351239</v>
      </c>
      <c r="AQ25" s="1">
        <v>1.3</v>
      </c>
      <c r="AR25" s="1">
        <v>1730</v>
      </c>
      <c r="AS25" s="1">
        <v>4589</v>
      </c>
      <c r="AT25" s="1">
        <v>81</v>
      </c>
      <c r="AU25" s="1">
        <v>395672</v>
      </c>
      <c r="AV25" s="1">
        <v>1.5</v>
      </c>
    </row>
    <row r="26" spans="1:48">
      <c r="A26" s="1" t="s">
        <v>243</v>
      </c>
      <c r="B26" s="1" t="s">
        <v>244</v>
      </c>
      <c r="C26" s="1">
        <v>0.98030200000000001</v>
      </c>
      <c r="D26" s="1">
        <v>1367</v>
      </c>
      <c r="E26" s="1">
        <v>60401</v>
      </c>
      <c r="F26" s="1">
        <v>300</v>
      </c>
      <c r="G26" s="1">
        <v>19288462</v>
      </c>
      <c r="H26" s="1">
        <v>70.5</v>
      </c>
      <c r="I26" s="1">
        <v>1592</v>
      </c>
      <c r="J26" s="1">
        <v>64137</v>
      </c>
      <c r="K26" s="1">
        <v>100</v>
      </c>
      <c r="L26" s="1">
        <v>6827172</v>
      </c>
      <c r="M26" s="1">
        <v>25</v>
      </c>
      <c r="N26" s="1">
        <v>1067</v>
      </c>
      <c r="O26" s="1">
        <v>2399</v>
      </c>
      <c r="P26" s="1">
        <v>103</v>
      </c>
      <c r="Q26" s="1">
        <v>263027</v>
      </c>
      <c r="R26" s="1">
        <v>1</v>
      </c>
      <c r="S26" s="1">
        <v>1152</v>
      </c>
      <c r="T26" s="1">
        <v>949</v>
      </c>
      <c r="U26" s="1">
        <v>19</v>
      </c>
      <c r="V26" s="1">
        <v>19193</v>
      </c>
      <c r="W26" s="1">
        <v>0.1</v>
      </c>
      <c r="X26" s="1">
        <v>1256</v>
      </c>
      <c r="Y26" s="1">
        <v>1</v>
      </c>
      <c r="Z26" s="1">
        <v>1</v>
      </c>
      <c r="AA26" s="1">
        <v>1</v>
      </c>
      <c r="AB26" s="1">
        <v>0</v>
      </c>
      <c r="AC26" s="1">
        <v>1416</v>
      </c>
      <c r="AD26" s="1">
        <v>1</v>
      </c>
      <c r="AE26" s="1">
        <v>1</v>
      </c>
      <c r="AF26" s="1">
        <v>1</v>
      </c>
      <c r="AG26" s="1">
        <v>0</v>
      </c>
      <c r="AH26" s="1">
        <v>1512</v>
      </c>
      <c r="AI26" s="1">
        <v>1141</v>
      </c>
      <c r="AJ26" s="1">
        <v>3</v>
      </c>
      <c r="AK26" s="1">
        <v>3644</v>
      </c>
      <c r="AL26" s="1">
        <v>0</v>
      </c>
      <c r="AM26" s="1">
        <v>1596</v>
      </c>
      <c r="AN26" s="1">
        <v>9999</v>
      </c>
      <c r="AO26" s="1">
        <v>31</v>
      </c>
      <c r="AP26" s="1">
        <v>329952</v>
      </c>
      <c r="AQ26" s="1">
        <v>1.2</v>
      </c>
      <c r="AR26" s="1">
        <v>1728</v>
      </c>
      <c r="AS26" s="1">
        <v>5899</v>
      </c>
      <c r="AT26" s="1">
        <v>97</v>
      </c>
      <c r="AU26" s="1">
        <v>609091</v>
      </c>
      <c r="AV26" s="1">
        <v>2.2000000000000002</v>
      </c>
    </row>
    <row r="27" spans="1:48">
      <c r="A27" s="1" t="s">
        <v>245</v>
      </c>
      <c r="B27" s="1" t="s">
        <v>246</v>
      </c>
      <c r="C27" s="1">
        <v>0.97328300000000001</v>
      </c>
      <c r="D27" s="1">
        <v>1363</v>
      </c>
      <c r="E27" s="1">
        <v>67049</v>
      </c>
      <c r="F27" s="1">
        <v>298</v>
      </c>
      <c r="G27" s="1">
        <v>21268692</v>
      </c>
      <c r="H27" s="1">
        <v>69.8</v>
      </c>
      <c r="I27" s="1">
        <v>1592</v>
      </c>
      <c r="J27" s="1">
        <v>70959</v>
      </c>
      <c r="K27" s="1">
        <v>100</v>
      </c>
      <c r="L27" s="1">
        <v>7553352</v>
      </c>
      <c r="M27" s="1">
        <v>24.8</v>
      </c>
      <c r="N27" s="1">
        <v>1033</v>
      </c>
      <c r="O27" s="1">
        <v>2059</v>
      </c>
      <c r="P27" s="1">
        <v>43</v>
      </c>
      <c r="Q27" s="1">
        <v>94245</v>
      </c>
      <c r="R27" s="1">
        <v>0.3</v>
      </c>
      <c r="S27" s="1">
        <v>1152</v>
      </c>
      <c r="T27" s="1">
        <v>957</v>
      </c>
      <c r="U27" s="1">
        <v>3</v>
      </c>
      <c r="V27" s="1">
        <v>3056</v>
      </c>
      <c r="W27" s="1">
        <v>0</v>
      </c>
      <c r="X27" s="1">
        <v>1256</v>
      </c>
      <c r="Y27" s="1">
        <v>1</v>
      </c>
      <c r="Z27" s="1">
        <v>1</v>
      </c>
      <c r="AA27" s="1">
        <v>1</v>
      </c>
      <c r="AB27" s="1">
        <v>0</v>
      </c>
      <c r="AC27" s="1">
        <v>1416</v>
      </c>
      <c r="AD27" s="1">
        <v>1</v>
      </c>
      <c r="AE27" s="1">
        <v>1</v>
      </c>
      <c r="AF27" s="1">
        <v>1</v>
      </c>
      <c r="AG27" s="1">
        <v>0</v>
      </c>
      <c r="AH27" s="1">
        <v>1506</v>
      </c>
      <c r="AI27" s="1">
        <v>1639</v>
      </c>
      <c r="AJ27" s="1">
        <v>43</v>
      </c>
      <c r="AK27" s="1">
        <v>75020</v>
      </c>
      <c r="AL27" s="1">
        <v>0.2</v>
      </c>
      <c r="AM27" s="1">
        <v>1594</v>
      </c>
      <c r="AN27" s="1">
        <v>9999</v>
      </c>
      <c r="AO27" s="1">
        <v>37</v>
      </c>
      <c r="AP27" s="1">
        <v>393813</v>
      </c>
      <c r="AQ27" s="1">
        <v>1.3</v>
      </c>
      <c r="AR27" s="1">
        <v>1730</v>
      </c>
      <c r="AS27" s="1">
        <v>8157</v>
      </c>
      <c r="AT27" s="1">
        <v>123</v>
      </c>
      <c r="AU27" s="1">
        <v>1067991</v>
      </c>
      <c r="AV27" s="1">
        <v>3.5</v>
      </c>
    </row>
    <row r="28" spans="1:48">
      <c r="A28" s="1" t="s">
        <v>247</v>
      </c>
      <c r="B28" s="1" t="s">
        <v>248</v>
      </c>
      <c r="C28" s="1">
        <v>0.97040700000000002</v>
      </c>
      <c r="D28" s="1">
        <v>1367</v>
      </c>
      <c r="E28" s="1">
        <v>5003</v>
      </c>
      <c r="F28" s="1">
        <v>254</v>
      </c>
      <c r="G28" s="1">
        <v>1352684</v>
      </c>
      <c r="H28" s="1">
        <v>58.1</v>
      </c>
      <c r="I28" s="1">
        <v>1594</v>
      </c>
      <c r="J28" s="1">
        <v>6337</v>
      </c>
      <c r="K28" s="1">
        <v>102</v>
      </c>
      <c r="L28" s="1">
        <v>688044</v>
      </c>
      <c r="M28" s="1">
        <v>29.5</v>
      </c>
      <c r="N28" s="1">
        <v>1033</v>
      </c>
      <c r="O28" s="1">
        <v>337</v>
      </c>
      <c r="P28" s="1">
        <v>45</v>
      </c>
      <c r="Q28" s="1">
        <v>16143</v>
      </c>
      <c r="R28" s="1">
        <v>0.7</v>
      </c>
      <c r="S28" s="1">
        <v>1152</v>
      </c>
      <c r="T28" s="1">
        <v>351</v>
      </c>
      <c r="U28" s="1">
        <v>53</v>
      </c>
      <c r="V28" s="1">
        <v>19802</v>
      </c>
      <c r="W28" s="1">
        <v>0.8</v>
      </c>
      <c r="X28" s="1">
        <v>1296</v>
      </c>
      <c r="Y28" s="1">
        <v>191</v>
      </c>
      <c r="Z28" s="1">
        <v>1</v>
      </c>
      <c r="AA28" s="1">
        <v>203</v>
      </c>
      <c r="AB28" s="1">
        <v>0</v>
      </c>
      <c r="AC28" s="1">
        <v>1456</v>
      </c>
      <c r="AD28" s="1">
        <v>303</v>
      </c>
      <c r="AE28" s="1">
        <v>93</v>
      </c>
      <c r="AF28" s="1">
        <v>29996</v>
      </c>
      <c r="AG28" s="1">
        <v>1.3</v>
      </c>
      <c r="AH28" s="1">
        <v>1500</v>
      </c>
      <c r="AI28" s="1">
        <v>861</v>
      </c>
      <c r="AJ28" s="1">
        <v>29</v>
      </c>
      <c r="AK28" s="1">
        <v>26579</v>
      </c>
      <c r="AL28" s="1">
        <v>1.1000000000000001</v>
      </c>
      <c r="AM28" s="1">
        <v>1594</v>
      </c>
      <c r="AN28" s="1">
        <v>277</v>
      </c>
      <c r="AO28" s="1">
        <v>23</v>
      </c>
      <c r="AP28" s="1">
        <v>6782</v>
      </c>
      <c r="AQ28" s="1">
        <v>0.3</v>
      </c>
      <c r="AR28" s="1">
        <v>1748</v>
      </c>
      <c r="AS28" s="1">
        <v>895</v>
      </c>
      <c r="AT28" s="1">
        <v>199</v>
      </c>
      <c r="AU28" s="1">
        <v>189587</v>
      </c>
      <c r="AV28" s="1">
        <v>8.1</v>
      </c>
    </row>
    <row r="29" spans="1:48">
      <c r="A29" s="1" t="s">
        <v>249</v>
      </c>
      <c r="B29" s="1" t="s">
        <v>250</v>
      </c>
      <c r="C29" s="1">
        <v>0.98160899999999995</v>
      </c>
      <c r="D29" s="1">
        <v>1367</v>
      </c>
      <c r="E29" s="1">
        <v>10165</v>
      </c>
      <c r="F29" s="1">
        <v>342</v>
      </c>
      <c r="G29" s="1">
        <v>3700545</v>
      </c>
      <c r="H29" s="1">
        <v>73.2</v>
      </c>
      <c r="I29" s="1">
        <v>1588</v>
      </c>
      <c r="J29" s="1">
        <v>9453</v>
      </c>
      <c r="K29" s="1">
        <v>104</v>
      </c>
      <c r="L29" s="1">
        <v>1046490</v>
      </c>
      <c r="M29" s="1">
        <v>20.7</v>
      </c>
      <c r="N29" s="1">
        <v>1009</v>
      </c>
      <c r="O29" s="1">
        <v>289</v>
      </c>
      <c r="P29" s="1">
        <v>57</v>
      </c>
      <c r="Q29" s="1">
        <v>17535</v>
      </c>
      <c r="R29" s="1">
        <v>0.3</v>
      </c>
      <c r="S29" s="1">
        <v>1154</v>
      </c>
      <c r="T29" s="1">
        <v>1</v>
      </c>
      <c r="U29" s="1">
        <v>1</v>
      </c>
      <c r="V29" s="1">
        <v>1</v>
      </c>
      <c r="W29" s="1">
        <v>0</v>
      </c>
      <c r="X29" s="1">
        <v>1256</v>
      </c>
      <c r="Y29" s="1">
        <v>1</v>
      </c>
      <c r="Z29" s="1">
        <v>1</v>
      </c>
      <c r="AA29" s="1">
        <v>1</v>
      </c>
      <c r="AB29" s="1">
        <v>0</v>
      </c>
      <c r="AC29" s="1">
        <v>1452</v>
      </c>
      <c r="AD29" s="1">
        <v>131</v>
      </c>
      <c r="AE29" s="1">
        <v>1</v>
      </c>
      <c r="AF29" s="1">
        <v>139</v>
      </c>
      <c r="AG29" s="1">
        <v>0</v>
      </c>
      <c r="AH29" s="1">
        <v>1506</v>
      </c>
      <c r="AI29" s="1">
        <v>491</v>
      </c>
      <c r="AJ29" s="1">
        <v>41</v>
      </c>
      <c r="AK29" s="1">
        <v>21429</v>
      </c>
      <c r="AL29" s="1">
        <v>0.4</v>
      </c>
      <c r="AM29" s="1">
        <v>1598</v>
      </c>
      <c r="AN29" s="1">
        <v>357</v>
      </c>
      <c r="AO29" s="1">
        <v>11</v>
      </c>
      <c r="AP29" s="1">
        <v>4180</v>
      </c>
      <c r="AQ29" s="1">
        <v>0.1</v>
      </c>
      <c r="AR29" s="1">
        <v>1742</v>
      </c>
      <c r="AS29" s="1">
        <v>1243</v>
      </c>
      <c r="AT29" s="1">
        <v>199</v>
      </c>
      <c r="AU29" s="1">
        <v>263303</v>
      </c>
      <c r="AV29" s="1">
        <v>5.2</v>
      </c>
    </row>
    <row r="30" spans="1:48">
      <c r="A30" s="1" t="s">
        <v>251</v>
      </c>
      <c r="B30" s="1" t="s">
        <v>252</v>
      </c>
      <c r="C30" s="1">
        <v>0.984213</v>
      </c>
      <c r="D30" s="1">
        <v>1369</v>
      </c>
      <c r="E30" s="1">
        <v>7973</v>
      </c>
      <c r="F30" s="1">
        <v>346</v>
      </c>
      <c r="G30" s="1">
        <v>2936501</v>
      </c>
      <c r="H30" s="1">
        <v>74.599999999999994</v>
      </c>
      <c r="I30" s="1">
        <v>1586</v>
      </c>
      <c r="J30" s="1">
        <v>7387</v>
      </c>
      <c r="K30" s="1">
        <v>104</v>
      </c>
      <c r="L30" s="1">
        <v>817775</v>
      </c>
      <c r="M30" s="1">
        <v>20.8</v>
      </c>
      <c r="N30" s="1">
        <v>1025</v>
      </c>
      <c r="O30" s="1">
        <v>367</v>
      </c>
      <c r="P30" s="1">
        <v>57</v>
      </c>
      <c r="Q30" s="1">
        <v>22268</v>
      </c>
      <c r="R30" s="1">
        <v>0.6</v>
      </c>
      <c r="S30" s="1">
        <v>1154</v>
      </c>
      <c r="T30" s="1">
        <v>1</v>
      </c>
      <c r="U30" s="1">
        <v>1</v>
      </c>
      <c r="V30" s="1">
        <v>1</v>
      </c>
      <c r="W30" s="1">
        <v>0</v>
      </c>
      <c r="X30" s="1">
        <v>1256</v>
      </c>
      <c r="Y30" s="1">
        <v>1</v>
      </c>
      <c r="Z30" s="1">
        <v>1</v>
      </c>
      <c r="AA30" s="1">
        <v>1</v>
      </c>
      <c r="AB30" s="1">
        <v>0</v>
      </c>
      <c r="AC30" s="1">
        <v>1458</v>
      </c>
      <c r="AD30" s="1">
        <v>1</v>
      </c>
      <c r="AE30" s="1">
        <v>1</v>
      </c>
      <c r="AF30" s="1">
        <v>1</v>
      </c>
      <c r="AG30" s="1">
        <v>0</v>
      </c>
      <c r="AH30" s="1">
        <v>1484</v>
      </c>
      <c r="AI30" s="1">
        <v>403</v>
      </c>
      <c r="AJ30" s="1">
        <v>19</v>
      </c>
      <c r="AK30" s="1">
        <v>8151</v>
      </c>
      <c r="AL30" s="1">
        <v>0.2</v>
      </c>
      <c r="AM30" s="1">
        <v>1598</v>
      </c>
      <c r="AN30" s="1">
        <v>553</v>
      </c>
      <c r="AO30" s="1">
        <v>3</v>
      </c>
      <c r="AP30" s="1">
        <v>1766</v>
      </c>
      <c r="AQ30" s="1">
        <v>0</v>
      </c>
      <c r="AR30" s="1">
        <v>1724</v>
      </c>
      <c r="AS30" s="1">
        <v>807</v>
      </c>
      <c r="AT30" s="1">
        <v>173</v>
      </c>
      <c r="AU30" s="1">
        <v>148611</v>
      </c>
      <c r="AV30" s="1">
        <v>3.8</v>
      </c>
    </row>
    <row r="31" spans="1:48">
      <c r="A31" s="1" t="s">
        <v>253</v>
      </c>
      <c r="B31" s="1" t="s">
        <v>254</v>
      </c>
      <c r="C31" s="1">
        <v>0.96958599999999995</v>
      </c>
      <c r="D31" s="1">
        <v>1369</v>
      </c>
      <c r="E31" s="1">
        <v>16867</v>
      </c>
      <c r="F31" s="1">
        <v>334</v>
      </c>
      <c r="G31" s="1">
        <v>5996758</v>
      </c>
      <c r="H31" s="1">
        <v>68.400000000000006</v>
      </c>
      <c r="I31" s="1">
        <v>1588</v>
      </c>
      <c r="J31" s="1">
        <v>17839</v>
      </c>
      <c r="K31" s="1">
        <v>106</v>
      </c>
      <c r="L31" s="1">
        <v>2012837</v>
      </c>
      <c r="M31" s="1">
        <v>23</v>
      </c>
      <c r="N31" s="1">
        <v>1047</v>
      </c>
      <c r="O31" s="1">
        <v>571</v>
      </c>
      <c r="P31" s="1">
        <v>51</v>
      </c>
      <c r="Q31" s="1">
        <v>30998</v>
      </c>
      <c r="R31" s="1">
        <v>0.4</v>
      </c>
      <c r="S31" s="1">
        <v>1154</v>
      </c>
      <c r="T31" s="1">
        <v>1</v>
      </c>
      <c r="U31" s="1">
        <v>1</v>
      </c>
      <c r="V31" s="1">
        <v>1</v>
      </c>
      <c r="W31" s="1">
        <v>0</v>
      </c>
      <c r="X31" s="1">
        <v>1256</v>
      </c>
      <c r="Y31" s="1">
        <v>1</v>
      </c>
      <c r="Z31" s="1">
        <v>1</v>
      </c>
      <c r="AA31" s="1">
        <v>1</v>
      </c>
      <c r="AB31" s="1">
        <v>0</v>
      </c>
      <c r="AC31" s="1">
        <v>1456</v>
      </c>
      <c r="AD31" s="1">
        <v>441</v>
      </c>
      <c r="AE31" s="1">
        <v>107</v>
      </c>
      <c r="AF31" s="1">
        <v>50229</v>
      </c>
      <c r="AG31" s="1">
        <v>0.6</v>
      </c>
      <c r="AH31" s="1">
        <v>1496</v>
      </c>
      <c r="AI31" s="1">
        <v>1729</v>
      </c>
      <c r="AJ31" s="1">
        <v>41</v>
      </c>
      <c r="AK31" s="1">
        <v>75459</v>
      </c>
      <c r="AL31" s="1">
        <v>0.9</v>
      </c>
      <c r="AM31" s="1">
        <v>1594</v>
      </c>
      <c r="AN31" s="1">
        <v>295</v>
      </c>
      <c r="AO31" s="1">
        <v>15</v>
      </c>
      <c r="AP31" s="1">
        <v>4710</v>
      </c>
      <c r="AQ31" s="1">
        <v>0.1</v>
      </c>
      <c r="AR31" s="1">
        <v>1748</v>
      </c>
      <c r="AS31" s="1">
        <v>2803</v>
      </c>
      <c r="AT31" s="1">
        <v>199</v>
      </c>
      <c r="AU31" s="1">
        <v>593757</v>
      </c>
      <c r="AV31" s="1">
        <v>6.8</v>
      </c>
    </row>
    <row r="32" spans="1:48">
      <c r="A32" s="1" t="s">
        <v>255</v>
      </c>
      <c r="B32" s="1" t="s">
        <v>256</v>
      </c>
      <c r="C32" s="1">
        <v>0.98835700000000004</v>
      </c>
      <c r="D32" s="1">
        <v>1369</v>
      </c>
      <c r="E32" s="1">
        <v>18563</v>
      </c>
      <c r="F32" s="1">
        <v>344</v>
      </c>
      <c r="G32" s="1">
        <v>6797337</v>
      </c>
      <c r="H32" s="1">
        <v>76.2</v>
      </c>
      <c r="I32" s="1">
        <v>1586</v>
      </c>
      <c r="J32" s="1">
        <v>17143</v>
      </c>
      <c r="K32" s="1">
        <v>102</v>
      </c>
      <c r="L32" s="1">
        <v>1861312</v>
      </c>
      <c r="M32" s="1">
        <v>20.9</v>
      </c>
      <c r="N32" s="1">
        <v>1041</v>
      </c>
      <c r="O32" s="1">
        <v>655</v>
      </c>
      <c r="P32" s="1">
        <v>67</v>
      </c>
      <c r="Q32" s="1">
        <v>46714</v>
      </c>
      <c r="R32" s="1">
        <v>0.5</v>
      </c>
      <c r="S32" s="1">
        <v>1154</v>
      </c>
      <c r="T32" s="1">
        <v>1</v>
      </c>
      <c r="U32" s="1">
        <v>1</v>
      </c>
      <c r="V32" s="1">
        <v>1</v>
      </c>
      <c r="W32" s="1">
        <v>0</v>
      </c>
      <c r="X32" s="1">
        <v>1298</v>
      </c>
      <c r="Y32" s="1">
        <v>143</v>
      </c>
      <c r="Z32" s="1">
        <v>1</v>
      </c>
      <c r="AA32" s="1">
        <v>152</v>
      </c>
      <c r="AB32" s="1">
        <v>0</v>
      </c>
      <c r="AC32" s="1">
        <v>1416</v>
      </c>
      <c r="AD32" s="1">
        <v>1</v>
      </c>
      <c r="AE32" s="1">
        <v>1</v>
      </c>
      <c r="AF32" s="1">
        <v>1</v>
      </c>
      <c r="AG32" s="1">
        <v>0</v>
      </c>
      <c r="AH32" s="1">
        <v>1506</v>
      </c>
      <c r="AI32" s="1">
        <v>981</v>
      </c>
      <c r="AJ32" s="1">
        <v>23</v>
      </c>
      <c r="AK32" s="1">
        <v>24018</v>
      </c>
      <c r="AL32" s="1">
        <v>0.3</v>
      </c>
      <c r="AM32" s="1">
        <v>1596</v>
      </c>
      <c r="AN32" s="1">
        <v>1109</v>
      </c>
      <c r="AO32" s="1">
        <v>25</v>
      </c>
      <c r="AP32" s="1">
        <v>29512</v>
      </c>
      <c r="AQ32" s="1">
        <v>0.3</v>
      </c>
      <c r="AR32" s="1">
        <v>1730</v>
      </c>
      <c r="AS32" s="1">
        <v>1069</v>
      </c>
      <c r="AT32" s="1">
        <v>141</v>
      </c>
      <c r="AU32" s="1">
        <v>160446</v>
      </c>
      <c r="AV32" s="1">
        <v>1.8</v>
      </c>
    </row>
    <row r="33" spans="1:48">
      <c r="A33" s="1" t="s">
        <v>257</v>
      </c>
      <c r="B33" s="1" t="s">
        <v>258</v>
      </c>
      <c r="C33" s="1">
        <v>0.98220700000000005</v>
      </c>
      <c r="D33" s="1">
        <v>1367</v>
      </c>
      <c r="E33" s="1">
        <v>10191</v>
      </c>
      <c r="F33" s="1">
        <v>334</v>
      </c>
      <c r="G33" s="1">
        <v>3623227</v>
      </c>
      <c r="H33" s="1">
        <v>72.900000000000006</v>
      </c>
      <c r="I33" s="1">
        <v>1588</v>
      </c>
      <c r="J33" s="1">
        <v>9755</v>
      </c>
      <c r="K33" s="1">
        <v>104</v>
      </c>
      <c r="L33" s="1">
        <v>1079923</v>
      </c>
      <c r="M33" s="1">
        <v>21.7</v>
      </c>
      <c r="N33" s="1">
        <v>1039</v>
      </c>
      <c r="O33" s="1">
        <v>415</v>
      </c>
      <c r="P33" s="1">
        <v>75</v>
      </c>
      <c r="Q33" s="1">
        <v>33132</v>
      </c>
      <c r="R33" s="1">
        <v>0.7</v>
      </c>
      <c r="S33" s="1">
        <v>1154</v>
      </c>
      <c r="T33" s="1">
        <v>1</v>
      </c>
      <c r="U33" s="1">
        <v>1</v>
      </c>
      <c r="V33" s="1">
        <v>1</v>
      </c>
      <c r="W33" s="1">
        <v>0</v>
      </c>
      <c r="X33" s="1">
        <v>1256</v>
      </c>
      <c r="Y33" s="1">
        <v>1</v>
      </c>
      <c r="Z33" s="1">
        <v>1</v>
      </c>
      <c r="AA33" s="1">
        <v>1</v>
      </c>
      <c r="AB33" s="1">
        <v>0</v>
      </c>
      <c r="AC33" s="1">
        <v>1456</v>
      </c>
      <c r="AD33" s="1">
        <v>97</v>
      </c>
      <c r="AE33" s="1">
        <v>1</v>
      </c>
      <c r="AF33" s="1">
        <v>103</v>
      </c>
      <c r="AG33" s="1">
        <v>0</v>
      </c>
      <c r="AH33" s="1">
        <v>1506</v>
      </c>
      <c r="AI33" s="1">
        <v>423</v>
      </c>
      <c r="AJ33" s="1">
        <v>39</v>
      </c>
      <c r="AK33" s="1">
        <v>17561</v>
      </c>
      <c r="AL33" s="1">
        <v>0.4</v>
      </c>
      <c r="AM33" s="1">
        <v>1598</v>
      </c>
      <c r="AN33" s="1">
        <v>403</v>
      </c>
      <c r="AO33" s="1">
        <v>25</v>
      </c>
      <c r="AP33" s="1">
        <v>10725</v>
      </c>
      <c r="AQ33" s="1">
        <v>0.2</v>
      </c>
      <c r="AR33" s="1">
        <v>1724</v>
      </c>
      <c r="AS33" s="1">
        <v>1135</v>
      </c>
      <c r="AT33" s="1">
        <v>169</v>
      </c>
      <c r="AU33" s="1">
        <v>204181</v>
      </c>
      <c r="AV33" s="1">
        <v>4.0999999999999996</v>
      </c>
    </row>
    <row r="34" spans="1:48">
      <c r="A34" s="1" t="s">
        <v>259</v>
      </c>
      <c r="B34" s="1" t="s">
        <v>260</v>
      </c>
      <c r="C34" s="1">
        <v>0.98903099999999999</v>
      </c>
      <c r="D34" s="1">
        <v>1369</v>
      </c>
      <c r="E34" s="1">
        <v>27861</v>
      </c>
      <c r="F34" s="1">
        <v>324</v>
      </c>
      <c r="G34" s="1">
        <v>9608906</v>
      </c>
      <c r="H34" s="1">
        <v>70.400000000000006</v>
      </c>
      <c r="I34" s="1">
        <v>1590</v>
      </c>
      <c r="J34" s="1">
        <v>30235</v>
      </c>
      <c r="K34" s="1">
        <v>100</v>
      </c>
      <c r="L34" s="1">
        <v>3218416</v>
      </c>
      <c r="M34" s="1">
        <v>23.6</v>
      </c>
      <c r="N34" s="1">
        <v>1041</v>
      </c>
      <c r="O34" s="1">
        <v>1335</v>
      </c>
      <c r="P34" s="1">
        <v>79</v>
      </c>
      <c r="Q34" s="1">
        <v>112264</v>
      </c>
      <c r="R34" s="1">
        <v>0.8</v>
      </c>
      <c r="S34" s="1">
        <v>1154</v>
      </c>
      <c r="T34" s="1">
        <v>1</v>
      </c>
      <c r="U34" s="1">
        <v>1</v>
      </c>
      <c r="V34" s="1">
        <v>1</v>
      </c>
      <c r="W34" s="1">
        <v>0</v>
      </c>
      <c r="X34" s="1">
        <v>1256</v>
      </c>
      <c r="Y34" s="1">
        <v>1</v>
      </c>
      <c r="Z34" s="1">
        <v>1</v>
      </c>
      <c r="AA34" s="1">
        <v>1</v>
      </c>
      <c r="AB34" s="1">
        <v>0</v>
      </c>
      <c r="AC34" s="1">
        <v>1402</v>
      </c>
      <c r="AD34" s="1">
        <v>741</v>
      </c>
      <c r="AE34" s="1">
        <v>9</v>
      </c>
      <c r="AF34" s="1">
        <v>7099</v>
      </c>
      <c r="AG34" s="1">
        <v>0.1</v>
      </c>
      <c r="AH34" s="1">
        <v>1506</v>
      </c>
      <c r="AI34" s="1">
        <v>509</v>
      </c>
      <c r="AJ34" s="1">
        <v>31</v>
      </c>
      <c r="AK34" s="1">
        <v>16796</v>
      </c>
      <c r="AL34" s="1">
        <v>0.1</v>
      </c>
      <c r="AM34" s="1">
        <v>1596</v>
      </c>
      <c r="AN34" s="1">
        <v>3093</v>
      </c>
      <c r="AO34" s="1">
        <v>31</v>
      </c>
      <c r="AP34" s="1">
        <v>102064</v>
      </c>
      <c r="AQ34" s="1">
        <v>0.7</v>
      </c>
      <c r="AR34" s="1">
        <v>1720</v>
      </c>
      <c r="AS34" s="1">
        <v>4249</v>
      </c>
      <c r="AT34" s="1">
        <v>131</v>
      </c>
      <c r="AU34" s="1">
        <v>592503</v>
      </c>
      <c r="AV34" s="1">
        <v>4.3</v>
      </c>
    </row>
    <row r="35" spans="1:48">
      <c r="A35" s="1" t="s">
        <v>261</v>
      </c>
      <c r="B35" s="1" t="s">
        <v>262</v>
      </c>
      <c r="C35" s="1">
        <v>0.98545499999999997</v>
      </c>
      <c r="D35" s="1">
        <v>1369</v>
      </c>
      <c r="E35" s="1">
        <v>31541</v>
      </c>
      <c r="F35" s="1">
        <v>330</v>
      </c>
      <c r="G35" s="1">
        <v>11079537</v>
      </c>
      <c r="H35" s="1">
        <v>70</v>
      </c>
      <c r="I35" s="1">
        <v>1588</v>
      </c>
      <c r="J35" s="1">
        <v>35417</v>
      </c>
      <c r="K35" s="1">
        <v>104</v>
      </c>
      <c r="L35" s="1">
        <v>3920824</v>
      </c>
      <c r="M35" s="1">
        <v>24.8</v>
      </c>
      <c r="N35" s="1">
        <v>1039</v>
      </c>
      <c r="O35" s="1">
        <v>1137</v>
      </c>
      <c r="P35" s="1">
        <v>61</v>
      </c>
      <c r="Q35" s="1">
        <v>73828</v>
      </c>
      <c r="R35" s="1">
        <v>0.5</v>
      </c>
      <c r="S35" s="1">
        <v>1154</v>
      </c>
      <c r="T35" s="1">
        <v>1</v>
      </c>
      <c r="U35" s="1">
        <v>1</v>
      </c>
      <c r="V35" s="1">
        <v>1</v>
      </c>
      <c r="W35" s="1">
        <v>0</v>
      </c>
      <c r="X35" s="1">
        <v>1256</v>
      </c>
      <c r="Y35" s="1">
        <v>1</v>
      </c>
      <c r="Z35" s="1">
        <v>1</v>
      </c>
      <c r="AA35" s="1">
        <v>1</v>
      </c>
      <c r="AB35" s="1">
        <v>0</v>
      </c>
      <c r="AC35" s="1">
        <v>1456</v>
      </c>
      <c r="AD35" s="1">
        <v>297</v>
      </c>
      <c r="AE35" s="1">
        <v>129</v>
      </c>
      <c r="AF35" s="1">
        <v>40783</v>
      </c>
      <c r="AG35" s="1">
        <v>0.3</v>
      </c>
      <c r="AH35" s="1">
        <v>1488</v>
      </c>
      <c r="AI35" s="1">
        <v>1569</v>
      </c>
      <c r="AJ35" s="1">
        <v>37</v>
      </c>
      <c r="AK35" s="1">
        <v>61796</v>
      </c>
      <c r="AL35" s="1">
        <v>0.4</v>
      </c>
      <c r="AM35" s="1">
        <v>1594</v>
      </c>
      <c r="AN35" s="1">
        <v>1045</v>
      </c>
      <c r="AO35" s="1">
        <v>7</v>
      </c>
      <c r="AP35" s="1">
        <v>7787</v>
      </c>
      <c r="AQ35" s="1">
        <v>0</v>
      </c>
      <c r="AR35" s="1">
        <v>1718</v>
      </c>
      <c r="AS35" s="1">
        <v>5319</v>
      </c>
      <c r="AT35" s="1">
        <v>115</v>
      </c>
      <c r="AU35" s="1">
        <v>651119</v>
      </c>
      <c r="AV35" s="1">
        <v>4.0999999999999996</v>
      </c>
    </row>
    <row r="36" spans="1:48">
      <c r="A36" s="1" t="s">
        <v>263</v>
      </c>
      <c r="B36" s="1" t="s">
        <v>264</v>
      </c>
      <c r="C36" s="1">
        <v>0.98965700000000001</v>
      </c>
      <c r="D36" s="1">
        <v>1369</v>
      </c>
      <c r="E36" s="1">
        <v>21701</v>
      </c>
      <c r="F36" s="1">
        <v>332</v>
      </c>
      <c r="G36" s="1">
        <v>7669200</v>
      </c>
      <c r="H36" s="1">
        <v>70.5</v>
      </c>
      <c r="I36" s="1">
        <v>1590</v>
      </c>
      <c r="J36" s="1">
        <v>24113</v>
      </c>
      <c r="K36" s="1">
        <v>100</v>
      </c>
      <c r="L36" s="1">
        <v>2566749</v>
      </c>
      <c r="M36" s="1">
        <v>23.6</v>
      </c>
      <c r="N36" s="1">
        <v>1035</v>
      </c>
      <c r="O36" s="1">
        <v>1015</v>
      </c>
      <c r="P36" s="1">
        <v>85</v>
      </c>
      <c r="Q36" s="1">
        <v>91837</v>
      </c>
      <c r="R36" s="1">
        <v>0.8</v>
      </c>
      <c r="S36" s="1">
        <v>1154</v>
      </c>
      <c r="T36" s="1">
        <v>1</v>
      </c>
      <c r="U36" s="1">
        <v>1</v>
      </c>
      <c r="V36" s="1">
        <v>1</v>
      </c>
      <c r="W36" s="1">
        <v>0</v>
      </c>
      <c r="X36" s="1">
        <v>1256</v>
      </c>
      <c r="Y36" s="1">
        <v>1</v>
      </c>
      <c r="Z36" s="1">
        <v>1</v>
      </c>
      <c r="AA36" s="1">
        <v>1</v>
      </c>
      <c r="AB36" s="1">
        <v>0</v>
      </c>
      <c r="AC36" s="1">
        <v>1402</v>
      </c>
      <c r="AD36" s="1">
        <v>559</v>
      </c>
      <c r="AE36" s="1">
        <v>121</v>
      </c>
      <c r="AF36" s="1">
        <v>71999</v>
      </c>
      <c r="AG36" s="1">
        <v>0.7</v>
      </c>
      <c r="AH36" s="1">
        <v>1506</v>
      </c>
      <c r="AI36" s="1">
        <v>493</v>
      </c>
      <c r="AJ36" s="1">
        <v>31</v>
      </c>
      <c r="AK36" s="1">
        <v>16268</v>
      </c>
      <c r="AL36" s="1">
        <v>0.1</v>
      </c>
      <c r="AM36" s="1">
        <v>1594</v>
      </c>
      <c r="AN36" s="1">
        <v>1299</v>
      </c>
      <c r="AO36" s="1">
        <v>19</v>
      </c>
      <c r="AP36" s="1">
        <v>26272</v>
      </c>
      <c r="AQ36" s="1">
        <v>0.2</v>
      </c>
      <c r="AR36" s="1">
        <v>1720</v>
      </c>
      <c r="AS36" s="1">
        <v>3047</v>
      </c>
      <c r="AT36" s="1">
        <v>133</v>
      </c>
      <c r="AU36" s="1">
        <v>431376</v>
      </c>
      <c r="AV36" s="1">
        <v>4</v>
      </c>
    </row>
    <row r="37" spans="1:48">
      <c r="A37" s="1" t="s">
        <v>265</v>
      </c>
      <c r="B37" s="1" t="s">
        <v>266</v>
      </c>
      <c r="C37" s="1">
        <v>0.99136500000000005</v>
      </c>
      <c r="D37" s="1">
        <v>1369</v>
      </c>
      <c r="E37" s="1">
        <v>22079</v>
      </c>
      <c r="F37" s="1">
        <v>336</v>
      </c>
      <c r="G37" s="1">
        <v>7896796</v>
      </c>
      <c r="H37" s="1">
        <v>72.3</v>
      </c>
      <c r="I37" s="1">
        <v>1586</v>
      </c>
      <c r="J37" s="1">
        <v>20827</v>
      </c>
      <c r="K37" s="1">
        <v>116</v>
      </c>
      <c r="L37" s="1">
        <v>2571680</v>
      </c>
      <c r="M37" s="1">
        <v>23.6</v>
      </c>
      <c r="N37" s="1">
        <v>1073</v>
      </c>
      <c r="O37" s="1">
        <v>471</v>
      </c>
      <c r="P37" s="1">
        <v>51</v>
      </c>
      <c r="Q37" s="1">
        <v>25570</v>
      </c>
      <c r="R37" s="1">
        <v>0.2</v>
      </c>
      <c r="S37" s="1">
        <v>1154</v>
      </c>
      <c r="T37" s="1">
        <v>1</v>
      </c>
      <c r="U37" s="1">
        <v>1</v>
      </c>
      <c r="V37" s="1">
        <v>1</v>
      </c>
      <c r="W37" s="1">
        <v>0</v>
      </c>
      <c r="X37" s="1">
        <v>1256</v>
      </c>
      <c r="Y37" s="1">
        <v>1</v>
      </c>
      <c r="Z37" s="1">
        <v>1</v>
      </c>
      <c r="AA37" s="1">
        <v>1</v>
      </c>
      <c r="AB37" s="1">
        <v>0</v>
      </c>
      <c r="AC37" s="1">
        <v>1440</v>
      </c>
      <c r="AD37" s="1">
        <v>227</v>
      </c>
      <c r="AE37" s="1">
        <v>127</v>
      </c>
      <c r="AF37" s="1">
        <v>30688</v>
      </c>
      <c r="AG37" s="1">
        <v>0.3</v>
      </c>
      <c r="AH37" s="1">
        <v>1492</v>
      </c>
      <c r="AI37" s="1">
        <v>1179</v>
      </c>
      <c r="AJ37" s="1">
        <v>59</v>
      </c>
      <c r="AK37" s="1">
        <v>74045</v>
      </c>
      <c r="AL37" s="1">
        <v>0.7</v>
      </c>
      <c r="AM37" s="1">
        <v>1590</v>
      </c>
      <c r="AN37" s="1">
        <v>669</v>
      </c>
      <c r="AO37" s="1">
        <v>27</v>
      </c>
      <c r="AP37" s="1">
        <v>19227</v>
      </c>
      <c r="AQ37" s="1">
        <v>0.2</v>
      </c>
      <c r="AR37" s="1">
        <v>1736</v>
      </c>
      <c r="AS37" s="1">
        <v>2323</v>
      </c>
      <c r="AT37" s="1">
        <v>121</v>
      </c>
      <c r="AU37" s="1">
        <v>299204</v>
      </c>
      <c r="AV37" s="1">
        <v>2.7</v>
      </c>
    </row>
    <row r="38" spans="1:48">
      <c r="A38" s="1" t="s">
        <v>267</v>
      </c>
      <c r="B38" s="1" t="s">
        <v>268</v>
      </c>
      <c r="C38" s="1">
        <v>0.98839299999999997</v>
      </c>
      <c r="D38" s="1">
        <v>1369</v>
      </c>
      <c r="E38" s="1">
        <v>7241</v>
      </c>
      <c r="F38" s="1">
        <v>312</v>
      </c>
      <c r="G38" s="1">
        <v>2404835</v>
      </c>
      <c r="H38" s="1">
        <v>74.400000000000006</v>
      </c>
      <c r="I38" s="1">
        <v>1592</v>
      </c>
      <c r="J38" s="1">
        <v>6729</v>
      </c>
      <c r="K38" s="1">
        <v>100</v>
      </c>
      <c r="L38" s="1">
        <v>716280</v>
      </c>
      <c r="M38" s="1">
        <v>22.2</v>
      </c>
      <c r="N38" s="1">
        <v>1057</v>
      </c>
      <c r="O38" s="1">
        <v>275</v>
      </c>
      <c r="P38" s="1">
        <v>107</v>
      </c>
      <c r="Q38" s="1">
        <v>31322</v>
      </c>
      <c r="R38" s="1">
        <v>1</v>
      </c>
      <c r="S38" s="1">
        <v>1152</v>
      </c>
      <c r="T38" s="1">
        <v>101</v>
      </c>
      <c r="U38" s="1">
        <v>1</v>
      </c>
      <c r="V38" s="1">
        <v>108</v>
      </c>
      <c r="W38" s="1">
        <v>0</v>
      </c>
      <c r="X38" s="1">
        <v>1296</v>
      </c>
      <c r="Y38" s="1">
        <v>55</v>
      </c>
      <c r="Z38" s="1">
        <v>53</v>
      </c>
      <c r="AA38" s="1">
        <v>3103</v>
      </c>
      <c r="AB38" s="1">
        <v>0.1</v>
      </c>
      <c r="AC38" s="1">
        <v>1400</v>
      </c>
      <c r="AD38" s="1">
        <v>1</v>
      </c>
      <c r="AE38" s="1">
        <v>1</v>
      </c>
      <c r="AF38" s="1">
        <v>1</v>
      </c>
      <c r="AG38" s="1">
        <v>0</v>
      </c>
      <c r="AH38" s="1">
        <v>1500</v>
      </c>
      <c r="AI38" s="1">
        <v>75</v>
      </c>
      <c r="AJ38" s="1">
        <v>7</v>
      </c>
      <c r="AK38" s="1">
        <v>559</v>
      </c>
      <c r="AL38" s="1">
        <v>0</v>
      </c>
      <c r="AM38" s="1">
        <v>1594</v>
      </c>
      <c r="AN38" s="1">
        <v>1299</v>
      </c>
      <c r="AO38" s="1">
        <v>29</v>
      </c>
      <c r="AP38" s="1">
        <v>40100</v>
      </c>
      <c r="AQ38" s="1">
        <v>1.2</v>
      </c>
      <c r="AR38" s="1">
        <v>1728</v>
      </c>
      <c r="AS38" s="1">
        <v>383</v>
      </c>
      <c r="AT38" s="1">
        <v>91</v>
      </c>
      <c r="AU38" s="1">
        <v>37100</v>
      </c>
      <c r="AV38" s="1">
        <v>1.1000000000000001</v>
      </c>
    </row>
    <row r="39" spans="1:48">
      <c r="A39" s="1" t="s">
        <v>269</v>
      </c>
      <c r="B39" s="1" t="s">
        <v>270</v>
      </c>
      <c r="C39" s="1">
        <v>0.98702699999999999</v>
      </c>
      <c r="D39" s="1">
        <v>1369</v>
      </c>
      <c r="E39" s="1">
        <v>10949</v>
      </c>
      <c r="F39" s="1">
        <v>346</v>
      </c>
      <c r="G39" s="1">
        <v>4032578</v>
      </c>
      <c r="H39" s="1">
        <v>74.7</v>
      </c>
      <c r="I39" s="1">
        <v>1592</v>
      </c>
      <c r="J39" s="1">
        <v>10545</v>
      </c>
      <c r="K39" s="1">
        <v>100</v>
      </c>
      <c r="L39" s="1">
        <v>1122480</v>
      </c>
      <c r="M39" s="1">
        <v>20.8</v>
      </c>
      <c r="N39" s="1">
        <v>1033</v>
      </c>
      <c r="O39" s="1">
        <v>549</v>
      </c>
      <c r="P39" s="1">
        <v>77</v>
      </c>
      <c r="Q39" s="1">
        <v>44998</v>
      </c>
      <c r="R39" s="1">
        <v>0.8</v>
      </c>
      <c r="S39" s="1">
        <v>1158</v>
      </c>
      <c r="T39" s="1">
        <v>1</v>
      </c>
      <c r="U39" s="1">
        <v>1</v>
      </c>
      <c r="V39" s="1">
        <v>1</v>
      </c>
      <c r="W39" s="1">
        <v>0</v>
      </c>
      <c r="X39" s="1">
        <v>1296</v>
      </c>
      <c r="Y39" s="1">
        <v>203</v>
      </c>
      <c r="Z39" s="1">
        <v>1</v>
      </c>
      <c r="AA39" s="1">
        <v>216</v>
      </c>
      <c r="AB39" s="1">
        <v>0</v>
      </c>
      <c r="AC39" s="1">
        <v>1400</v>
      </c>
      <c r="AD39" s="1">
        <v>1</v>
      </c>
      <c r="AE39" s="1">
        <v>1</v>
      </c>
      <c r="AF39" s="1">
        <v>1</v>
      </c>
      <c r="AG39" s="1">
        <v>0</v>
      </c>
      <c r="AH39" s="1">
        <v>1506</v>
      </c>
      <c r="AI39" s="1">
        <v>191</v>
      </c>
      <c r="AJ39" s="1">
        <v>5</v>
      </c>
      <c r="AK39" s="1">
        <v>1017</v>
      </c>
      <c r="AL39" s="1">
        <v>0</v>
      </c>
      <c r="AM39" s="1">
        <v>1598</v>
      </c>
      <c r="AN39" s="1">
        <v>2419</v>
      </c>
      <c r="AO39" s="1">
        <v>31</v>
      </c>
      <c r="AP39" s="1">
        <v>79823</v>
      </c>
      <c r="AQ39" s="1">
        <v>1.5</v>
      </c>
      <c r="AR39" s="1">
        <v>1744</v>
      </c>
      <c r="AS39" s="1">
        <v>725</v>
      </c>
      <c r="AT39" s="1">
        <v>149</v>
      </c>
      <c r="AU39" s="1">
        <v>114989</v>
      </c>
      <c r="AV39" s="1">
        <v>2.1</v>
      </c>
    </row>
    <row r="40" spans="1:48">
      <c r="A40" s="1" t="s">
        <v>271</v>
      </c>
      <c r="B40" s="1" t="s">
        <v>272</v>
      </c>
      <c r="C40" s="1">
        <v>0.98907599999999996</v>
      </c>
      <c r="D40" s="1">
        <v>1369</v>
      </c>
      <c r="E40" s="1">
        <v>7667</v>
      </c>
      <c r="F40" s="1">
        <v>318</v>
      </c>
      <c r="G40" s="1">
        <v>2595283</v>
      </c>
      <c r="H40" s="1">
        <v>72.7</v>
      </c>
      <c r="I40" s="1">
        <v>1590</v>
      </c>
      <c r="J40" s="1">
        <v>7975</v>
      </c>
      <c r="K40" s="1">
        <v>100</v>
      </c>
      <c r="L40" s="1">
        <v>848912</v>
      </c>
      <c r="M40" s="1">
        <v>23.8</v>
      </c>
      <c r="N40" s="1">
        <v>1043</v>
      </c>
      <c r="O40" s="1">
        <v>279</v>
      </c>
      <c r="P40" s="1">
        <v>81</v>
      </c>
      <c r="Q40" s="1">
        <v>24056</v>
      </c>
      <c r="R40" s="1">
        <v>0.7</v>
      </c>
      <c r="S40" s="1">
        <v>1156</v>
      </c>
      <c r="T40" s="1">
        <v>49</v>
      </c>
      <c r="U40" s="1">
        <v>5</v>
      </c>
      <c r="V40" s="1">
        <v>261</v>
      </c>
      <c r="W40" s="1">
        <v>0</v>
      </c>
      <c r="X40" s="1">
        <v>1292</v>
      </c>
      <c r="Y40" s="1">
        <v>27</v>
      </c>
      <c r="Z40" s="1">
        <v>1</v>
      </c>
      <c r="AA40" s="1">
        <v>29</v>
      </c>
      <c r="AB40" s="1">
        <v>0</v>
      </c>
      <c r="AC40" s="1">
        <v>1400</v>
      </c>
      <c r="AD40" s="1">
        <v>1</v>
      </c>
      <c r="AE40" s="1">
        <v>1</v>
      </c>
      <c r="AF40" s="1">
        <v>1</v>
      </c>
      <c r="AG40" s="1">
        <v>0</v>
      </c>
      <c r="AH40" s="1">
        <v>1500</v>
      </c>
      <c r="AI40" s="1">
        <v>21</v>
      </c>
      <c r="AJ40" s="1">
        <v>25</v>
      </c>
      <c r="AK40" s="1">
        <v>559</v>
      </c>
      <c r="AL40" s="1">
        <v>0</v>
      </c>
      <c r="AM40" s="1">
        <v>1598</v>
      </c>
      <c r="AN40" s="1">
        <v>839</v>
      </c>
      <c r="AO40" s="1">
        <v>31</v>
      </c>
      <c r="AP40" s="1">
        <v>27686</v>
      </c>
      <c r="AQ40" s="1">
        <v>0.8</v>
      </c>
      <c r="AR40" s="1">
        <v>1740</v>
      </c>
      <c r="AS40" s="1">
        <v>453</v>
      </c>
      <c r="AT40" s="1">
        <v>151</v>
      </c>
      <c r="AU40" s="1">
        <v>72813</v>
      </c>
      <c r="AV40" s="1">
        <v>2</v>
      </c>
    </row>
    <row r="41" spans="1:48">
      <c r="A41" s="1" t="s">
        <v>273</v>
      </c>
      <c r="B41" s="1" t="s">
        <v>274</v>
      </c>
      <c r="C41" s="1">
        <v>0.98915200000000003</v>
      </c>
      <c r="D41" s="1">
        <v>1369</v>
      </c>
      <c r="E41" s="1">
        <v>11161</v>
      </c>
      <c r="F41" s="1">
        <v>320</v>
      </c>
      <c r="G41" s="1">
        <v>3801765</v>
      </c>
      <c r="H41" s="1">
        <v>73</v>
      </c>
      <c r="I41" s="1">
        <v>1592</v>
      </c>
      <c r="J41" s="1">
        <v>11413</v>
      </c>
      <c r="K41" s="1">
        <v>102</v>
      </c>
      <c r="L41" s="1">
        <v>1239174</v>
      </c>
      <c r="M41" s="1">
        <v>23.8</v>
      </c>
      <c r="N41" s="1">
        <v>1047</v>
      </c>
      <c r="O41" s="1">
        <v>365</v>
      </c>
      <c r="P41" s="1">
        <v>77</v>
      </c>
      <c r="Q41" s="1">
        <v>29917</v>
      </c>
      <c r="R41" s="1">
        <v>0.6</v>
      </c>
      <c r="S41" s="1">
        <v>1164</v>
      </c>
      <c r="T41" s="1">
        <v>233</v>
      </c>
      <c r="U41" s="1">
        <v>1</v>
      </c>
      <c r="V41" s="1">
        <v>248</v>
      </c>
      <c r="W41" s="1">
        <v>0</v>
      </c>
      <c r="X41" s="1">
        <v>1296</v>
      </c>
      <c r="Y41" s="1">
        <v>13</v>
      </c>
      <c r="Z41" s="1">
        <v>1</v>
      </c>
      <c r="AA41" s="1">
        <v>14</v>
      </c>
      <c r="AB41" s="1">
        <v>0</v>
      </c>
      <c r="AC41" s="1">
        <v>1400</v>
      </c>
      <c r="AD41" s="1">
        <v>1</v>
      </c>
      <c r="AE41" s="1">
        <v>1</v>
      </c>
      <c r="AF41" s="1">
        <v>1</v>
      </c>
      <c r="AG41" s="1">
        <v>0</v>
      </c>
      <c r="AH41" s="1">
        <v>1528</v>
      </c>
      <c r="AI41" s="1">
        <v>367</v>
      </c>
      <c r="AJ41" s="1">
        <v>23</v>
      </c>
      <c r="AK41" s="1">
        <v>8985</v>
      </c>
      <c r="AL41" s="1">
        <v>0.2</v>
      </c>
      <c r="AM41" s="1">
        <v>1598</v>
      </c>
      <c r="AN41" s="1">
        <v>1317</v>
      </c>
      <c r="AO41" s="1">
        <v>25</v>
      </c>
      <c r="AP41" s="1">
        <v>35048</v>
      </c>
      <c r="AQ41" s="1">
        <v>0.7</v>
      </c>
      <c r="AR41" s="1">
        <v>1730</v>
      </c>
      <c r="AS41" s="1">
        <v>841</v>
      </c>
      <c r="AT41" s="1">
        <v>105</v>
      </c>
      <c r="AU41" s="1">
        <v>93998</v>
      </c>
      <c r="AV41" s="1">
        <v>1.8</v>
      </c>
    </row>
    <row r="42" spans="1:48">
      <c r="A42" s="1" t="s">
        <v>275</v>
      </c>
      <c r="B42" s="1" t="s">
        <v>276</v>
      </c>
      <c r="C42" s="1">
        <v>0.99077000000000004</v>
      </c>
      <c r="D42" s="1">
        <v>1369</v>
      </c>
      <c r="E42" s="1">
        <v>9113</v>
      </c>
      <c r="F42" s="1">
        <v>334</v>
      </c>
      <c r="G42" s="1">
        <v>3239963</v>
      </c>
      <c r="H42" s="1">
        <v>71.3</v>
      </c>
      <c r="I42" s="1">
        <v>1592</v>
      </c>
      <c r="J42" s="1">
        <v>9765</v>
      </c>
      <c r="K42" s="1">
        <v>100</v>
      </c>
      <c r="L42" s="1">
        <v>1039452</v>
      </c>
      <c r="M42" s="1">
        <v>22.9</v>
      </c>
      <c r="N42" s="1">
        <v>1041</v>
      </c>
      <c r="O42" s="1">
        <v>369</v>
      </c>
      <c r="P42" s="1">
        <v>81</v>
      </c>
      <c r="Q42" s="1">
        <v>31816</v>
      </c>
      <c r="R42" s="1">
        <v>0.7</v>
      </c>
      <c r="S42" s="1">
        <v>1158</v>
      </c>
      <c r="T42" s="1">
        <v>1</v>
      </c>
      <c r="U42" s="1">
        <v>1</v>
      </c>
      <c r="V42" s="1">
        <v>1</v>
      </c>
      <c r="W42" s="1">
        <v>0</v>
      </c>
      <c r="X42" s="1">
        <v>1260</v>
      </c>
      <c r="Y42" s="1">
        <v>1</v>
      </c>
      <c r="Z42" s="1">
        <v>1</v>
      </c>
      <c r="AA42" s="1">
        <v>1</v>
      </c>
      <c r="AB42" s="1">
        <v>0</v>
      </c>
      <c r="AC42" s="1">
        <v>1408</v>
      </c>
      <c r="AD42" s="1">
        <v>133</v>
      </c>
      <c r="AE42" s="1">
        <v>111</v>
      </c>
      <c r="AF42" s="1">
        <v>15715</v>
      </c>
      <c r="AG42" s="1">
        <v>0.3</v>
      </c>
      <c r="AH42" s="1">
        <v>1494</v>
      </c>
      <c r="AI42" s="1">
        <v>43</v>
      </c>
      <c r="AJ42" s="1">
        <v>23</v>
      </c>
      <c r="AK42" s="1">
        <v>1053</v>
      </c>
      <c r="AL42" s="1">
        <v>0</v>
      </c>
      <c r="AM42" s="1">
        <v>1598</v>
      </c>
      <c r="AN42" s="1">
        <v>759</v>
      </c>
      <c r="AO42" s="1">
        <v>29</v>
      </c>
      <c r="AP42" s="1">
        <v>23430</v>
      </c>
      <c r="AQ42" s="1">
        <v>0.5</v>
      </c>
      <c r="AR42" s="1">
        <v>1740</v>
      </c>
      <c r="AS42" s="1">
        <v>973</v>
      </c>
      <c r="AT42" s="1">
        <v>187</v>
      </c>
      <c r="AU42" s="1">
        <v>193681</v>
      </c>
      <c r="AV42" s="1">
        <v>4.3</v>
      </c>
    </row>
    <row r="43" spans="1:48">
      <c r="A43" s="1" t="s">
        <v>277</v>
      </c>
      <c r="B43" s="1" t="s">
        <v>278</v>
      </c>
      <c r="C43" s="1">
        <v>0.99119699999999999</v>
      </c>
      <c r="D43" s="1">
        <v>1369</v>
      </c>
      <c r="E43" s="1">
        <v>7275</v>
      </c>
      <c r="F43" s="1">
        <v>336</v>
      </c>
      <c r="G43" s="1">
        <v>2601983</v>
      </c>
      <c r="H43" s="1">
        <v>72.2</v>
      </c>
      <c r="I43" s="1">
        <v>1592</v>
      </c>
      <c r="J43" s="1">
        <v>7751</v>
      </c>
      <c r="K43" s="1">
        <v>100</v>
      </c>
      <c r="L43" s="1">
        <v>825068</v>
      </c>
      <c r="M43" s="1">
        <v>22.9</v>
      </c>
      <c r="N43" s="1">
        <v>1025</v>
      </c>
      <c r="O43" s="1">
        <v>263</v>
      </c>
      <c r="P43" s="1">
        <v>69</v>
      </c>
      <c r="Q43" s="1">
        <v>19317</v>
      </c>
      <c r="R43" s="1">
        <v>0.5</v>
      </c>
      <c r="S43" s="1">
        <v>1158</v>
      </c>
      <c r="T43" s="1">
        <v>1</v>
      </c>
      <c r="U43" s="1">
        <v>1</v>
      </c>
      <c r="V43" s="1">
        <v>1</v>
      </c>
      <c r="W43" s="1">
        <v>0</v>
      </c>
      <c r="X43" s="1">
        <v>1260</v>
      </c>
      <c r="Y43" s="1">
        <v>1</v>
      </c>
      <c r="Z43" s="1">
        <v>1</v>
      </c>
      <c r="AA43" s="1">
        <v>1</v>
      </c>
      <c r="AB43" s="1">
        <v>0</v>
      </c>
      <c r="AC43" s="1">
        <v>1402</v>
      </c>
      <c r="AD43" s="1">
        <v>347</v>
      </c>
      <c r="AE43" s="1">
        <v>1</v>
      </c>
      <c r="AF43" s="1">
        <v>369</v>
      </c>
      <c r="AG43" s="1">
        <v>0</v>
      </c>
      <c r="AH43" s="1">
        <v>1494</v>
      </c>
      <c r="AI43" s="1">
        <v>223</v>
      </c>
      <c r="AJ43" s="1">
        <v>27</v>
      </c>
      <c r="AK43" s="1">
        <v>6409</v>
      </c>
      <c r="AL43" s="1">
        <v>0.2</v>
      </c>
      <c r="AM43" s="1">
        <v>1598</v>
      </c>
      <c r="AN43" s="1">
        <v>931</v>
      </c>
      <c r="AO43" s="1">
        <v>27</v>
      </c>
      <c r="AP43" s="1">
        <v>26758</v>
      </c>
      <c r="AQ43" s="1">
        <v>0.7</v>
      </c>
      <c r="AR43" s="1">
        <v>1730</v>
      </c>
      <c r="AS43" s="1">
        <v>801</v>
      </c>
      <c r="AT43" s="1">
        <v>145</v>
      </c>
      <c r="AU43" s="1">
        <v>123633</v>
      </c>
      <c r="AV43" s="1">
        <v>3.4</v>
      </c>
    </row>
    <row r="44" spans="1:48">
      <c r="A44" s="1" t="s">
        <v>279</v>
      </c>
      <c r="B44" s="1" t="s">
        <v>280</v>
      </c>
      <c r="C44" s="1">
        <v>0.98844100000000001</v>
      </c>
      <c r="D44" s="1">
        <v>1369</v>
      </c>
      <c r="E44" s="1">
        <v>9005</v>
      </c>
      <c r="F44" s="1">
        <v>316</v>
      </c>
      <c r="G44" s="1">
        <v>3029026</v>
      </c>
      <c r="H44" s="1">
        <v>69.8</v>
      </c>
      <c r="I44" s="1">
        <v>1594</v>
      </c>
      <c r="J44" s="1">
        <v>10507</v>
      </c>
      <c r="K44" s="1">
        <v>100</v>
      </c>
      <c r="L44" s="1">
        <v>1118436</v>
      </c>
      <c r="M44" s="1">
        <v>25.8</v>
      </c>
      <c r="N44" s="1">
        <v>1049</v>
      </c>
      <c r="O44" s="1">
        <v>513</v>
      </c>
      <c r="P44" s="1">
        <v>77</v>
      </c>
      <c r="Q44" s="1">
        <v>42048</v>
      </c>
      <c r="R44" s="1">
        <v>1</v>
      </c>
      <c r="S44" s="1">
        <v>1160</v>
      </c>
      <c r="T44" s="1">
        <v>13</v>
      </c>
      <c r="U44" s="1">
        <v>1</v>
      </c>
      <c r="V44" s="1">
        <v>14</v>
      </c>
      <c r="W44" s="1">
        <v>0</v>
      </c>
      <c r="X44" s="1">
        <v>1260</v>
      </c>
      <c r="Y44" s="1">
        <v>1</v>
      </c>
      <c r="Z44" s="1">
        <v>1</v>
      </c>
      <c r="AA44" s="1">
        <v>1</v>
      </c>
      <c r="AB44" s="1">
        <v>0</v>
      </c>
      <c r="AC44" s="1">
        <v>1402</v>
      </c>
      <c r="AD44" s="1">
        <v>563</v>
      </c>
      <c r="AE44" s="1">
        <v>3</v>
      </c>
      <c r="AF44" s="1">
        <v>1798</v>
      </c>
      <c r="AG44" s="1">
        <v>0</v>
      </c>
      <c r="AH44" s="1">
        <v>1506</v>
      </c>
      <c r="AI44" s="1">
        <v>135</v>
      </c>
      <c r="AJ44" s="1">
        <v>9</v>
      </c>
      <c r="AK44" s="1">
        <v>1293</v>
      </c>
      <c r="AL44" s="1">
        <v>0</v>
      </c>
      <c r="AM44" s="1">
        <v>1584</v>
      </c>
      <c r="AN44" s="1">
        <v>1171</v>
      </c>
      <c r="AO44" s="1">
        <v>1</v>
      </c>
      <c r="AP44" s="1">
        <v>1246</v>
      </c>
      <c r="AQ44" s="1">
        <v>0</v>
      </c>
      <c r="AR44" s="1">
        <v>1726</v>
      </c>
      <c r="AS44" s="1">
        <v>1131</v>
      </c>
      <c r="AT44" s="1">
        <v>121</v>
      </c>
      <c r="AU44" s="1">
        <v>145673</v>
      </c>
      <c r="AV44" s="1">
        <v>3.4</v>
      </c>
    </row>
    <row r="45" spans="1:48">
      <c r="A45" s="1" t="s">
        <v>281</v>
      </c>
      <c r="B45" s="1" t="s">
        <v>282</v>
      </c>
      <c r="C45" s="1">
        <v>0.99261600000000005</v>
      </c>
      <c r="D45" s="1">
        <v>1369</v>
      </c>
      <c r="E45" s="1">
        <v>12713</v>
      </c>
      <c r="F45" s="1">
        <v>334</v>
      </c>
      <c r="G45" s="1">
        <v>4519878</v>
      </c>
      <c r="H45" s="1">
        <v>71.099999999999994</v>
      </c>
      <c r="I45" s="1">
        <v>1594</v>
      </c>
      <c r="J45" s="1">
        <v>14859</v>
      </c>
      <c r="K45" s="1">
        <v>100</v>
      </c>
      <c r="L45" s="1">
        <v>1581692</v>
      </c>
      <c r="M45" s="1">
        <v>24.9</v>
      </c>
      <c r="N45" s="1">
        <v>1071</v>
      </c>
      <c r="O45" s="1">
        <v>543</v>
      </c>
      <c r="P45" s="1">
        <v>65</v>
      </c>
      <c r="Q45" s="1">
        <v>37570</v>
      </c>
      <c r="R45" s="1">
        <v>0.6</v>
      </c>
      <c r="S45" s="1">
        <v>1150</v>
      </c>
      <c r="T45" s="1">
        <v>63</v>
      </c>
      <c r="U45" s="1">
        <v>1</v>
      </c>
      <c r="V45" s="1">
        <v>67</v>
      </c>
      <c r="W45" s="1">
        <v>0</v>
      </c>
      <c r="X45" s="1">
        <v>1260</v>
      </c>
      <c r="Y45" s="1">
        <v>1</v>
      </c>
      <c r="Z45" s="1">
        <v>1</v>
      </c>
      <c r="AA45" s="1">
        <v>1</v>
      </c>
      <c r="AB45" s="1">
        <v>0</v>
      </c>
      <c r="AC45" s="1">
        <v>1402</v>
      </c>
      <c r="AD45" s="1">
        <v>113</v>
      </c>
      <c r="AE45" s="1">
        <v>97</v>
      </c>
      <c r="AF45" s="1">
        <v>11668</v>
      </c>
      <c r="AG45" s="1">
        <v>0.2</v>
      </c>
      <c r="AH45" s="1">
        <v>1488</v>
      </c>
      <c r="AI45" s="1">
        <v>235</v>
      </c>
      <c r="AJ45" s="1">
        <v>5</v>
      </c>
      <c r="AK45" s="1">
        <v>1251</v>
      </c>
      <c r="AL45" s="1">
        <v>0</v>
      </c>
      <c r="AM45" s="1">
        <v>1598</v>
      </c>
      <c r="AN45" s="1">
        <v>2177</v>
      </c>
      <c r="AO45" s="1">
        <v>27</v>
      </c>
      <c r="AP45" s="1">
        <v>62568</v>
      </c>
      <c r="AQ45" s="1">
        <v>1</v>
      </c>
      <c r="AR45" s="1">
        <v>1738</v>
      </c>
      <c r="AS45" s="1">
        <v>1047</v>
      </c>
      <c r="AT45" s="1">
        <v>127</v>
      </c>
      <c r="AU45" s="1">
        <v>141541</v>
      </c>
      <c r="AV45" s="1">
        <v>2.2000000000000002</v>
      </c>
    </row>
    <row r="46" spans="1:48">
      <c r="A46" s="1" t="s">
        <v>283</v>
      </c>
      <c r="B46" s="1" t="s">
        <v>284</v>
      </c>
      <c r="C46" s="1">
        <v>0.99353199999999997</v>
      </c>
      <c r="D46" s="1">
        <v>1369</v>
      </c>
      <c r="E46" s="1">
        <v>14543</v>
      </c>
      <c r="F46" s="1">
        <v>322</v>
      </c>
      <c r="G46" s="1">
        <v>4984735</v>
      </c>
      <c r="H46" s="1">
        <v>70.2</v>
      </c>
      <c r="I46" s="1">
        <v>1594</v>
      </c>
      <c r="J46" s="1">
        <v>17307</v>
      </c>
      <c r="K46" s="1">
        <v>100</v>
      </c>
      <c r="L46" s="1">
        <v>1842273</v>
      </c>
      <c r="M46" s="1">
        <v>26</v>
      </c>
      <c r="N46" s="1">
        <v>1053</v>
      </c>
      <c r="O46" s="1">
        <v>613</v>
      </c>
      <c r="P46" s="1">
        <v>89</v>
      </c>
      <c r="Q46" s="1">
        <v>58074</v>
      </c>
      <c r="R46" s="1">
        <v>0.8</v>
      </c>
      <c r="S46" s="1">
        <v>1156</v>
      </c>
      <c r="T46" s="1">
        <v>105</v>
      </c>
      <c r="U46" s="1">
        <v>25</v>
      </c>
      <c r="V46" s="1">
        <v>2794</v>
      </c>
      <c r="W46" s="1">
        <v>0</v>
      </c>
      <c r="X46" s="1">
        <v>1260</v>
      </c>
      <c r="Y46" s="1">
        <v>1</v>
      </c>
      <c r="Z46" s="1">
        <v>1</v>
      </c>
      <c r="AA46" s="1">
        <v>1</v>
      </c>
      <c r="AB46" s="1">
        <v>0</v>
      </c>
      <c r="AC46" s="1">
        <v>1402</v>
      </c>
      <c r="AD46" s="1">
        <v>73</v>
      </c>
      <c r="AE46" s="1">
        <v>1</v>
      </c>
      <c r="AF46" s="1">
        <v>78</v>
      </c>
      <c r="AG46" s="1">
        <v>0</v>
      </c>
      <c r="AH46" s="1">
        <v>1494</v>
      </c>
      <c r="AI46" s="1">
        <v>159</v>
      </c>
      <c r="AJ46" s="1">
        <v>21</v>
      </c>
      <c r="AK46" s="1">
        <v>3554</v>
      </c>
      <c r="AL46" s="1">
        <v>0.1</v>
      </c>
      <c r="AM46" s="1">
        <v>1590</v>
      </c>
      <c r="AN46" s="1">
        <v>2221</v>
      </c>
      <c r="AO46" s="1">
        <v>31</v>
      </c>
      <c r="AP46" s="1">
        <v>73290</v>
      </c>
      <c r="AQ46" s="1">
        <v>1</v>
      </c>
      <c r="AR46" s="1">
        <v>1728</v>
      </c>
      <c r="AS46" s="1">
        <v>1195</v>
      </c>
      <c r="AT46" s="1">
        <v>105</v>
      </c>
      <c r="AU46" s="1">
        <v>133564</v>
      </c>
      <c r="AV46" s="1">
        <v>1.9</v>
      </c>
    </row>
    <row r="47" spans="1:48">
      <c r="A47" s="1" t="s">
        <v>285</v>
      </c>
      <c r="B47" s="1" t="s">
        <v>286</v>
      </c>
      <c r="C47" s="1">
        <v>0.99266399999999999</v>
      </c>
      <c r="D47" s="1">
        <v>1369</v>
      </c>
      <c r="E47" s="1">
        <v>13187</v>
      </c>
      <c r="F47" s="1">
        <v>334</v>
      </c>
      <c r="G47" s="1">
        <v>4688400</v>
      </c>
      <c r="H47" s="1">
        <v>70.5</v>
      </c>
      <c r="I47" s="1">
        <v>1594</v>
      </c>
      <c r="J47" s="1">
        <v>15785</v>
      </c>
      <c r="K47" s="1">
        <v>100</v>
      </c>
      <c r="L47" s="1">
        <v>1680261</v>
      </c>
      <c r="M47" s="1">
        <v>25.2</v>
      </c>
      <c r="N47" s="1">
        <v>1055</v>
      </c>
      <c r="O47" s="1">
        <v>705</v>
      </c>
      <c r="P47" s="1">
        <v>85</v>
      </c>
      <c r="Q47" s="1">
        <v>63788</v>
      </c>
      <c r="R47" s="1">
        <v>1</v>
      </c>
      <c r="S47" s="1">
        <v>1170</v>
      </c>
      <c r="T47" s="1">
        <v>35</v>
      </c>
      <c r="U47" s="1">
        <v>1</v>
      </c>
      <c r="V47" s="1">
        <v>37</v>
      </c>
      <c r="W47" s="1">
        <v>0</v>
      </c>
      <c r="X47" s="1">
        <v>1260</v>
      </c>
      <c r="Y47" s="1">
        <v>1</v>
      </c>
      <c r="Z47" s="1">
        <v>1</v>
      </c>
      <c r="AA47" s="1">
        <v>1</v>
      </c>
      <c r="AB47" s="1">
        <v>0</v>
      </c>
      <c r="AC47" s="1">
        <v>1402</v>
      </c>
      <c r="AD47" s="1">
        <v>251</v>
      </c>
      <c r="AE47" s="1">
        <v>3</v>
      </c>
      <c r="AF47" s="1">
        <v>802</v>
      </c>
      <c r="AG47" s="1">
        <v>0</v>
      </c>
      <c r="AH47" s="1">
        <v>1494</v>
      </c>
      <c r="AI47" s="1">
        <v>133</v>
      </c>
      <c r="AJ47" s="1">
        <v>29</v>
      </c>
      <c r="AK47" s="1">
        <v>4106</v>
      </c>
      <c r="AL47" s="1">
        <v>0.1</v>
      </c>
      <c r="AM47" s="1">
        <v>1598</v>
      </c>
      <c r="AN47" s="1">
        <v>2141</v>
      </c>
      <c r="AO47" s="1">
        <v>29</v>
      </c>
      <c r="AP47" s="1">
        <v>66092</v>
      </c>
      <c r="AQ47" s="1">
        <v>1</v>
      </c>
      <c r="AR47" s="1">
        <v>1734</v>
      </c>
      <c r="AS47" s="1">
        <v>1215</v>
      </c>
      <c r="AT47" s="1">
        <v>117</v>
      </c>
      <c r="AU47" s="1">
        <v>151319</v>
      </c>
      <c r="AV47" s="1">
        <v>2.2999999999999998</v>
      </c>
    </row>
    <row r="48" spans="1:48">
      <c r="A48" s="1" t="s">
        <v>287</v>
      </c>
      <c r="B48" s="1" t="s">
        <v>288</v>
      </c>
      <c r="C48" s="1">
        <v>0.96382800000000002</v>
      </c>
      <c r="D48" s="1">
        <v>1369</v>
      </c>
      <c r="E48" s="1">
        <v>10099</v>
      </c>
      <c r="F48" s="1">
        <v>346</v>
      </c>
      <c r="G48" s="1">
        <v>3719518</v>
      </c>
      <c r="H48" s="1">
        <v>75.2</v>
      </c>
      <c r="I48" s="1">
        <v>1588</v>
      </c>
      <c r="J48" s="1">
        <v>9333</v>
      </c>
      <c r="K48" s="1">
        <v>100</v>
      </c>
      <c r="L48" s="1">
        <v>993467</v>
      </c>
      <c r="M48" s="1">
        <v>20.100000000000001</v>
      </c>
      <c r="N48" s="1">
        <v>1031</v>
      </c>
      <c r="O48" s="1">
        <v>305</v>
      </c>
      <c r="P48" s="1">
        <v>67</v>
      </c>
      <c r="Q48" s="1">
        <v>21752</v>
      </c>
      <c r="R48" s="1">
        <v>0.4</v>
      </c>
      <c r="S48" s="1">
        <v>1154</v>
      </c>
      <c r="T48" s="1">
        <v>1</v>
      </c>
      <c r="U48" s="1">
        <v>1</v>
      </c>
      <c r="V48" s="1">
        <v>1</v>
      </c>
      <c r="W48" s="1">
        <v>0</v>
      </c>
      <c r="X48" s="1">
        <v>1256</v>
      </c>
      <c r="Y48" s="1">
        <v>1</v>
      </c>
      <c r="Z48" s="1">
        <v>1</v>
      </c>
      <c r="AA48" s="1">
        <v>1</v>
      </c>
      <c r="AB48" s="1">
        <v>0</v>
      </c>
      <c r="AC48" s="1">
        <v>1416</v>
      </c>
      <c r="AD48" s="1">
        <v>1</v>
      </c>
      <c r="AE48" s="1">
        <v>1</v>
      </c>
      <c r="AF48" s="1">
        <v>1</v>
      </c>
      <c r="AG48" s="1">
        <v>0</v>
      </c>
      <c r="AH48" s="1">
        <v>1506</v>
      </c>
      <c r="AI48" s="1">
        <v>185</v>
      </c>
      <c r="AJ48" s="1">
        <v>43</v>
      </c>
      <c r="AK48" s="1">
        <v>8468</v>
      </c>
      <c r="AL48" s="1">
        <v>0.2</v>
      </c>
      <c r="AM48" s="1">
        <v>1598</v>
      </c>
      <c r="AN48" s="1">
        <v>523</v>
      </c>
      <c r="AO48" s="1">
        <v>27</v>
      </c>
      <c r="AP48" s="1">
        <v>15031</v>
      </c>
      <c r="AQ48" s="1">
        <v>0.3</v>
      </c>
      <c r="AR48" s="1">
        <v>1736</v>
      </c>
      <c r="AS48" s="1">
        <v>879</v>
      </c>
      <c r="AT48" s="1">
        <v>199</v>
      </c>
      <c r="AU48" s="1">
        <v>186198</v>
      </c>
      <c r="AV48" s="1">
        <v>3.8</v>
      </c>
    </row>
    <row r="49" spans="1:48">
      <c r="A49" s="1" t="s">
        <v>289</v>
      </c>
      <c r="B49" s="1" t="s">
        <v>290</v>
      </c>
      <c r="C49" s="1">
        <v>0.98556900000000003</v>
      </c>
      <c r="D49" s="1">
        <v>1367</v>
      </c>
      <c r="E49" s="1">
        <v>25397</v>
      </c>
      <c r="F49" s="1">
        <v>332</v>
      </c>
      <c r="G49" s="1">
        <v>8975377</v>
      </c>
      <c r="H49" s="1">
        <v>72.400000000000006</v>
      </c>
      <c r="I49" s="1">
        <v>1586</v>
      </c>
      <c r="J49" s="1">
        <v>24389</v>
      </c>
      <c r="K49" s="1">
        <v>104</v>
      </c>
      <c r="L49" s="1">
        <v>2699974</v>
      </c>
      <c r="M49" s="1">
        <v>21.8</v>
      </c>
      <c r="N49" s="1">
        <v>1037</v>
      </c>
      <c r="O49" s="1">
        <v>1051</v>
      </c>
      <c r="P49" s="1">
        <v>69</v>
      </c>
      <c r="Q49" s="1">
        <v>77194</v>
      </c>
      <c r="R49" s="1">
        <v>0.6</v>
      </c>
      <c r="S49" s="1">
        <v>1154</v>
      </c>
      <c r="T49" s="1">
        <v>1</v>
      </c>
      <c r="U49" s="1">
        <v>1</v>
      </c>
      <c r="V49" s="1">
        <v>1</v>
      </c>
      <c r="W49" s="1">
        <v>0</v>
      </c>
      <c r="X49" s="1">
        <v>1256</v>
      </c>
      <c r="Y49" s="1">
        <v>1</v>
      </c>
      <c r="Z49" s="1">
        <v>1</v>
      </c>
      <c r="AA49" s="1">
        <v>1</v>
      </c>
      <c r="AB49" s="1">
        <v>0</v>
      </c>
      <c r="AC49" s="1">
        <v>1456</v>
      </c>
      <c r="AD49" s="1">
        <v>389</v>
      </c>
      <c r="AE49" s="1">
        <v>3</v>
      </c>
      <c r="AF49" s="1">
        <v>1242</v>
      </c>
      <c r="AG49" s="1">
        <v>0</v>
      </c>
      <c r="AH49" s="1">
        <v>1496</v>
      </c>
      <c r="AI49" s="1">
        <v>1719</v>
      </c>
      <c r="AJ49" s="1">
        <v>35</v>
      </c>
      <c r="AK49" s="1">
        <v>64044</v>
      </c>
      <c r="AL49" s="1">
        <v>0.5</v>
      </c>
      <c r="AM49" s="1">
        <v>1598</v>
      </c>
      <c r="AN49" s="1">
        <v>1323</v>
      </c>
      <c r="AO49" s="1">
        <v>21</v>
      </c>
      <c r="AP49" s="1">
        <v>29574</v>
      </c>
      <c r="AQ49" s="1">
        <v>0.2</v>
      </c>
      <c r="AR49" s="1">
        <v>1730</v>
      </c>
      <c r="AS49" s="1">
        <v>3097</v>
      </c>
      <c r="AT49" s="1">
        <v>165</v>
      </c>
      <c r="AU49" s="1">
        <v>543948</v>
      </c>
      <c r="AV49" s="1">
        <v>4.4000000000000004</v>
      </c>
    </row>
    <row r="50" spans="1:48">
      <c r="A50" s="1" t="s">
        <v>291</v>
      </c>
      <c r="B50" s="1" t="s">
        <v>292</v>
      </c>
      <c r="C50" s="1">
        <v>0.86682499999999996</v>
      </c>
      <c r="D50" s="1">
        <v>1369</v>
      </c>
      <c r="E50" s="1">
        <v>1401</v>
      </c>
      <c r="F50" s="1">
        <v>350</v>
      </c>
      <c r="G50" s="1">
        <v>521961</v>
      </c>
      <c r="H50" s="1">
        <v>55.7</v>
      </c>
      <c r="I50" s="1">
        <v>1594</v>
      </c>
      <c r="J50" s="1">
        <v>2003</v>
      </c>
      <c r="K50" s="1">
        <v>146</v>
      </c>
      <c r="L50" s="1">
        <v>311291</v>
      </c>
      <c r="M50" s="1">
        <v>33.200000000000003</v>
      </c>
      <c r="N50" s="1">
        <v>1003</v>
      </c>
      <c r="O50" s="1">
        <v>253</v>
      </c>
      <c r="P50" s="1">
        <v>11</v>
      </c>
      <c r="Q50" s="1">
        <v>2962</v>
      </c>
      <c r="R50" s="1">
        <v>0.3</v>
      </c>
      <c r="S50" s="1">
        <v>1156</v>
      </c>
      <c r="T50" s="1">
        <v>1489</v>
      </c>
      <c r="U50" s="1">
        <v>13</v>
      </c>
      <c r="V50" s="1">
        <v>20605</v>
      </c>
      <c r="W50" s="1">
        <v>2.2000000000000002</v>
      </c>
      <c r="X50" s="1">
        <v>1256</v>
      </c>
      <c r="Y50" s="1">
        <v>1</v>
      </c>
      <c r="Z50" s="1">
        <v>1</v>
      </c>
      <c r="AA50" s="1">
        <v>1</v>
      </c>
      <c r="AB50" s="1">
        <v>0</v>
      </c>
      <c r="AC50" s="1">
        <v>1440</v>
      </c>
      <c r="AD50" s="1">
        <v>227</v>
      </c>
      <c r="AE50" s="1">
        <v>1</v>
      </c>
      <c r="AF50" s="1">
        <v>242</v>
      </c>
      <c r="AG50" s="1">
        <v>0</v>
      </c>
      <c r="AH50" s="1">
        <v>1518</v>
      </c>
      <c r="AI50" s="1">
        <v>1563</v>
      </c>
      <c r="AJ50" s="1">
        <v>17</v>
      </c>
      <c r="AK50" s="1">
        <v>28284</v>
      </c>
      <c r="AL50" s="1">
        <v>3</v>
      </c>
      <c r="AM50" s="1">
        <v>1598</v>
      </c>
      <c r="AN50" s="1">
        <v>45</v>
      </c>
      <c r="AO50" s="1">
        <v>21</v>
      </c>
      <c r="AP50" s="1">
        <v>1006</v>
      </c>
      <c r="AQ50" s="1">
        <v>0.1</v>
      </c>
      <c r="AR50" s="1">
        <v>1748</v>
      </c>
      <c r="AS50" s="1">
        <v>239</v>
      </c>
      <c r="AT50" s="1">
        <v>199</v>
      </c>
      <c r="AU50" s="1">
        <v>50627</v>
      </c>
      <c r="AV50" s="1">
        <v>5.4</v>
      </c>
    </row>
    <row r="51" spans="1:48">
      <c r="A51" s="1" t="s">
        <v>293</v>
      </c>
      <c r="B51" s="1" t="s">
        <v>294</v>
      </c>
      <c r="C51" s="1">
        <v>0.97986899999999999</v>
      </c>
      <c r="D51" s="1">
        <v>1367</v>
      </c>
      <c r="E51" s="1">
        <v>13503</v>
      </c>
      <c r="F51" s="1">
        <v>346</v>
      </c>
      <c r="G51" s="1">
        <v>4973230</v>
      </c>
      <c r="H51" s="1">
        <v>75.900000000000006</v>
      </c>
      <c r="I51" s="1">
        <v>1586</v>
      </c>
      <c r="J51" s="1">
        <v>11795</v>
      </c>
      <c r="K51" s="1">
        <v>104</v>
      </c>
      <c r="L51" s="1">
        <v>1305760</v>
      </c>
      <c r="M51" s="1">
        <v>19.899999999999999</v>
      </c>
      <c r="N51" s="1">
        <v>1025</v>
      </c>
      <c r="O51" s="1">
        <v>449</v>
      </c>
      <c r="P51" s="1">
        <v>73</v>
      </c>
      <c r="Q51" s="1">
        <v>34890</v>
      </c>
      <c r="R51" s="1">
        <v>0.5</v>
      </c>
      <c r="S51" s="1">
        <v>1154</v>
      </c>
      <c r="T51" s="1">
        <v>1</v>
      </c>
      <c r="U51" s="1">
        <v>1</v>
      </c>
      <c r="V51" s="1">
        <v>1</v>
      </c>
      <c r="W51" s="1">
        <v>0</v>
      </c>
      <c r="X51" s="1">
        <v>1256</v>
      </c>
      <c r="Y51" s="1">
        <v>1</v>
      </c>
      <c r="Z51" s="1">
        <v>1</v>
      </c>
      <c r="AA51" s="1">
        <v>1</v>
      </c>
      <c r="AB51" s="1">
        <v>0</v>
      </c>
      <c r="AC51" s="1">
        <v>1416</v>
      </c>
      <c r="AD51" s="1">
        <v>1</v>
      </c>
      <c r="AE51" s="1">
        <v>1</v>
      </c>
      <c r="AF51" s="1">
        <v>1</v>
      </c>
      <c r="AG51" s="1">
        <v>0</v>
      </c>
      <c r="AH51" s="1">
        <v>1502</v>
      </c>
      <c r="AI51" s="1">
        <v>1211</v>
      </c>
      <c r="AJ51" s="1">
        <v>21</v>
      </c>
      <c r="AK51" s="1">
        <v>27070</v>
      </c>
      <c r="AL51" s="1">
        <v>0.4</v>
      </c>
      <c r="AM51" s="1">
        <v>1596</v>
      </c>
      <c r="AN51" s="1">
        <v>489</v>
      </c>
      <c r="AO51" s="1">
        <v>23</v>
      </c>
      <c r="AP51" s="1">
        <v>11972</v>
      </c>
      <c r="AQ51" s="1">
        <v>0.2</v>
      </c>
      <c r="AR51" s="1">
        <v>1736</v>
      </c>
      <c r="AS51" s="1">
        <v>1053</v>
      </c>
      <c r="AT51" s="1">
        <v>181</v>
      </c>
      <c r="AU51" s="1">
        <v>202880</v>
      </c>
      <c r="AV51" s="1">
        <v>3.1</v>
      </c>
    </row>
    <row r="52" spans="1:48">
      <c r="A52" s="1" t="s">
        <v>295</v>
      </c>
      <c r="B52" s="1" t="s">
        <v>296</v>
      </c>
      <c r="C52" s="1">
        <v>0.980267</v>
      </c>
      <c r="D52" s="1">
        <v>1367</v>
      </c>
      <c r="E52" s="1">
        <v>15739</v>
      </c>
      <c r="F52" s="1">
        <v>348</v>
      </c>
      <c r="G52" s="1">
        <v>5830269</v>
      </c>
      <c r="H52" s="1">
        <v>75.7</v>
      </c>
      <c r="I52" s="1">
        <v>1586</v>
      </c>
      <c r="J52" s="1">
        <v>13501</v>
      </c>
      <c r="K52" s="1">
        <v>106</v>
      </c>
      <c r="L52" s="1">
        <v>1523365</v>
      </c>
      <c r="M52" s="1">
        <v>19.8</v>
      </c>
      <c r="N52" s="1">
        <v>1045</v>
      </c>
      <c r="O52" s="1">
        <v>543</v>
      </c>
      <c r="P52" s="1">
        <v>43</v>
      </c>
      <c r="Q52" s="1">
        <v>24854</v>
      </c>
      <c r="R52" s="1">
        <v>0.3</v>
      </c>
      <c r="S52" s="1">
        <v>1154</v>
      </c>
      <c r="T52" s="1">
        <v>1</v>
      </c>
      <c r="U52" s="1">
        <v>1</v>
      </c>
      <c r="V52" s="1">
        <v>1</v>
      </c>
      <c r="W52" s="1">
        <v>0</v>
      </c>
      <c r="X52" s="1">
        <v>1256</v>
      </c>
      <c r="Y52" s="1">
        <v>1</v>
      </c>
      <c r="Z52" s="1">
        <v>1</v>
      </c>
      <c r="AA52" s="1">
        <v>1</v>
      </c>
      <c r="AB52" s="1">
        <v>0</v>
      </c>
      <c r="AC52" s="1">
        <v>1458</v>
      </c>
      <c r="AD52" s="1">
        <v>115</v>
      </c>
      <c r="AE52" s="1">
        <v>187</v>
      </c>
      <c r="AF52" s="1">
        <v>22891</v>
      </c>
      <c r="AG52" s="1">
        <v>0.3</v>
      </c>
      <c r="AH52" s="1">
        <v>1494</v>
      </c>
      <c r="AI52" s="1">
        <v>595</v>
      </c>
      <c r="AJ52" s="1">
        <v>33</v>
      </c>
      <c r="AK52" s="1">
        <v>20901</v>
      </c>
      <c r="AL52" s="1">
        <v>0.3</v>
      </c>
      <c r="AM52" s="1">
        <v>1598</v>
      </c>
      <c r="AN52" s="1">
        <v>771</v>
      </c>
      <c r="AO52" s="1">
        <v>17</v>
      </c>
      <c r="AP52" s="1">
        <v>13952</v>
      </c>
      <c r="AQ52" s="1">
        <v>0.2</v>
      </c>
      <c r="AR52" s="1">
        <v>1748</v>
      </c>
      <c r="AS52" s="1">
        <v>1257</v>
      </c>
      <c r="AT52" s="1">
        <v>199</v>
      </c>
      <c r="AU52" s="1">
        <v>266269</v>
      </c>
      <c r="AV52" s="1">
        <v>3.5</v>
      </c>
    </row>
    <row r="53" spans="1:48">
      <c r="A53" s="1" t="s">
        <v>297</v>
      </c>
      <c r="B53" s="1" t="s">
        <v>298</v>
      </c>
      <c r="C53" s="1">
        <v>0.97745800000000005</v>
      </c>
      <c r="D53" s="1">
        <v>1369</v>
      </c>
      <c r="E53" s="1">
        <v>1955</v>
      </c>
      <c r="F53" s="1">
        <v>292</v>
      </c>
      <c r="G53" s="1">
        <v>607662</v>
      </c>
      <c r="H53" s="1">
        <v>67.099999999999994</v>
      </c>
      <c r="I53" s="1">
        <v>1598</v>
      </c>
      <c r="J53" s="1">
        <v>2065</v>
      </c>
      <c r="K53" s="1">
        <v>100</v>
      </c>
      <c r="L53" s="1">
        <v>219812</v>
      </c>
      <c r="M53" s="1">
        <v>24.3</v>
      </c>
      <c r="N53" s="1">
        <v>1063</v>
      </c>
      <c r="O53" s="1">
        <v>225</v>
      </c>
      <c r="P53" s="1">
        <v>147</v>
      </c>
      <c r="Q53" s="1">
        <v>35207</v>
      </c>
      <c r="R53" s="1">
        <v>3.9</v>
      </c>
      <c r="S53" s="1">
        <v>1174</v>
      </c>
      <c r="T53" s="1">
        <v>59</v>
      </c>
      <c r="U53" s="1">
        <v>7</v>
      </c>
      <c r="V53" s="1">
        <v>440</v>
      </c>
      <c r="W53" s="1">
        <v>0</v>
      </c>
      <c r="X53" s="1">
        <v>1296</v>
      </c>
      <c r="Y53" s="1">
        <v>87</v>
      </c>
      <c r="Z53" s="1">
        <v>3</v>
      </c>
      <c r="AA53" s="1">
        <v>278</v>
      </c>
      <c r="AB53" s="1">
        <v>0</v>
      </c>
      <c r="AC53" s="1">
        <v>1402</v>
      </c>
      <c r="AD53" s="1">
        <v>71</v>
      </c>
      <c r="AE53" s="1">
        <v>17</v>
      </c>
      <c r="AF53" s="1">
        <v>1285</v>
      </c>
      <c r="AG53" s="1">
        <v>0.1</v>
      </c>
      <c r="AH53" s="1">
        <v>1500</v>
      </c>
      <c r="AI53" s="1">
        <v>79</v>
      </c>
      <c r="AJ53" s="1">
        <v>1</v>
      </c>
      <c r="AK53" s="1">
        <v>84</v>
      </c>
      <c r="AL53" s="1">
        <v>0</v>
      </c>
      <c r="AM53" s="1">
        <v>1598</v>
      </c>
      <c r="AN53" s="1">
        <v>275</v>
      </c>
      <c r="AO53" s="1">
        <v>21</v>
      </c>
      <c r="AP53" s="1">
        <v>6147</v>
      </c>
      <c r="AQ53" s="1">
        <v>0.7</v>
      </c>
      <c r="AR53" s="1">
        <v>1748</v>
      </c>
      <c r="AS53" s="1">
        <v>195</v>
      </c>
      <c r="AT53" s="1">
        <v>167</v>
      </c>
      <c r="AU53" s="1">
        <v>34664</v>
      </c>
      <c r="AV53" s="1">
        <v>3.8</v>
      </c>
    </row>
    <row r="54" spans="1:48">
      <c r="A54" s="1" t="s">
        <v>299</v>
      </c>
      <c r="B54" s="1" t="s">
        <v>300</v>
      </c>
      <c r="C54" s="1">
        <v>0.98129599999999995</v>
      </c>
      <c r="D54" s="1">
        <v>1355</v>
      </c>
      <c r="E54" s="1">
        <v>2081</v>
      </c>
      <c r="F54" s="1">
        <v>282</v>
      </c>
      <c r="G54" s="1">
        <v>624674</v>
      </c>
      <c r="H54" s="1">
        <v>66.8</v>
      </c>
      <c r="I54" s="1">
        <v>1594</v>
      </c>
      <c r="J54" s="1">
        <v>2195</v>
      </c>
      <c r="K54" s="1">
        <v>100</v>
      </c>
      <c r="L54" s="1">
        <v>233651</v>
      </c>
      <c r="M54" s="1">
        <v>25</v>
      </c>
      <c r="N54" s="1">
        <v>1053</v>
      </c>
      <c r="O54" s="1">
        <v>129</v>
      </c>
      <c r="P54" s="1">
        <v>133</v>
      </c>
      <c r="Q54" s="1">
        <v>18263</v>
      </c>
      <c r="R54" s="1">
        <v>2</v>
      </c>
      <c r="S54" s="1">
        <v>1152</v>
      </c>
      <c r="T54" s="1">
        <v>19</v>
      </c>
      <c r="U54" s="1">
        <v>7</v>
      </c>
      <c r="V54" s="1">
        <v>142</v>
      </c>
      <c r="W54" s="1">
        <v>0</v>
      </c>
      <c r="X54" s="1">
        <v>1290</v>
      </c>
      <c r="Y54" s="1">
        <v>1</v>
      </c>
      <c r="Z54" s="1">
        <v>1</v>
      </c>
      <c r="AA54" s="1">
        <v>1</v>
      </c>
      <c r="AB54" s="1">
        <v>0</v>
      </c>
      <c r="AC54" s="1">
        <v>1402</v>
      </c>
      <c r="AD54" s="1">
        <v>5</v>
      </c>
      <c r="AE54" s="1">
        <v>151</v>
      </c>
      <c r="AF54" s="1">
        <v>804</v>
      </c>
      <c r="AG54" s="1">
        <v>0.1</v>
      </c>
      <c r="AH54" s="1">
        <v>1528</v>
      </c>
      <c r="AI54" s="1">
        <v>31</v>
      </c>
      <c r="AJ54" s="1">
        <v>13</v>
      </c>
      <c r="AK54" s="1">
        <v>429</v>
      </c>
      <c r="AL54" s="1">
        <v>0</v>
      </c>
      <c r="AM54" s="1">
        <v>1598</v>
      </c>
      <c r="AN54" s="1">
        <v>215</v>
      </c>
      <c r="AO54" s="1">
        <v>27</v>
      </c>
      <c r="AP54" s="1">
        <v>6179</v>
      </c>
      <c r="AQ54" s="1">
        <v>0.7</v>
      </c>
      <c r="AR54" s="1">
        <v>1738</v>
      </c>
      <c r="AS54" s="1">
        <v>255</v>
      </c>
      <c r="AT54" s="1">
        <v>187</v>
      </c>
      <c r="AU54" s="1">
        <v>50759</v>
      </c>
      <c r="AV54" s="1">
        <v>5.4</v>
      </c>
    </row>
    <row r="55" spans="1:48">
      <c r="A55" s="1" t="s">
        <v>301</v>
      </c>
      <c r="B55" s="1" t="s">
        <v>302</v>
      </c>
      <c r="C55" s="1">
        <v>0.965534</v>
      </c>
      <c r="D55" s="1">
        <v>1369</v>
      </c>
      <c r="E55" s="1">
        <v>2569</v>
      </c>
      <c r="F55" s="1">
        <v>352</v>
      </c>
      <c r="G55" s="1">
        <v>962585</v>
      </c>
      <c r="H55" s="1">
        <v>70.5</v>
      </c>
      <c r="I55" s="1">
        <v>1598</v>
      </c>
      <c r="J55" s="1">
        <v>2363</v>
      </c>
      <c r="K55" s="1">
        <v>100</v>
      </c>
      <c r="L55" s="1">
        <v>251534</v>
      </c>
      <c r="M55" s="1">
        <v>18.399999999999999</v>
      </c>
      <c r="N55" s="1">
        <v>1067</v>
      </c>
      <c r="O55" s="1">
        <v>257</v>
      </c>
      <c r="P55" s="1">
        <v>105</v>
      </c>
      <c r="Q55" s="1">
        <v>28725</v>
      </c>
      <c r="R55" s="1">
        <v>2.1</v>
      </c>
      <c r="S55" s="1">
        <v>1150</v>
      </c>
      <c r="T55" s="1">
        <v>31</v>
      </c>
      <c r="U55" s="1">
        <v>1</v>
      </c>
      <c r="V55" s="1">
        <v>33</v>
      </c>
      <c r="W55" s="1">
        <v>0</v>
      </c>
      <c r="X55" s="1">
        <v>1296</v>
      </c>
      <c r="Y55" s="1">
        <v>209</v>
      </c>
      <c r="Z55" s="1">
        <v>31</v>
      </c>
      <c r="AA55" s="1">
        <v>6897</v>
      </c>
      <c r="AB55" s="1">
        <v>0.5</v>
      </c>
      <c r="AC55" s="1">
        <v>1402</v>
      </c>
      <c r="AD55" s="1">
        <v>265</v>
      </c>
      <c r="AE55" s="1">
        <v>45</v>
      </c>
      <c r="AF55" s="1">
        <v>12694</v>
      </c>
      <c r="AG55" s="1">
        <v>0.9</v>
      </c>
      <c r="AH55" s="1">
        <v>1494</v>
      </c>
      <c r="AI55" s="1">
        <v>13</v>
      </c>
      <c r="AJ55" s="1">
        <v>1</v>
      </c>
      <c r="AK55" s="1">
        <v>14</v>
      </c>
      <c r="AL55" s="1">
        <v>0</v>
      </c>
      <c r="AM55" s="1">
        <v>1598</v>
      </c>
      <c r="AN55" s="1">
        <v>515</v>
      </c>
      <c r="AO55" s="1">
        <v>31</v>
      </c>
      <c r="AP55" s="1">
        <v>16994</v>
      </c>
      <c r="AQ55" s="1">
        <v>1.2</v>
      </c>
      <c r="AR55" s="1">
        <v>1748</v>
      </c>
      <c r="AS55" s="1">
        <v>405</v>
      </c>
      <c r="AT55" s="1">
        <v>199</v>
      </c>
      <c r="AU55" s="1">
        <v>85791</v>
      </c>
      <c r="AV55" s="1">
        <v>6.3</v>
      </c>
    </row>
    <row r="56" spans="1:48">
      <c r="A56" s="1" t="s">
        <v>303</v>
      </c>
      <c r="B56" s="1" t="s">
        <v>304</v>
      </c>
      <c r="C56" s="1">
        <v>0.98390100000000003</v>
      </c>
      <c r="D56" s="1">
        <v>1359</v>
      </c>
      <c r="E56" s="1">
        <v>1819</v>
      </c>
      <c r="F56" s="1">
        <v>266</v>
      </c>
      <c r="G56" s="1">
        <v>515047</v>
      </c>
      <c r="H56" s="1">
        <v>63.7</v>
      </c>
      <c r="I56" s="1">
        <v>1596</v>
      </c>
      <c r="J56" s="1">
        <v>1973</v>
      </c>
      <c r="K56" s="1">
        <v>100</v>
      </c>
      <c r="L56" s="1">
        <v>210019</v>
      </c>
      <c r="M56" s="1">
        <v>26</v>
      </c>
      <c r="N56" s="1">
        <v>1071</v>
      </c>
      <c r="O56" s="1">
        <v>163</v>
      </c>
      <c r="P56" s="1">
        <v>129</v>
      </c>
      <c r="Q56" s="1">
        <v>22383</v>
      </c>
      <c r="R56" s="1">
        <v>2.8</v>
      </c>
      <c r="S56" s="1">
        <v>1150</v>
      </c>
      <c r="T56" s="1">
        <v>69</v>
      </c>
      <c r="U56" s="1">
        <v>43</v>
      </c>
      <c r="V56" s="1">
        <v>3158</v>
      </c>
      <c r="W56" s="1">
        <v>0.4</v>
      </c>
      <c r="X56" s="1">
        <v>1260</v>
      </c>
      <c r="Y56" s="1">
        <v>1</v>
      </c>
      <c r="Z56" s="1">
        <v>1</v>
      </c>
      <c r="AA56" s="1">
        <v>1</v>
      </c>
      <c r="AB56" s="1">
        <v>0</v>
      </c>
      <c r="AC56" s="1">
        <v>1402</v>
      </c>
      <c r="AD56" s="1">
        <v>97</v>
      </c>
      <c r="AE56" s="1">
        <v>129</v>
      </c>
      <c r="AF56" s="1">
        <v>13320</v>
      </c>
      <c r="AG56" s="1">
        <v>1.6</v>
      </c>
      <c r="AH56" s="1">
        <v>1494</v>
      </c>
      <c r="AI56" s="1">
        <v>79</v>
      </c>
      <c r="AJ56" s="1">
        <v>27</v>
      </c>
      <c r="AK56" s="1">
        <v>2271</v>
      </c>
      <c r="AL56" s="1">
        <v>0.3</v>
      </c>
      <c r="AM56" s="1">
        <v>1594</v>
      </c>
      <c r="AN56" s="1">
        <v>257</v>
      </c>
      <c r="AO56" s="1">
        <v>5</v>
      </c>
      <c r="AP56" s="1">
        <v>1368</v>
      </c>
      <c r="AQ56" s="1">
        <v>0.2</v>
      </c>
      <c r="AR56" s="1">
        <v>1734</v>
      </c>
      <c r="AS56" s="1">
        <v>215</v>
      </c>
      <c r="AT56" s="1">
        <v>177</v>
      </c>
      <c r="AU56" s="1">
        <v>40508</v>
      </c>
      <c r="AV56" s="1">
        <v>5</v>
      </c>
    </row>
    <row r="57" spans="1:48">
      <c r="A57" s="1" t="s">
        <v>305</v>
      </c>
      <c r="B57" s="1" t="s">
        <v>306</v>
      </c>
      <c r="C57" s="1">
        <v>0.97917100000000001</v>
      </c>
      <c r="D57" s="1">
        <v>1369</v>
      </c>
      <c r="E57" s="1">
        <v>2421</v>
      </c>
      <c r="F57" s="1">
        <v>306</v>
      </c>
      <c r="G57" s="1">
        <v>788585</v>
      </c>
      <c r="H57" s="1">
        <v>66</v>
      </c>
      <c r="I57" s="1">
        <v>1598</v>
      </c>
      <c r="J57" s="1">
        <v>2549</v>
      </c>
      <c r="K57" s="1">
        <v>100</v>
      </c>
      <c r="L57" s="1">
        <v>271333</v>
      </c>
      <c r="M57" s="1">
        <v>22.7</v>
      </c>
      <c r="N57" s="1">
        <v>1049</v>
      </c>
      <c r="O57" s="1">
        <v>271</v>
      </c>
      <c r="P57" s="1">
        <v>153</v>
      </c>
      <c r="Q57" s="1">
        <v>44136</v>
      </c>
      <c r="R57" s="1">
        <v>3.7</v>
      </c>
      <c r="S57" s="1">
        <v>1174</v>
      </c>
      <c r="T57" s="1">
        <v>29</v>
      </c>
      <c r="U57" s="1">
        <v>3</v>
      </c>
      <c r="V57" s="1">
        <v>93</v>
      </c>
      <c r="W57" s="1">
        <v>0</v>
      </c>
      <c r="X57" s="1">
        <v>1296</v>
      </c>
      <c r="Y57" s="1">
        <v>69</v>
      </c>
      <c r="Z57" s="1">
        <v>95</v>
      </c>
      <c r="AA57" s="1">
        <v>6978</v>
      </c>
      <c r="AB57" s="1">
        <v>0.6</v>
      </c>
      <c r="AC57" s="1">
        <v>1402</v>
      </c>
      <c r="AD57" s="1">
        <v>213</v>
      </c>
      <c r="AE57" s="1">
        <v>89</v>
      </c>
      <c r="AF57" s="1">
        <v>20179</v>
      </c>
      <c r="AG57" s="1">
        <v>1.7</v>
      </c>
      <c r="AH57" s="1">
        <v>1516</v>
      </c>
      <c r="AI57" s="1">
        <v>35</v>
      </c>
      <c r="AJ57" s="1">
        <v>3</v>
      </c>
      <c r="AK57" s="1">
        <v>112</v>
      </c>
      <c r="AL57" s="1">
        <v>0</v>
      </c>
      <c r="AM57" s="1">
        <v>1598</v>
      </c>
      <c r="AN57" s="1">
        <v>367</v>
      </c>
      <c r="AO57" s="1">
        <v>25</v>
      </c>
      <c r="AP57" s="1">
        <v>9766</v>
      </c>
      <c r="AQ57" s="1">
        <v>0.8</v>
      </c>
      <c r="AR57" s="1">
        <v>1736</v>
      </c>
      <c r="AS57" s="1">
        <v>353</v>
      </c>
      <c r="AT57" s="1">
        <v>141</v>
      </c>
      <c r="AU57" s="1">
        <v>52982</v>
      </c>
      <c r="AV57" s="1">
        <v>4.4000000000000004</v>
      </c>
    </row>
    <row r="58" spans="1:48">
      <c r="A58" s="1" t="s">
        <v>307</v>
      </c>
      <c r="B58" s="1" t="s">
        <v>308</v>
      </c>
      <c r="C58" s="1">
        <v>0.98484400000000005</v>
      </c>
      <c r="D58" s="1">
        <v>1369</v>
      </c>
      <c r="E58" s="1">
        <v>8037</v>
      </c>
      <c r="F58" s="1">
        <v>352</v>
      </c>
      <c r="G58" s="1">
        <v>3011403</v>
      </c>
      <c r="H58" s="1">
        <v>74.7</v>
      </c>
      <c r="I58" s="1">
        <v>1586</v>
      </c>
      <c r="J58" s="1">
        <v>7515</v>
      </c>
      <c r="K58" s="1">
        <v>106</v>
      </c>
      <c r="L58" s="1">
        <v>847944</v>
      </c>
      <c r="M58" s="1">
        <v>21</v>
      </c>
      <c r="N58" s="1">
        <v>1025</v>
      </c>
      <c r="O58" s="1">
        <v>373</v>
      </c>
      <c r="P58" s="1">
        <v>45</v>
      </c>
      <c r="Q58" s="1">
        <v>17867</v>
      </c>
      <c r="R58" s="1">
        <v>0.4</v>
      </c>
      <c r="S58" s="1">
        <v>1154</v>
      </c>
      <c r="T58" s="1">
        <v>1</v>
      </c>
      <c r="U58" s="1">
        <v>1</v>
      </c>
      <c r="V58" s="1">
        <v>1</v>
      </c>
      <c r="W58" s="1">
        <v>0</v>
      </c>
      <c r="X58" s="1">
        <v>1256</v>
      </c>
      <c r="Y58" s="1">
        <v>1</v>
      </c>
      <c r="Z58" s="1">
        <v>1</v>
      </c>
      <c r="AA58" s="1">
        <v>1</v>
      </c>
      <c r="AB58" s="1">
        <v>0</v>
      </c>
      <c r="AC58" s="1">
        <v>1402</v>
      </c>
      <c r="AD58" s="1">
        <v>133</v>
      </c>
      <c r="AE58" s="1">
        <v>1</v>
      </c>
      <c r="AF58" s="1">
        <v>142</v>
      </c>
      <c r="AG58" s="1">
        <v>0</v>
      </c>
      <c r="AH58" s="1">
        <v>1498</v>
      </c>
      <c r="AI58" s="1">
        <v>251</v>
      </c>
      <c r="AJ58" s="1">
        <v>29</v>
      </c>
      <c r="AK58" s="1">
        <v>7748</v>
      </c>
      <c r="AL58" s="1">
        <v>0.2</v>
      </c>
      <c r="AM58" s="1">
        <v>1598</v>
      </c>
      <c r="AN58" s="1">
        <v>315</v>
      </c>
      <c r="AO58" s="1">
        <v>19</v>
      </c>
      <c r="AP58" s="1">
        <v>6371</v>
      </c>
      <c r="AQ58" s="1">
        <v>0.2</v>
      </c>
      <c r="AR58" s="1">
        <v>1748</v>
      </c>
      <c r="AS58" s="1">
        <v>663</v>
      </c>
      <c r="AT58" s="1">
        <v>197</v>
      </c>
      <c r="AU58" s="1">
        <v>139031</v>
      </c>
      <c r="AV58" s="1">
        <v>3.4</v>
      </c>
    </row>
    <row r="59" spans="1:48">
      <c r="A59" s="1" t="s">
        <v>309</v>
      </c>
      <c r="B59" s="1" t="s">
        <v>310</v>
      </c>
      <c r="C59" s="1">
        <v>0.59976600000000002</v>
      </c>
      <c r="D59" s="1">
        <v>1369</v>
      </c>
      <c r="E59" s="1">
        <v>681</v>
      </c>
      <c r="F59" s="1">
        <v>152</v>
      </c>
      <c r="G59" s="1">
        <v>110185</v>
      </c>
      <c r="H59" s="1">
        <v>0.7</v>
      </c>
      <c r="I59" s="1">
        <v>1592</v>
      </c>
      <c r="J59" s="1">
        <v>83049</v>
      </c>
      <c r="K59" s="1">
        <v>110</v>
      </c>
      <c r="L59" s="1">
        <v>9724322</v>
      </c>
      <c r="M59" s="1">
        <v>65.8</v>
      </c>
      <c r="N59" s="1">
        <v>1003</v>
      </c>
      <c r="O59" s="1">
        <v>1</v>
      </c>
      <c r="P59" s="1">
        <v>1</v>
      </c>
      <c r="Q59" s="1">
        <v>1</v>
      </c>
      <c r="R59" s="1">
        <v>0</v>
      </c>
      <c r="S59" s="1">
        <v>1154</v>
      </c>
      <c r="T59" s="1">
        <v>1</v>
      </c>
      <c r="U59" s="1">
        <v>1</v>
      </c>
      <c r="V59" s="1">
        <v>1</v>
      </c>
      <c r="W59" s="1">
        <v>0</v>
      </c>
      <c r="X59" s="1">
        <v>1256</v>
      </c>
      <c r="Y59" s="1">
        <v>1</v>
      </c>
      <c r="Z59" s="1">
        <v>1</v>
      </c>
      <c r="AA59" s="1">
        <v>1</v>
      </c>
      <c r="AB59" s="1">
        <v>0</v>
      </c>
      <c r="AC59" s="1">
        <v>1432</v>
      </c>
      <c r="AD59" s="1">
        <v>9999</v>
      </c>
      <c r="AE59" s="1">
        <v>145</v>
      </c>
      <c r="AF59" s="1">
        <v>1543323</v>
      </c>
      <c r="AG59" s="1">
        <v>10.4</v>
      </c>
      <c r="AH59" s="1">
        <v>1480</v>
      </c>
      <c r="AI59" s="1">
        <v>9999</v>
      </c>
      <c r="AJ59" s="1">
        <v>147</v>
      </c>
      <c r="AK59" s="1">
        <v>1564610</v>
      </c>
      <c r="AL59" s="1">
        <v>10.6</v>
      </c>
      <c r="AM59" s="1">
        <v>1594</v>
      </c>
      <c r="AN59" s="1">
        <v>4181</v>
      </c>
      <c r="AO59" s="1">
        <v>21</v>
      </c>
      <c r="AP59" s="1">
        <v>93461</v>
      </c>
      <c r="AQ59" s="1">
        <v>0.6</v>
      </c>
      <c r="AR59" s="1">
        <v>1736</v>
      </c>
      <c r="AS59" s="1">
        <v>9999</v>
      </c>
      <c r="AT59" s="1">
        <v>163</v>
      </c>
      <c r="AU59" s="1">
        <v>1734908</v>
      </c>
      <c r="AV59" s="1">
        <v>11.7</v>
      </c>
    </row>
    <row r="60" spans="1:48">
      <c r="A60" s="1" t="s">
        <v>311</v>
      </c>
      <c r="B60" s="1" t="s">
        <v>312</v>
      </c>
      <c r="C60" s="1">
        <v>-0.52787399999999995</v>
      </c>
      <c r="D60" s="1">
        <v>1335</v>
      </c>
      <c r="E60" s="1">
        <v>1</v>
      </c>
      <c r="F60" s="1">
        <v>100</v>
      </c>
      <c r="G60" s="1">
        <v>106</v>
      </c>
      <c r="H60" s="1">
        <v>0</v>
      </c>
      <c r="I60" s="1">
        <v>1598</v>
      </c>
      <c r="J60" s="1">
        <v>20063</v>
      </c>
      <c r="K60" s="1">
        <v>100</v>
      </c>
      <c r="L60" s="1">
        <v>2135640</v>
      </c>
      <c r="M60" s="1">
        <v>84.4</v>
      </c>
      <c r="N60" s="1">
        <v>1003</v>
      </c>
      <c r="O60" s="1">
        <v>1</v>
      </c>
      <c r="P60" s="1">
        <v>1</v>
      </c>
      <c r="Q60" s="1">
        <v>1</v>
      </c>
      <c r="R60" s="1">
        <v>0</v>
      </c>
      <c r="S60" s="1">
        <v>1154</v>
      </c>
      <c r="T60" s="1">
        <v>1</v>
      </c>
      <c r="U60" s="1">
        <v>1</v>
      </c>
      <c r="V60" s="1">
        <v>1</v>
      </c>
      <c r="W60" s="1">
        <v>0</v>
      </c>
      <c r="X60" s="1">
        <v>1256</v>
      </c>
      <c r="Y60" s="1">
        <v>1</v>
      </c>
      <c r="Z60" s="1">
        <v>1</v>
      </c>
      <c r="AA60" s="1">
        <v>1</v>
      </c>
      <c r="AB60" s="1">
        <v>0</v>
      </c>
      <c r="AC60" s="1">
        <v>1416</v>
      </c>
      <c r="AD60" s="1">
        <v>1</v>
      </c>
      <c r="AE60" s="1">
        <v>1</v>
      </c>
      <c r="AF60" s="1">
        <v>1</v>
      </c>
      <c r="AG60" s="1">
        <v>0</v>
      </c>
      <c r="AH60" s="1">
        <v>1492</v>
      </c>
      <c r="AI60" s="1">
        <v>1</v>
      </c>
      <c r="AJ60" s="1">
        <v>1</v>
      </c>
      <c r="AK60" s="1">
        <v>1</v>
      </c>
      <c r="AL60" s="1">
        <v>0</v>
      </c>
      <c r="AM60" s="1">
        <v>1592</v>
      </c>
      <c r="AN60" s="1">
        <v>9999</v>
      </c>
      <c r="AO60" s="1">
        <v>37</v>
      </c>
      <c r="AP60" s="1">
        <v>393813</v>
      </c>
      <c r="AQ60" s="1">
        <v>15.6</v>
      </c>
      <c r="AR60" s="1">
        <v>1710</v>
      </c>
      <c r="AS60" s="1">
        <v>1</v>
      </c>
      <c r="AT60" s="1">
        <v>1</v>
      </c>
      <c r="AU60" s="1">
        <v>1</v>
      </c>
      <c r="AV60" s="1">
        <v>0</v>
      </c>
    </row>
    <row r="61" spans="1:48">
      <c r="A61" s="1" t="s">
        <v>313</v>
      </c>
      <c r="B61" s="1" t="s">
        <v>314</v>
      </c>
      <c r="C61" s="1">
        <v>0.98081300000000005</v>
      </c>
      <c r="D61" s="1">
        <v>1369</v>
      </c>
      <c r="E61" s="1">
        <v>11673</v>
      </c>
      <c r="F61" s="1">
        <v>328</v>
      </c>
      <c r="G61" s="1">
        <v>4075572</v>
      </c>
      <c r="H61" s="1">
        <v>68.2</v>
      </c>
      <c r="I61" s="1">
        <v>1588</v>
      </c>
      <c r="J61" s="1">
        <v>12913</v>
      </c>
      <c r="K61" s="1">
        <v>116</v>
      </c>
      <c r="L61" s="1">
        <v>1594474</v>
      </c>
      <c r="M61" s="1">
        <v>26.7</v>
      </c>
      <c r="N61" s="1">
        <v>1035</v>
      </c>
      <c r="O61" s="1">
        <v>451</v>
      </c>
      <c r="P61" s="1">
        <v>51</v>
      </c>
      <c r="Q61" s="1">
        <v>24484</v>
      </c>
      <c r="R61" s="1">
        <v>0.4</v>
      </c>
      <c r="S61" s="1">
        <v>1154</v>
      </c>
      <c r="T61" s="1">
        <v>1</v>
      </c>
      <c r="U61" s="1">
        <v>1</v>
      </c>
      <c r="V61" s="1">
        <v>1</v>
      </c>
      <c r="W61" s="1">
        <v>0</v>
      </c>
      <c r="X61" s="1">
        <v>1256</v>
      </c>
      <c r="Y61" s="1">
        <v>1</v>
      </c>
      <c r="Z61" s="1">
        <v>1</v>
      </c>
      <c r="AA61" s="1">
        <v>1</v>
      </c>
      <c r="AB61" s="1">
        <v>0</v>
      </c>
      <c r="AC61" s="1">
        <v>1440</v>
      </c>
      <c r="AD61" s="1">
        <v>435</v>
      </c>
      <c r="AE61" s="1">
        <v>117</v>
      </c>
      <c r="AF61" s="1">
        <v>54176</v>
      </c>
      <c r="AG61" s="1">
        <v>0.9</v>
      </c>
      <c r="AH61" s="1">
        <v>1490</v>
      </c>
      <c r="AI61" s="1">
        <v>817</v>
      </c>
      <c r="AJ61" s="1">
        <v>41</v>
      </c>
      <c r="AK61" s="1">
        <v>35656</v>
      </c>
      <c r="AL61" s="1">
        <v>0.6</v>
      </c>
      <c r="AM61" s="1">
        <v>1594</v>
      </c>
      <c r="AN61" s="1">
        <v>333</v>
      </c>
      <c r="AO61" s="1">
        <v>21</v>
      </c>
      <c r="AP61" s="1">
        <v>7444</v>
      </c>
      <c r="AQ61" s="1">
        <v>0.1</v>
      </c>
      <c r="AR61" s="1">
        <v>1738</v>
      </c>
      <c r="AS61" s="1">
        <v>1613</v>
      </c>
      <c r="AT61" s="1">
        <v>109</v>
      </c>
      <c r="AU61" s="1">
        <v>187151</v>
      </c>
      <c r="AV61" s="1">
        <v>3.1</v>
      </c>
    </row>
    <row r="62" spans="1:48">
      <c r="A62" s="1" t="s">
        <v>315</v>
      </c>
      <c r="B62" s="1" t="s">
        <v>316</v>
      </c>
      <c r="C62" s="1">
        <v>0.98241299999999998</v>
      </c>
      <c r="D62" s="1">
        <v>1367</v>
      </c>
      <c r="E62" s="1">
        <v>8397</v>
      </c>
      <c r="F62" s="1">
        <v>352</v>
      </c>
      <c r="G62" s="1">
        <v>3146292</v>
      </c>
      <c r="H62" s="1">
        <v>77.3</v>
      </c>
      <c r="I62" s="1">
        <v>1584</v>
      </c>
      <c r="J62" s="1">
        <v>6421</v>
      </c>
      <c r="K62" s="1">
        <v>114</v>
      </c>
      <c r="L62" s="1">
        <v>779183</v>
      </c>
      <c r="M62" s="1">
        <v>19.100000000000001</v>
      </c>
      <c r="N62" s="1">
        <v>1047</v>
      </c>
      <c r="O62" s="1">
        <v>213</v>
      </c>
      <c r="P62" s="1">
        <v>61</v>
      </c>
      <c r="Q62" s="1">
        <v>13831</v>
      </c>
      <c r="R62" s="1">
        <v>0.3</v>
      </c>
      <c r="S62" s="1">
        <v>1154</v>
      </c>
      <c r="T62" s="1">
        <v>1</v>
      </c>
      <c r="U62" s="1">
        <v>1</v>
      </c>
      <c r="V62" s="1">
        <v>1</v>
      </c>
      <c r="W62" s="1">
        <v>0</v>
      </c>
      <c r="X62" s="1">
        <v>1256</v>
      </c>
      <c r="Y62" s="1">
        <v>1</v>
      </c>
      <c r="Z62" s="1">
        <v>1</v>
      </c>
      <c r="AA62" s="1">
        <v>1</v>
      </c>
      <c r="AB62" s="1">
        <v>0</v>
      </c>
      <c r="AC62" s="1">
        <v>1456</v>
      </c>
      <c r="AD62" s="1">
        <v>129</v>
      </c>
      <c r="AE62" s="1">
        <v>1</v>
      </c>
      <c r="AF62" s="1">
        <v>137</v>
      </c>
      <c r="AG62" s="1">
        <v>0</v>
      </c>
      <c r="AH62" s="1">
        <v>1488</v>
      </c>
      <c r="AI62" s="1">
        <v>339</v>
      </c>
      <c r="AJ62" s="1">
        <v>19</v>
      </c>
      <c r="AK62" s="1">
        <v>6856</v>
      </c>
      <c r="AL62" s="1">
        <v>0.2</v>
      </c>
      <c r="AM62" s="1">
        <v>1594</v>
      </c>
      <c r="AN62" s="1">
        <v>355</v>
      </c>
      <c r="AO62" s="1">
        <v>19</v>
      </c>
      <c r="AP62" s="1">
        <v>7180</v>
      </c>
      <c r="AQ62" s="1">
        <v>0.2</v>
      </c>
      <c r="AR62" s="1">
        <v>1748</v>
      </c>
      <c r="AS62" s="1">
        <v>563</v>
      </c>
      <c r="AT62" s="1">
        <v>199</v>
      </c>
      <c r="AU62" s="1">
        <v>119260</v>
      </c>
      <c r="AV62" s="1">
        <v>2.9</v>
      </c>
    </row>
    <row r="63" spans="1:48">
      <c r="A63" s="1" t="s">
        <v>317</v>
      </c>
      <c r="B63" s="1" t="s">
        <v>318</v>
      </c>
      <c r="C63" s="1">
        <v>0.97968699999999997</v>
      </c>
      <c r="D63" s="1">
        <v>1367</v>
      </c>
      <c r="E63" s="1">
        <v>11681</v>
      </c>
      <c r="F63" s="1">
        <v>310</v>
      </c>
      <c r="G63" s="1">
        <v>3854552</v>
      </c>
      <c r="H63" s="1">
        <v>63.6</v>
      </c>
      <c r="I63" s="1">
        <v>1590</v>
      </c>
      <c r="J63" s="1">
        <v>13725</v>
      </c>
      <c r="K63" s="1">
        <v>112</v>
      </c>
      <c r="L63" s="1">
        <v>1636299</v>
      </c>
      <c r="M63" s="1">
        <v>27</v>
      </c>
      <c r="N63" s="1">
        <v>1033</v>
      </c>
      <c r="O63" s="1">
        <v>441</v>
      </c>
      <c r="P63" s="1">
        <v>29</v>
      </c>
      <c r="Q63" s="1">
        <v>13613</v>
      </c>
      <c r="R63" s="1">
        <v>0.2</v>
      </c>
      <c r="S63" s="1">
        <v>1156</v>
      </c>
      <c r="T63" s="1">
        <v>247</v>
      </c>
      <c r="U63" s="1">
        <v>11</v>
      </c>
      <c r="V63" s="1">
        <v>2892</v>
      </c>
      <c r="W63" s="1">
        <v>0</v>
      </c>
      <c r="X63" s="1">
        <v>1260</v>
      </c>
      <c r="Y63" s="1">
        <v>1</v>
      </c>
      <c r="Z63" s="1">
        <v>1</v>
      </c>
      <c r="AA63" s="1">
        <v>1</v>
      </c>
      <c r="AB63" s="1">
        <v>0</v>
      </c>
      <c r="AC63" s="1">
        <v>1434</v>
      </c>
      <c r="AD63" s="1">
        <v>717</v>
      </c>
      <c r="AE63" s="1">
        <v>91</v>
      </c>
      <c r="AF63" s="1">
        <v>69453</v>
      </c>
      <c r="AG63" s="1">
        <v>1.1000000000000001</v>
      </c>
      <c r="AH63" s="1">
        <v>1494</v>
      </c>
      <c r="AI63" s="1">
        <v>593</v>
      </c>
      <c r="AJ63" s="1">
        <v>43</v>
      </c>
      <c r="AK63" s="1">
        <v>27143</v>
      </c>
      <c r="AL63" s="1">
        <v>0.4</v>
      </c>
      <c r="AM63" s="1">
        <v>1592</v>
      </c>
      <c r="AN63" s="1">
        <v>199</v>
      </c>
      <c r="AO63" s="1">
        <v>29</v>
      </c>
      <c r="AP63" s="1">
        <v>6143</v>
      </c>
      <c r="AQ63" s="1">
        <v>0.1</v>
      </c>
      <c r="AR63" s="1">
        <v>1748</v>
      </c>
      <c r="AS63" s="1">
        <v>2133</v>
      </c>
      <c r="AT63" s="1">
        <v>199</v>
      </c>
      <c r="AU63" s="1">
        <v>451831</v>
      </c>
      <c r="AV63" s="1">
        <v>7.5</v>
      </c>
    </row>
    <row r="64" spans="1:48">
      <c r="A64" s="1" t="s">
        <v>319</v>
      </c>
      <c r="B64" s="1" t="s">
        <v>320</v>
      </c>
      <c r="C64" s="1">
        <v>0.98729299999999998</v>
      </c>
      <c r="D64" s="1">
        <v>1367</v>
      </c>
      <c r="E64" s="1">
        <v>9931</v>
      </c>
      <c r="F64" s="1">
        <v>334</v>
      </c>
      <c r="G64" s="1">
        <v>3530788</v>
      </c>
      <c r="H64" s="1">
        <v>71</v>
      </c>
      <c r="I64" s="1">
        <v>1590</v>
      </c>
      <c r="J64" s="1">
        <v>10703</v>
      </c>
      <c r="K64" s="1">
        <v>104</v>
      </c>
      <c r="L64" s="1">
        <v>1184871</v>
      </c>
      <c r="M64" s="1">
        <v>23.8</v>
      </c>
      <c r="N64" s="1">
        <v>1033</v>
      </c>
      <c r="O64" s="1">
        <v>333</v>
      </c>
      <c r="P64" s="1">
        <v>69</v>
      </c>
      <c r="Q64" s="1">
        <v>24458</v>
      </c>
      <c r="R64" s="1">
        <v>0.5</v>
      </c>
      <c r="S64" s="1">
        <v>1158</v>
      </c>
      <c r="T64" s="1">
        <v>1</v>
      </c>
      <c r="U64" s="1">
        <v>1</v>
      </c>
      <c r="V64" s="1">
        <v>1</v>
      </c>
      <c r="W64" s="1">
        <v>0</v>
      </c>
      <c r="X64" s="1">
        <v>1260</v>
      </c>
      <c r="Y64" s="1">
        <v>1</v>
      </c>
      <c r="Z64" s="1">
        <v>1</v>
      </c>
      <c r="AA64" s="1">
        <v>1</v>
      </c>
      <c r="AB64" s="1">
        <v>0</v>
      </c>
      <c r="AC64" s="1">
        <v>1456</v>
      </c>
      <c r="AD64" s="1">
        <v>93</v>
      </c>
      <c r="AE64" s="1">
        <v>105</v>
      </c>
      <c r="AF64" s="1">
        <v>10395</v>
      </c>
      <c r="AG64" s="1">
        <v>0.2</v>
      </c>
      <c r="AH64" s="1">
        <v>1494</v>
      </c>
      <c r="AI64" s="1">
        <v>419</v>
      </c>
      <c r="AJ64" s="1">
        <v>33</v>
      </c>
      <c r="AK64" s="1">
        <v>14718</v>
      </c>
      <c r="AL64" s="1">
        <v>0.3</v>
      </c>
      <c r="AM64" s="1">
        <v>1596</v>
      </c>
      <c r="AN64" s="1">
        <v>483</v>
      </c>
      <c r="AO64" s="1">
        <v>23</v>
      </c>
      <c r="AP64" s="1">
        <v>11825</v>
      </c>
      <c r="AQ64" s="1">
        <v>0.2</v>
      </c>
      <c r="AR64" s="1">
        <v>1742</v>
      </c>
      <c r="AS64" s="1">
        <v>985</v>
      </c>
      <c r="AT64" s="1">
        <v>187</v>
      </c>
      <c r="AU64" s="1">
        <v>196070</v>
      </c>
      <c r="AV64" s="1">
        <v>3.9</v>
      </c>
    </row>
    <row r="65" spans="1:48">
      <c r="A65" s="1" t="s">
        <v>321</v>
      </c>
      <c r="B65" s="1" t="s">
        <v>322</v>
      </c>
      <c r="C65" s="1">
        <v>0.99138300000000001</v>
      </c>
      <c r="D65" s="1">
        <v>1369</v>
      </c>
      <c r="E65" s="1">
        <v>13869</v>
      </c>
      <c r="F65" s="1">
        <v>316</v>
      </c>
      <c r="G65" s="1">
        <v>4665138</v>
      </c>
      <c r="H65" s="1">
        <v>68.3</v>
      </c>
      <c r="I65" s="1">
        <v>1592</v>
      </c>
      <c r="J65" s="1">
        <v>16411</v>
      </c>
      <c r="K65" s="1">
        <v>100</v>
      </c>
      <c r="L65" s="1">
        <v>1746897</v>
      </c>
      <c r="M65" s="1">
        <v>25.6</v>
      </c>
      <c r="N65" s="1">
        <v>1053</v>
      </c>
      <c r="O65" s="1">
        <v>525</v>
      </c>
      <c r="P65" s="1">
        <v>83</v>
      </c>
      <c r="Q65" s="1">
        <v>46384</v>
      </c>
      <c r="R65" s="1">
        <v>0.7</v>
      </c>
      <c r="S65" s="1">
        <v>1160</v>
      </c>
      <c r="T65" s="1">
        <v>83</v>
      </c>
      <c r="U65" s="1">
        <v>3</v>
      </c>
      <c r="V65" s="1">
        <v>265</v>
      </c>
      <c r="W65" s="1">
        <v>0</v>
      </c>
      <c r="X65" s="1">
        <v>1260</v>
      </c>
      <c r="Y65" s="1">
        <v>1</v>
      </c>
      <c r="Z65" s="1">
        <v>1</v>
      </c>
      <c r="AA65" s="1">
        <v>1</v>
      </c>
      <c r="AB65" s="1">
        <v>0</v>
      </c>
      <c r="AC65" s="1">
        <v>1402</v>
      </c>
      <c r="AD65" s="1">
        <v>29</v>
      </c>
      <c r="AE65" s="1">
        <v>105</v>
      </c>
      <c r="AF65" s="1">
        <v>3241</v>
      </c>
      <c r="AG65" s="1">
        <v>0</v>
      </c>
      <c r="AH65" s="1">
        <v>1494</v>
      </c>
      <c r="AI65" s="1">
        <v>507</v>
      </c>
      <c r="AJ65" s="1">
        <v>27</v>
      </c>
      <c r="AK65" s="1">
        <v>14571</v>
      </c>
      <c r="AL65" s="1">
        <v>0.2</v>
      </c>
      <c r="AM65" s="1">
        <v>1596</v>
      </c>
      <c r="AN65" s="1">
        <v>1533</v>
      </c>
      <c r="AO65" s="1">
        <v>29</v>
      </c>
      <c r="AP65" s="1">
        <v>47323</v>
      </c>
      <c r="AQ65" s="1">
        <v>0.7</v>
      </c>
      <c r="AR65" s="1">
        <v>1732</v>
      </c>
      <c r="AS65" s="1">
        <v>1603</v>
      </c>
      <c r="AT65" s="1">
        <v>179</v>
      </c>
      <c r="AU65" s="1">
        <v>305435</v>
      </c>
      <c r="AV65" s="1">
        <v>4.5</v>
      </c>
    </row>
    <row r="66" spans="1:48">
      <c r="A66" s="1" t="s">
        <v>323</v>
      </c>
      <c r="B66" s="1" t="s">
        <v>324</v>
      </c>
      <c r="C66" s="1">
        <v>0.99070000000000003</v>
      </c>
      <c r="D66" s="1">
        <v>1369</v>
      </c>
      <c r="E66" s="1">
        <v>12833</v>
      </c>
      <c r="F66" s="1">
        <v>326</v>
      </c>
      <c r="G66" s="1">
        <v>4453260</v>
      </c>
      <c r="H66" s="1">
        <v>70.8</v>
      </c>
      <c r="I66" s="1">
        <v>1590</v>
      </c>
      <c r="J66" s="1">
        <v>14087</v>
      </c>
      <c r="K66" s="1">
        <v>102</v>
      </c>
      <c r="L66" s="1">
        <v>1529505</v>
      </c>
      <c r="M66" s="1">
        <v>24.3</v>
      </c>
      <c r="N66" s="1">
        <v>1041</v>
      </c>
      <c r="O66" s="1">
        <v>401</v>
      </c>
      <c r="P66" s="1">
        <v>61</v>
      </c>
      <c r="Q66" s="1">
        <v>26038</v>
      </c>
      <c r="R66" s="1">
        <v>0.4</v>
      </c>
      <c r="S66" s="1">
        <v>1158</v>
      </c>
      <c r="T66" s="1">
        <v>1</v>
      </c>
      <c r="U66" s="1">
        <v>1</v>
      </c>
      <c r="V66" s="1">
        <v>1</v>
      </c>
      <c r="W66" s="1">
        <v>0</v>
      </c>
      <c r="X66" s="1">
        <v>1260</v>
      </c>
      <c r="Y66" s="1">
        <v>1</v>
      </c>
      <c r="Z66" s="1">
        <v>1</v>
      </c>
      <c r="AA66" s="1">
        <v>1</v>
      </c>
      <c r="AB66" s="1">
        <v>0</v>
      </c>
      <c r="AC66" s="1">
        <v>1456</v>
      </c>
      <c r="AD66" s="1">
        <v>283</v>
      </c>
      <c r="AE66" s="1">
        <v>5</v>
      </c>
      <c r="AF66" s="1">
        <v>1506</v>
      </c>
      <c r="AG66" s="1">
        <v>0</v>
      </c>
      <c r="AH66" s="1">
        <v>1494</v>
      </c>
      <c r="AI66" s="1">
        <v>509</v>
      </c>
      <c r="AJ66" s="1">
        <v>39</v>
      </c>
      <c r="AK66" s="1">
        <v>21131</v>
      </c>
      <c r="AL66" s="1">
        <v>0.3</v>
      </c>
      <c r="AM66" s="1">
        <v>1598</v>
      </c>
      <c r="AN66" s="1">
        <v>1093</v>
      </c>
      <c r="AO66" s="1">
        <v>21</v>
      </c>
      <c r="AP66" s="1">
        <v>24433</v>
      </c>
      <c r="AQ66" s="1">
        <v>0.4</v>
      </c>
      <c r="AR66" s="1">
        <v>1736</v>
      </c>
      <c r="AS66" s="1">
        <v>1301</v>
      </c>
      <c r="AT66" s="1">
        <v>171</v>
      </c>
      <c r="AU66" s="1">
        <v>236813</v>
      </c>
      <c r="AV66" s="1">
        <v>3.8</v>
      </c>
    </row>
    <row r="67" spans="1:48">
      <c r="A67" s="1" t="s">
        <v>325</v>
      </c>
      <c r="B67" s="1" t="s">
        <v>326</v>
      </c>
      <c r="C67" s="1">
        <v>0.97318899999999997</v>
      </c>
      <c r="D67" s="1">
        <v>1367</v>
      </c>
      <c r="E67" s="1">
        <v>22001</v>
      </c>
      <c r="F67" s="1">
        <v>258</v>
      </c>
      <c r="G67" s="1">
        <v>6042190</v>
      </c>
      <c r="H67" s="1">
        <v>61</v>
      </c>
      <c r="I67" s="1">
        <v>1592</v>
      </c>
      <c r="J67" s="1">
        <v>30137</v>
      </c>
      <c r="K67" s="1">
        <v>100</v>
      </c>
      <c r="L67" s="1">
        <v>3207984</v>
      </c>
      <c r="M67" s="1">
        <v>32.4</v>
      </c>
      <c r="N67" s="1">
        <v>1025</v>
      </c>
      <c r="O67" s="1">
        <v>809</v>
      </c>
      <c r="P67" s="1">
        <v>1</v>
      </c>
      <c r="Q67" s="1">
        <v>861</v>
      </c>
      <c r="R67" s="1">
        <v>0</v>
      </c>
      <c r="S67" s="1">
        <v>1160</v>
      </c>
      <c r="T67" s="1">
        <v>2553</v>
      </c>
      <c r="U67" s="1">
        <v>33</v>
      </c>
      <c r="V67" s="1">
        <v>89680</v>
      </c>
      <c r="W67" s="1">
        <v>0.9</v>
      </c>
      <c r="X67" s="1">
        <v>1260</v>
      </c>
      <c r="Y67" s="1">
        <v>1</v>
      </c>
      <c r="Z67" s="1">
        <v>1</v>
      </c>
      <c r="AA67" s="1">
        <v>1</v>
      </c>
      <c r="AB67" s="1">
        <v>0</v>
      </c>
      <c r="AC67" s="1">
        <v>1450</v>
      </c>
      <c r="AD67" s="1">
        <v>401</v>
      </c>
      <c r="AE67" s="1">
        <v>173</v>
      </c>
      <c r="AF67" s="1">
        <v>73845</v>
      </c>
      <c r="AG67" s="1">
        <v>0.7</v>
      </c>
      <c r="AH67" s="1">
        <v>1486</v>
      </c>
      <c r="AI67" s="1">
        <v>2965</v>
      </c>
      <c r="AJ67" s="1">
        <v>43</v>
      </c>
      <c r="AK67" s="1">
        <v>135714</v>
      </c>
      <c r="AL67" s="1">
        <v>1.4</v>
      </c>
      <c r="AM67" s="1">
        <v>1592</v>
      </c>
      <c r="AN67" s="1">
        <v>6609</v>
      </c>
      <c r="AO67" s="1">
        <v>31</v>
      </c>
      <c r="AP67" s="1">
        <v>218087</v>
      </c>
      <c r="AQ67" s="1">
        <v>2.2000000000000002</v>
      </c>
      <c r="AR67" s="1">
        <v>1716</v>
      </c>
      <c r="AS67" s="1">
        <v>2023</v>
      </c>
      <c r="AT67" s="1">
        <v>67</v>
      </c>
      <c r="AU67" s="1">
        <v>144279</v>
      </c>
      <c r="AV67" s="1">
        <v>1.5</v>
      </c>
    </row>
    <row r="68" spans="1:48">
      <c r="A68" s="1" t="s">
        <v>327</v>
      </c>
      <c r="B68" s="1" t="s">
        <v>328</v>
      </c>
      <c r="C68" s="1">
        <v>0.99200699999999997</v>
      </c>
      <c r="D68" s="1">
        <v>1369</v>
      </c>
      <c r="E68" s="1">
        <v>8507</v>
      </c>
      <c r="F68" s="1">
        <v>332</v>
      </c>
      <c r="G68" s="1">
        <v>3006400</v>
      </c>
      <c r="H68" s="1">
        <v>71.7</v>
      </c>
      <c r="I68" s="1">
        <v>1586</v>
      </c>
      <c r="J68" s="1">
        <v>8421</v>
      </c>
      <c r="K68" s="1">
        <v>108</v>
      </c>
      <c r="L68" s="1">
        <v>968099</v>
      </c>
      <c r="M68" s="1">
        <v>23.1</v>
      </c>
      <c r="N68" s="1">
        <v>1043</v>
      </c>
      <c r="O68" s="1">
        <v>377</v>
      </c>
      <c r="P68" s="1">
        <v>59</v>
      </c>
      <c r="Q68" s="1">
        <v>23677</v>
      </c>
      <c r="R68" s="1">
        <v>0.6</v>
      </c>
      <c r="S68" s="1">
        <v>1156</v>
      </c>
      <c r="T68" s="1">
        <v>1</v>
      </c>
      <c r="U68" s="1">
        <v>1</v>
      </c>
      <c r="V68" s="1">
        <v>1</v>
      </c>
      <c r="W68" s="1">
        <v>0</v>
      </c>
      <c r="X68" s="1">
        <v>1260</v>
      </c>
      <c r="Y68" s="1">
        <v>1</v>
      </c>
      <c r="Z68" s="1">
        <v>1</v>
      </c>
      <c r="AA68" s="1">
        <v>1</v>
      </c>
      <c r="AB68" s="1">
        <v>0</v>
      </c>
      <c r="AC68" s="1">
        <v>1456</v>
      </c>
      <c r="AD68" s="1">
        <v>47</v>
      </c>
      <c r="AE68" s="1">
        <v>51</v>
      </c>
      <c r="AF68" s="1">
        <v>2552</v>
      </c>
      <c r="AG68" s="1">
        <v>0.1</v>
      </c>
      <c r="AH68" s="1">
        <v>1492</v>
      </c>
      <c r="AI68" s="1">
        <v>279</v>
      </c>
      <c r="AJ68" s="1">
        <v>41</v>
      </c>
      <c r="AK68" s="1">
        <v>12176</v>
      </c>
      <c r="AL68" s="1">
        <v>0.3</v>
      </c>
      <c r="AM68" s="1">
        <v>1598</v>
      </c>
      <c r="AN68" s="1">
        <v>377</v>
      </c>
      <c r="AO68" s="1">
        <v>13</v>
      </c>
      <c r="AP68" s="1">
        <v>5217</v>
      </c>
      <c r="AQ68" s="1">
        <v>0.1</v>
      </c>
      <c r="AR68" s="1">
        <v>1748</v>
      </c>
      <c r="AS68" s="1">
        <v>819</v>
      </c>
      <c r="AT68" s="1">
        <v>199</v>
      </c>
      <c r="AU68" s="1">
        <v>173488</v>
      </c>
      <c r="AV68" s="1">
        <v>4.0999999999999996</v>
      </c>
    </row>
    <row r="69" spans="1:48">
      <c r="A69" s="1" t="s">
        <v>329</v>
      </c>
      <c r="B69" s="1" t="s">
        <v>330</v>
      </c>
      <c r="C69" s="1">
        <v>0.99178200000000005</v>
      </c>
      <c r="D69" s="1">
        <v>1369</v>
      </c>
      <c r="E69" s="1">
        <v>8449</v>
      </c>
      <c r="F69" s="1">
        <v>344</v>
      </c>
      <c r="G69" s="1">
        <v>3093827</v>
      </c>
      <c r="H69" s="1">
        <v>74.7</v>
      </c>
      <c r="I69" s="1">
        <v>1588</v>
      </c>
      <c r="J69" s="1">
        <v>8355</v>
      </c>
      <c r="K69" s="1">
        <v>106</v>
      </c>
      <c r="L69" s="1">
        <v>942724</v>
      </c>
      <c r="M69" s="1">
        <v>22.7</v>
      </c>
      <c r="N69" s="1">
        <v>1027</v>
      </c>
      <c r="O69" s="1">
        <v>271</v>
      </c>
      <c r="P69" s="1">
        <v>53</v>
      </c>
      <c r="Q69" s="1">
        <v>15289</v>
      </c>
      <c r="R69" s="1">
        <v>0.4</v>
      </c>
      <c r="S69" s="1">
        <v>1158</v>
      </c>
      <c r="T69" s="1">
        <v>1</v>
      </c>
      <c r="U69" s="1">
        <v>1</v>
      </c>
      <c r="V69" s="1">
        <v>1</v>
      </c>
      <c r="W69" s="1">
        <v>0</v>
      </c>
      <c r="X69" s="1">
        <v>1260</v>
      </c>
      <c r="Y69" s="1">
        <v>1</v>
      </c>
      <c r="Z69" s="1">
        <v>1</v>
      </c>
      <c r="AA69" s="1">
        <v>1</v>
      </c>
      <c r="AB69" s="1">
        <v>0</v>
      </c>
      <c r="AC69" s="1">
        <v>1402</v>
      </c>
      <c r="AD69" s="1">
        <v>71</v>
      </c>
      <c r="AE69" s="1">
        <v>1</v>
      </c>
      <c r="AF69" s="1">
        <v>76</v>
      </c>
      <c r="AG69" s="1">
        <v>0</v>
      </c>
      <c r="AH69" s="1">
        <v>1490</v>
      </c>
      <c r="AI69" s="1">
        <v>285</v>
      </c>
      <c r="AJ69" s="1">
        <v>31</v>
      </c>
      <c r="AK69" s="1">
        <v>9405</v>
      </c>
      <c r="AL69" s="1">
        <v>0.2</v>
      </c>
      <c r="AM69" s="1">
        <v>1596</v>
      </c>
      <c r="AN69" s="1">
        <v>169</v>
      </c>
      <c r="AO69" s="1">
        <v>23</v>
      </c>
      <c r="AP69" s="1">
        <v>4138</v>
      </c>
      <c r="AQ69" s="1">
        <v>0.1</v>
      </c>
      <c r="AR69" s="1">
        <v>1732</v>
      </c>
      <c r="AS69" s="1">
        <v>575</v>
      </c>
      <c r="AT69" s="1">
        <v>129</v>
      </c>
      <c r="AU69" s="1">
        <v>78957</v>
      </c>
      <c r="AV69" s="1">
        <v>1.9</v>
      </c>
    </row>
    <row r="70" spans="1:48">
      <c r="A70" s="1" t="s">
        <v>331</v>
      </c>
      <c r="B70" s="1" t="s">
        <v>332</v>
      </c>
      <c r="C70" s="1">
        <v>0.99213499999999999</v>
      </c>
      <c r="D70" s="1">
        <v>1369</v>
      </c>
      <c r="E70" s="1">
        <v>8603</v>
      </c>
      <c r="F70" s="1">
        <v>336</v>
      </c>
      <c r="G70" s="1">
        <v>3076957</v>
      </c>
      <c r="H70" s="1">
        <v>73.5</v>
      </c>
      <c r="I70" s="1">
        <v>1586</v>
      </c>
      <c r="J70" s="1">
        <v>8467</v>
      </c>
      <c r="K70" s="1">
        <v>106</v>
      </c>
      <c r="L70" s="1">
        <v>955361</v>
      </c>
      <c r="M70" s="1">
        <v>22.8</v>
      </c>
      <c r="N70" s="1">
        <v>1051</v>
      </c>
      <c r="O70" s="1">
        <v>399</v>
      </c>
      <c r="P70" s="1">
        <v>35</v>
      </c>
      <c r="Q70" s="1">
        <v>14865</v>
      </c>
      <c r="R70" s="1">
        <v>0.4</v>
      </c>
      <c r="S70" s="1">
        <v>1158</v>
      </c>
      <c r="T70" s="1">
        <v>1</v>
      </c>
      <c r="U70" s="1">
        <v>1</v>
      </c>
      <c r="V70" s="1">
        <v>1</v>
      </c>
      <c r="W70" s="1">
        <v>0</v>
      </c>
      <c r="X70" s="1">
        <v>1260</v>
      </c>
      <c r="Y70" s="1">
        <v>1</v>
      </c>
      <c r="Z70" s="1">
        <v>1</v>
      </c>
      <c r="AA70" s="1">
        <v>1</v>
      </c>
      <c r="AB70" s="1">
        <v>0</v>
      </c>
      <c r="AC70" s="1">
        <v>1450</v>
      </c>
      <c r="AD70" s="1">
        <v>25</v>
      </c>
      <c r="AE70" s="1">
        <v>1</v>
      </c>
      <c r="AF70" s="1">
        <v>27</v>
      </c>
      <c r="AG70" s="1">
        <v>0</v>
      </c>
      <c r="AH70" s="1">
        <v>1488</v>
      </c>
      <c r="AI70" s="1">
        <v>249</v>
      </c>
      <c r="AJ70" s="1">
        <v>35</v>
      </c>
      <c r="AK70" s="1">
        <v>9277</v>
      </c>
      <c r="AL70" s="1">
        <v>0.2</v>
      </c>
      <c r="AM70" s="1">
        <v>1592</v>
      </c>
      <c r="AN70" s="1">
        <v>249</v>
      </c>
      <c r="AO70" s="1">
        <v>15</v>
      </c>
      <c r="AP70" s="1">
        <v>3976</v>
      </c>
      <c r="AQ70" s="1">
        <v>0.1</v>
      </c>
      <c r="AR70" s="1">
        <v>1748</v>
      </c>
      <c r="AS70" s="1">
        <v>623</v>
      </c>
      <c r="AT70" s="1">
        <v>187</v>
      </c>
      <c r="AU70" s="1">
        <v>124011</v>
      </c>
      <c r="AV70" s="1">
        <v>3</v>
      </c>
    </row>
    <row r="71" spans="1:48">
      <c r="A71" s="1" t="s">
        <v>333</v>
      </c>
      <c r="B71" s="1" t="s">
        <v>334</v>
      </c>
      <c r="C71" s="1">
        <v>0.98189400000000004</v>
      </c>
      <c r="D71" s="1">
        <v>1369</v>
      </c>
      <c r="E71" s="1">
        <v>6191</v>
      </c>
      <c r="F71" s="1">
        <v>284</v>
      </c>
      <c r="G71" s="1">
        <v>1871593</v>
      </c>
      <c r="H71" s="1">
        <v>67</v>
      </c>
      <c r="I71" s="1">
        <v>1590</v>
      </c>
      <c r="J71" s="1">
        <v>6665</v>
      </c>
      <c r="K71" s="1">
        <v>116</v>
      </c>
      <c r="L71" s="1">
        <v>822982</v>
      </c>
      <c r="M71" s="1">
        <v>29.5</v>
      </c>
      <c r="N71" s="1">
        <v>1055</v>
      </c>
      <c r="O71" s="1">
        <v>251</v>
      </c>
      <c r="P71" s="1">
        <v>53</v>
      </c>
      <c r="Q71" s="1">
        <v>14161</v>
      </c>
      <c r="R71" s="1">
        <v>0.5</v>
      </c>
      <c r="S71" s="1">
        <v>1174</v>
      </c>
      <c r="T71" s="1">
        <v>77</v>
      </c>
      <c r="U71" s="1">
        <v>7</v>
      </c>
      <c r="V71" s="1">
        <v>574</v>
      </c>
      <c r="W71" s="1">
        <v>0</v>
      </c>
      <c r="X71" s="1">
        <v>1260</v>
      </c>
      <c r="Y71" s="1">
        <v>1</v>
      </c>
      <c r="Z71" s="1">
        <v>1</v>
      </c>
      <c r="AA71" s="1">
        <v>1</v>
      </c>
      <c r="AB71" s="1">
        <v>0</v>
      </c>
      <c r="AC71" s="1">
        <v>1452</v>
      </c>
      <c r="AD71" s="1">
        <v>221</v>
      </c>
      <c r="AE71" s="1">
        <v>1</v>
      </c>
      <c r="AF71" s="1">
        <v>235</v>
      </c>
      <c r="AG71" s="1">
        <v>0</v>
      </c>
      <c r="AH71" s="1">
        <v>1488</v>
      </c>
      <c r="AI71" s="1">
        <v>315</v>
      </c>
      <c r="AJ71" s="1">
        <v>41</v>
      </c>
      <c r="AK71" s="1">
        <v>13748</v>
      </c>
      <c r="AL71" s="1">
        <v>0.5</v>
      </c>
      <c r="AM71" s="1">
        <v>1596</v>
      </c>
      <c r="AN71" s="1">
        <v>295</v>
      </c>
      <c r="AO71" s="1">
        <v>19</v>
      </c>
      <c r="AP71" s="1">
        <v>5966</v>
      </c>
      <c r="AQ71" s="1">
        <v>0.2</v>
      </c>
      <c r="AR71" s="1">
        <v>1734</v>
      </c>
      <c r="AS71" s="1">
        <v>641</v>
      </c>
      <c r="AT71" s="1">
        <v>95</v>
      </c>
      <c r="AU71" s="1">
        <v>64821</v>
      </c>
      <c r="AV71" s="1">
        <v>2.2999999999999998</v>
      </c>
    </row>
    <row r="72" spans="1:48">
      <c r="A72" s="1" t="s">
        <v>335</v>
      </c>
      <c r="B72" s="1" t="s">
        <v>336</v>
      </c>
      <c r="C72" s="1">
        <v>0.98562399999999994</v>
      </c>
      <c r="D72" s="1">
        <v>1369</v>
      </c>
      <c r="E72" s="1">
        <v>7001</v>
      </c>
      <c r="F72" s="1">
        <v>336</v>
      </c>
      <c r="G72" s="1">
        <v>2503984</v>
      </c>
      <c r="H72" s="1">
        <v>70.8</v>
      </c>
      <c r="I72" s="1">
        <v>1588</v>
      </c>
      <c r="J72" s="1">
        <v>7795</v>
      </c>
      <c r="K72" s="1">
        <v>106</v>
      </c>
      <c r="L72" s="1">
        <v>879537</v>
      </c>
      <c r="M72" s="1">
        <v>24.9</v>
      </c>
      <c r="N72" s="1">
        <v>1035</v>
      </c>
      <c r="O72" s="1">
        <v>269</v>
      </c>
      <c r="P72" s="1">
        <v>57</v>
      </c>
      <c r="Q72" s="1">
        <v>16321</v>
      </c>
      <c r="R72" s="1">
        <v>0.5</v>
      </c>
      <c r="S72" s="1">
        <v>1150</v>
      </c>
      <c r="T72" s="1">
        <v>149</v>
      </c>
      <c r="U72" s="1">
        <v>1</v>
      </c>
      <c r="V72" s="1">
        <v>159</v>
      </c>
      <c r="W72" s="1">
        <v>0</v>
      </c>
      <c r="X72" s="1">
        <v>1260</v>
      </c>
      <c r="Y72" s="1">
        <v>1</v>
      </c>
      <c r="Z72" s="1">
        <v>1</v>
      </c>
      <c r="AA72" s="1">
        <v>1</v>
      </c>
      <c r="AB72" s="1">
        <v>0</v>
      </c>
      <c r="AC72" s="1">
        <v>1456</v>
      </c>
      <c r="AD72" s="1">
        <v>197</v>
      </c>
      <c r="AE72" s="1">
        <v>101</v>
      </c>
      <c r="AF72" s="1">
        <v>21180</v>
      </c>
      <c r="AG72" s="1">
        <v>0.6</v>
      </c>
      <c r="AH72" s="1">
        <v>1502</v>
      </c>
      <c r="AI72" s="1">
        <v>411</v>
      </c>
      <c r="AJ72" s="1">
        <v>45</v>
      </c>
      <c r="AK72" s="1">
        <v>19687</v>
      </c>
      <c r="AL72" s="1">
        <v>0.6</v>
      </c>
      <c r="AM72" s="1">
        <v>1598</v>
      </c>
      <c r="AN72" s="1">
        <v>269</v>
      </c>
      <c r="AO72" s="1">
        <v>17</v>
      </c>
      <c r="AP72" s="1">
        <v>4868</v>
      </c>
      <c r="AQ72" s="1">
        <v>0.1</v>
      </c>
      <c r="AR72" s="1">
        <v>1732</v>
      </c>
      <c r="AS72" s="1">
        <v>803</v>
      </c>
      <c r="AT72" s="1">
        <v>105</v>
      </c>
      <c r="AU72" s="1">
        <v>89751</v>
      </c>
      <c r="AV72" s="1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60AC-F6A6-4E77-A44F-78BFF8707E22}">
  <dimension ref="A1:AV62"/>
  <sheetViews>
    <sheetView workbookViewId="0">
      <selection activeCell="G70" sqref="G70"/>
    </sheetView>
  </sheetViews>
  <sheetFormatPr defaultColWidth="11.5703125" defaultRowHeight="15.95"/>
  <cols>
    <col min="1" max="16384" width="11.5703125" style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337</v>
      </c>
      <c r="B2" s="1" t="s">
        <v>338</v>
      </c>
      <c r="C2" s="1">
        <v>0.98637600000000003</v>
      </c>
      <c r="D2" s="1">
        <v>1369</v>
      </c>
      <c r="E2" s="1">
        <v>6677</v>
      </c>
      <c r="F2" s="1">
        <v>332</v>
      </c>
      <c r="G2" s="1">
        <v>2359672</v>
      </c>
      <c r="H2" s="1">
        <v>75.7</v>
      </c>
      <c r="I2" s="1">
        <v>1588</v>
      </c>
      <c r="J2" s="1">
        <v>5957</v>
      </c>
      <c r="K2" s="1">
        <v>106</v>
      </c>
      <c r="L2" s="1">
        <v>672149</v>
      </c>
      <c r="M2" s="1">
        <v>21.6</v>
      </c>
      <c r="N2" s="1">
        <v>1027</v>
      </c>
      <c r="O2" s="1">
        <v>239</v>
      </c>
      <c r="P2" s="1">
        <v>63</v>
      </c>
      <c r="Q2" s="1">
        <v>16028</v>
      </c>
      <c r="R2" s="1">
        <v>0.5</v>
      </c>
      <c r="S2" s="1">
        <v>1154</v>
      </c>
      <c r="T2" s="1">
        <v>1</v>
      </c>
      <c r="U2" s="1">
        <v>1</v>
      </c>
      <c r="V2" s="1">
        <v>1</v>
      </c>
      <c r="W2" s="1">
        <v>0</v>
      </c>
      <c r="X2" s="1">
        <v>1298</v>
      </c>
      <c r="Y2" s="1">
        <v>67</v>
      </c>
      <c r="Z2" s="1">
        <v>1</v>
      </c>
      <c r="AA2" s="1">
        <v>71</v>
      </c>
      <c r="AB2" s="1">
        <v>0</v>
      </c>
      <c r="AC2" s="1">
        <v>1400</v>
      </c>
      <c r="AD2" s="1">
        <v>1</v>
      </c>
      <c r="AE2" s="1">
        <v>1</v>
      </c>
      <c r="AF2" s="1">
        <v>1</v>
      </c>
      <c r="AG2" s="1">
        <v>0</v>
      </c>
      <c r="AH2" s="1">
        <v>1500</v>
      </c>
      <c r="AI2" s="1">
        <v>181</v>
      </c>
      <c r="AJ2" s="1">
        <v>33</v>
      </c>
      <c r="AK2" s="1">
        <v>6358</v>
      </c>
      <c r="AL2" s="1">
        <v>0.2</v>
      </c>
      <c r="AM2" s="1">
        <v>1592</v>
      </c>
      <c r="AN2" s="1">
        <v>233</v>
      </c>
      <c r="AO2" s="1">
        <v>9</v>
      </c>
      <c r="AP2" s="1">
        <v>2232</v>
      </c>
      <c r="AQ2" s="1">
        <v>0.1</v>
      </c>
      <c r="AR2" s="1">
        <v>1722</v>
      </c>
      <c r="AS2" s="1">
        <v>559</v>
      </c>
      <c r="AT2" s="1">
        <v>101</v>
      </c>
      <c r="AU2" s="1">
        <v>60099</v>
      </c>
      <c r="AV2" s="1">
        <v>1.9</v>
      </c>
    </row>
    <row r="3" spans="1:48">
      <c r="A3" s="1" t="s">
        <v>339</v>
      </c>
      <c r="B3" s="1" t="s">
        <v>340</v>
      </c>
      <c r="C3" s="1">
        <v>0.97568900000000003</v>
      </c>
      <c r="D3" s="1">
        <v>1369</v>
      </c>
      <c r="E3" s="1">
        <v>2145</v>
      </c>
      <c r="F3" s="1">
        <v>256</v>
      </c>
      <c r="G3" s="1">
        <v>584520</v>
      </c>
      <c r="H3" s="1">
        <v>64.400000000000006</v>
      </c>
      <c r="I3" s="1">
        <v>1592</v>
      </c>
      <c r="J3" s="1">
        <v>2575</v>
      </c>
      <c r="K3" s="1">
        <v>102</v>
      </c>
      <c r="L3" s="1">
        <v>279582</v>
      </c>
      <c r="M3" s="1">
        <v>30.8</v>
      </c>
      <c r="N3" s="1">
        <v>1073</v>
      </c>
      <c r="O3" s="1">
        <v>65</v>
      </c>
      <c r="P3" s="1">
        <v>119</v>
      </c>
      <c r="Q3" s="1">
        <v>8234</v>
      </c>
      <c r="R3" s="1">
        <v>0.9</v>
      </c>
      <c r="S3" s="1">
        <v>1156</v>
      </c>
      <c r="T3" s="1">
        <v>131</v>
      </c>
      <c r="U3" s="1">
        <v>39</v>
      </c>
      <c r="V3" s="1">
        <v>5438</v>
      </c>
      <c r="W3" s="1">
        <v>0.6</v>
      </c>
      <c r="X3" s="1">
        <v>1270</v>
      </c>
      <c r="Y3" s="1">
        <v>1</v>
      </c>
      <c r="Z3" s="1">
        <v>1</v>
      </c>
      <c r="AA3" s="1">
        <v>1</v>
      </c>
      <c r="AB3" s="1">
        <v>0</v>
      </c>
      <c r="AC3" s="1">
        <v>1456</v>
      </c>
      <c r="AD3" s="1">
        <v>41</v>
      </c>
      <c r="AE3" s="1">
        <v>1</v>
      </c>
      <c r="AF3" s="1">
        <v>44</v>
      </c>
      <c r="AG3" s="1">
        <v>0</v>
      </c>
      <c r="AH3" s="1">
        <v>1500</v>
      </c>
      <c r="AI3" s="1">
        <v>293</v>
      </c>
      <c r="AJ3" s="1">
        <v>33</v>
      </c>
      <c r="AK3" s="1">
        <v>10292</v>
      </c>
      <c r="AL3" s="1">
        <v>1.1000000000000001</v>
      </c>
      <c r="AM3" s="1">
        <v>1592</v>
      </c>
      <c r="AN3" s="1">
        <v>183</v>
      </c>
      <c r="AO3" s="1">
        <v>3</v>
      </c>
      <c r="AP3" s="1">
        <v>584</v>
      </c>
      <c r="AQ3" s="1">
        <v>0.1</v>
      </c>
      <c r="AR3" s="1">
        <v>1726</v>
      </c>
      <c r="AS3" s="1">
        <v>217</v>
      </c>
      <c r="AT3" s="1">
        <v>83</v>
      </c>
      <c r="AU3" s="1">
        <v>19172</v>
      </c>
      <c r="AV3" s="1">
        <v>2.1</v>
      </c>
    </row>
    <row r="4" spans="1:48">
      <c r="A4" s="1" t="s">
        <v>341</v>
      </c>
      <c r="B4" s="1" t="s">
        <v>342</v>
      </c>
      <c r="C4" s="1">
        <v>0.98560499999999995</v>
      </c>
      <c r="D4" s="1">
        <v>1369</v>
      </c>
      <c r="E4" s="1">
        <v>12021</v>
      </c>
      <c r="F4" s="1">
        <v>318</v>
      </c>
      <c r="G4" s="1">
        <v>4069115</v>
      </c>
      <c r="H4" s="1">
        <v>66.7</v>
      </c>
      <c r="I4" s="1">
        <v>1588</v>
      </c>
      <c r="J4" s="1">
        <v>14079</v>
      </c>
      <c r="K4" s="1">
        <v>118</v>
      </c>
      <c r="L4" s="1">
        <v>1768423</v>
      </c>
      <c r="M4" s="1">
        <v>29</v>
      </c>
      <c r="N4" s="1">
        <v>1027</v>
      </c>
      <c r="O4" s="1">
        <v>415</v>
      </c>
      <c r="P4" s="1">
        <v>49</v>
      </c>
      <c r="Q4" s="1">
        <v>21646</v>
      </c>
      <c r="R4" s="1">
        <v>0.4</v>
      </c>
      <c r="S4" s="1">
        <v>1170</v>
      </c>
      <c r="T4" s="1">
        <v>15</v>
      </c>
      <c r="U4" s="1">
        <v>1</v>
      </c>
      <c r="V4" s="1">
        <v>16</v>
      </c>
      <c r="W4" s="1">
        <v>0</v>
      </c>
      <c r="X4" s="1">
        <v>1270</v>
      </c>
      <c r="Y4" s="1">
        <v>1</v>
      </c>
      <c r="Z4" s="1">
        <v>1</v>
      </c>
      <c r="AA4" s="1">
        <v>1</v>
      </c>
      <c r="AB4" s="1">
        <v>0</v>
      </c>
      <c r="AC4" s="1">
        <v>1456</v>
      </c>
      <c r="AD4" s="1">
        <v>593</v>
      </c>
      <c r="AE4" s="1">
        <v>81</v>
      </c>
      <c r="AF4" s="1">
        <v>51130</v>
      </c>
      <c r="AG4" s="1">
        <v>0.8</v>
      </c>
      <c r="AH4" s="1">
        <v>1494</v>
      </c>
      <c r="AI4" s="1">
        <v>469</v>
      </c>
      <c r="AJ4" s="1">
        <v>21</v>
      </c>
      <c r="AK4" s="1">
        <v>10484</v>
      </c>
      <c r="AL4" s="1">
        <v>0.2</v>
      </c>
      <c r="AM4" s="1">
        <v>1592</v>
      </c>
      <c r="AN4" s="1">
        <v>335</v>
      </c>
      <c r="AO4" s="1">
        <v>19</v>
      </c>
      <c r="AP4" s="1">
        <v>6775</v>
      </c>
      <c r="AQ4" s="1">
        <v>0.1</v>
      </c>
      <c r="AR4" s="1">
        <v>1748</v>
      </c>
      <c r="AS4" s="1">
        <v>1365</v>
      </c>
      <c r="AT4" s="1">
        <v>121</v>
      </c>
      <c r="AU4" s="1">
        <v>175813</v>
      </c>
      <c r="AV4" s="1">
        <v>2.9</v>
      </c>
    </row>
    <row r="5" spans="1:48">
      <c r="A5" s="1" t="s">
        <v>343</v>
      </c>
      <c r="B5" s="1" t="s">
        <v>344</v>
      </c>
      <c r="C5" s="1">
        <v>0.98558999999999997</v>
      </c>
      <c r="D5" s="1">
        <v>1367</v>
      </c>
      <c r="E5" s="1">
        <v>10153</v>
      </c>
      <c r="F5" s="1">
        <v>274</v>
      </c>
      <c r="G5" s="1">
        <v>2961264</v>
      </c>
      <c r="H5" s="1">
        <v>61.6</v>
      </c>
      <c r="I5" s="1">
        <v>1594</v>
      </c>
      <c r="J5" s="1">
        <v>13917</v>
      </c>
      <c r="K5" s="1">
        <v>100</v>
      </c>
      <c r="L5" s="1">
        <v>1481419</v>
      </c>
      <c r="M5" s="1">
        <v>30.8</v>
      </c>
      <c r="N5" s="1">
        <v>1037</v>
      </c>
      <c r="O5" s="1">
        <v>277</v>
      </c>
      <c r="P5" s="1">
        <v>51</v>
      </c>
      <c r="Q5" s="1">
        <v>15038</v>
      </c>
      <c r="R5" s="1">
        <v>0.3</v>
      </c>
      <c r="S5" s="1">
        <v>1156</v>
      </c>
      <c r="T5" s="1">
        <v>353</v>
      </c>
      <c r="U5" s="1">
        <v>33</v>
      </c>
      <c r="V5" s="1">
        <v>12400</v>
      </c>
      <c r="W5" s="1">
        <v>0.3</v>
      </c>
      <c r="X5" s="1">
        <v>1270</v>
      </c>
      <c r="Y5" s="1">
        <v>1</v>
      </c>
      <c r="Z5" s="1">
        <v>1</v>
      </c>
      <c r="AA5" s="1">
        <v>1</v>
      </c>
      <c r="AB5" s="1">
        <v>0</v>
      </c>
      <c r="AC5" s="1">
        <v>1456</v>
      </c>
      <c r="AD5" s="1">
        <v>327</v>
      </c>
      <c r="AE5" s="1">
        <v>117</v>
      </c>
      <c r="AF5" s="1">
        <v>40725</v>
      </c>
      <c r="AG5" s="1">
        <v>0.8</v>
      </c>
      <c r="AH5" s="1">
        <v>1500</v>
      </c>
      <c r="AI5" s="1">
        <v>737</v>
      </c>
      <c r="AJ5" s="1">
        <v>37</v>
      </c>
      <c r="AK5" s="1">
        <v>29027</v>
      </c>
      <c r="AL5" s="1">
        <v>0.6</v>
      </c>
      <c r="AM5" s="1">
        <v>1592</v>
      </c>
      <c r="AN5" s="1">
        <v>347</v>
      </c>
      <c r="AO5" s="1">
        <v>27</v>
      </c>
      <c r="AP5" s="1">
        <v>9973</v>
      </c>
      <c r="AQ5" s="1">
        <v>0.2</v>
      </c>
      <c r="AR5" s="1">
        <v>1740</v>
      </c>
      <c r="AS5" s="1">
        <v>1315</v>
      </c>
      <c r="AT5" s="1">
        <v>185</v>
      </c>
      <c r="AU5" s="1">
        <v>258958</v>
      </c>
      <c r="AV5" s="1">
        <v>5.4</v>
      </c>
    </row>
    <row r="6" spans="1:48">
      <c r="A6" s="1" t="s">
        <v>345</v>
      </c>
      <c r="B6" s="1" t="s">
        <v>346</v>
      </c>
      <c r="C6" s="1">
        <v>0.99238300000000002</v>
      </c>
      <c r="D6" s="1">
        <v>1369</v>
      </c>
      <c r="E6" s="1">
        <v>9879</v>
      </c>
      <c r="F6" s="1">
        <v>324</v>
      </c>
      <c r="G6" s="1">
        <v>3407142</v>
      </c>
      <c r="H6" s="1">
        <v>70.2</v>
      </c>
      <c r="I6" s="1">
        <v>1590</v>
      </c>
      <c r="J6" s="1">
        <v>11439</v>
      </c>
      <c r="K6" s="1">
        <v>102</v>
      </c>
      <c r="L6" s="1">
        <v>1241997</v>
      </c>
      <c r="M6" s="1">
        <v>25.6</v>
      </c>
      <c r="N6" s="1">
        <v>1039</v>
      </c>
      <c r="O6" s="1">
        <v>399</v>
      </c>
      <c r="P6" s="1">
        <v>61</v>
      </c>
      <c r="Q6" s="1">
        <v>25908</v>
      </c>
      <c r="R6" s="1">
        <v>0.5</v>
      </c>
      <c r="S6" s="1">
        <v>1154</v>
      </c>
      <c r="T6" s="1">
        <v>1</v>
      </c>
      <c r="U6" s="1">
        <v>1</v>
      </c>
      <c r="V6" s="1">
        <v>1</v>
      </c>
      <c r="W6" s="1">
        <v>0</v>
      </c>
      <c r="X6" s="1">
        <v>1270</v>
      </c>
      <c r="Y6" s="1">
        <v>1</v>
      </c>
      <c r="Z6" s="1">
        <v>1</v>
      </c>
      <c r="AA6" s="1">
        <v>1</v>
      </c>
      <c r="AB6" s="1">
        <v>0</v>
      </c>
      <c r="AC6" s="1">
        <v>1430</v>
      </c>
      <c r="AD6" s="1">
        <v>3</v>
      </c>
      <c r="AE6" s="1">
        <v>1</v>
      </c>
      <c r="AF6" s="1">
        <v>3</v>
      </c>
      <c r="AG6" s="1">
        <v>0</v>
      </c>
      <c r="AH6" s="1">
        <v>1500</v>
      </c>
      <c r="AI6" s="1">
        <v>357</v>
      </c>
      <c r="AJ6" s="1">
        <v>33</v>
      </c>
      <c r="AK6" s="1">
        <v>12540</v>
      </c>
      <c r="AL6" s="1">
        <v>0.3</v>
      </c>
      <c r="AM6" s="1">
        <v>1596</v>
      </c>
      <c r="AN6" s="1">
        <v>839</v>
      </c>
      <c r="AO6" s="1">
        <v>29</v>
      </c>
      <c r="AP6" s="1">
        <v>25900</v>
      </c>
      <c r="AQ6" s="1">
        <v>0.5</v>
      </c>
      <c r="AR6" s="1">
        <v>1732</v>
      </c>
      <c r="AS6" s="1">
        <v>1007</v>
      </c>
      <c r="AT6" s="1">
        <v>129</v>
      </c>
      <c r="AU6" s="1">
        <v>138277</v>
      </c>
      <c r="AV6" s="1">
        <v>2.9</v>
      </c>
    </row>
    <row r="7" spans="1:48">
      <c r="A7" s="1" t="s">
        <v>347</v>
      </c>
      <c r="B7" s="1" t="s">
        <v>348</v>
      </c>
      <c r="C7" s="1">
        <v>0.99032600000000004</v>
      </c>
      <c r="D7" s="1">
        <v>1369</v>
      </c>
      <c r="E7" s="1">
        <v>6821</v>
      </c>
      <c r="F7" s="1">
        <v>326</v>
      </c>
      <c r="G7" s="1">
        <v>2366998</v>
      </c>
      <c r="H7" s="1">
        <v>70.2</v>
      </c>
      <c r="I7" s="1">
        <v>1592</v>
      </c>
      <c r="J7" s="1">
        <v>7815</v>
      </c>
      <c r="K7" s="1">
        <v>100</v>
      </c>
      <c r="L7" s="1">
        <v>831881</v>
      </c>
      <c r="M7" s="1">
        <v>24.7</v>
      </c>
      <c r="N7" s="1">
        <v>1033</v>
      </c>
      <c r="O7" s="1">
        <v>283</v>
      </c>
      <c r="P7" s="1">
        <v>77</v>
      </c>
      <c r="Q7" s="1">
        <v>23196</v>
      </c>
      <c r="R7" s="1">
        <v>0.7</v>
      </c>
      <c r="S7" s="1">
        <v>1154</v>
      </c>
      <c r="T7" s="1">
        <v>1</v>
      </c>
      <c r="U7" s="1">
        <v>1</v>
      </c>
      <c r="V7" s="1">
        <v>1</v>
      </c>
      <c r="W7" s="1">
        <v>0</v>
      </c>
      <c r="X7" s="1">
        <v>1270</v>
      </c>
      <c r="Y7" s="1">
        <v>1</v>
      </c>
      <c r="Z7" s="1">
        <v>1</v>
      </c>
      <c r="AA7" s="1">
        <v>1</v>
      </c>
      <c r="AB7" s="1">
        <v>0</v>
      </c>
      <c r="AC7" s="1">
        <v>1406</v>
      </c>
      <c r="AD7" s="1">
        <v>185</v>
      </c>
      <c r="AE7" s="1">
        <v>1</v>
      </c>
      <c r="AF7" s="1">
        <v>197</v>
      </c>
      <c r="AG7" s="1">
        <v>0</v>
      </c>
      <c r="AH7" s="1">
        <v>1500</v>
      </c>
      <c r="AI7" s="1">
        <v>293</v>
      </c>
      <c r="AJ7" s="1">
        <v>31</v>
      </c>
      <c r="AK7" s="1">
        <v>9669</v>
      </c>
      <c r="AL7" s="1">
        <v>0.3</v>
      </c>
      <c r="AM7" s="1">
        <v>1598</v>
      </c>
      <c r="AN7" s="1">
        <v>635</v>
      </c>
      <c r="AO7" s="1">
        <v>25</v>
      </c>
      <c r="AP7" s="1">
        <v>16898</v>
      </c>
      <c r="AQ7" s="1">
        <v>0.5</v>
      </c>
      <c r="AR7" s="1">
        <v>1732</v>
      </c>
      <c r="AS7" s="1">
        <v>753</v>
      </c>
      <c r="AT7" s="1">
        <v>155</v>
      </c>
      <c r="AU7" s="1">
        <v>124239</v>
      </c>
      <c r="AV7" s="1">
        <v>3.7</v>
      </c>
    </row>
    <row r="8" spans="1:48">
      <c r="A8" s="1" t="s">
        <v>349</v>
      </c>
      <c r="B8" s="1" t="s">
        <v>350</v>
      </c>
      <c r="C8" s="1">
        <v>0.98548400000000003</v>
      </c>
      <c r="D8" s="1">
        <v>1369</v>
      </c>
      <c r="E8" s="1">
        <v>29293</v>
      </c>
      <c r="F8" s="1">
        <v>298</v>
      </c>
      <c r="G8" s="1">
        <v>9292067</v>
      </c>
      <c r="H8" s="1">
        <v>54.6</v>
      </c>
      <c r="I8" s="1">
        <v>1584</v>
      </c>
      <c r="J8" s="1">
        <v>45027</v>
      </c>
      <c r="K8" s="1">
        <v>144</v>
      </c>
      <c r="L8" s="1">
        <v>6901885</v>
      </c>
      <c r="M8" s="1">
        <v>40.6</v>
      </c>
      <c r="N8" s="1">
        <v>1043</v>
      </c>
      <c r="O8" s="1">
        <v>233</v>
      </c>
      <c r="P8" s="1">
        <v>23</v>
      </c>
      <c r="Q8" s="1">
        <v>5704</v>
      </c>
      <c r="R8" s="1">
        <v>0</v>
      </c>
      <c r="S8" s="1">
        <v>1166</v>
      </c>
      <c r="T8" s="1">
        <v>43</v>
      </c>
      <c r="U8" s="1">
        <v>1</v>
      </c>
      <c r="V8" s="1">
        <v>46</v>
      </c>
      <c r="W8" s="1">
        <v>0</v>
      </c>
      <c r="X8" s="1">
        <v>1256</v>
      </c>
      <c r="Y8" s="1">
        <v>1</v>
      </c>
      <c r="Z8" s="1">
        <v>1</v>
      </c>
      <c r="AA8" s="1">
        <v>1</v>
      </c>
      <c r="AB8" s="1">
        <v>0</v>
      </c>
      <c r="AC8" s="1">
        <v>1440</v>
      </c>
      <c r="AD8" s="1">
        <v>3411</v>
      </c>
      <c r="AE8" s="1">
        <v>83</v>
      </c>
      <c r="AF8" s="1">
        <v>301364</v>
      </c>
      <c r="AG8" s="1">
        <v>1.8</v>
      </c>
      <c r="AH8" s="1">
        <v>1522</v>
      </c>
      <c r="AI8" s="1">
        <v>2183</v>
      </c>
      <c r="AJ8" s="1">
        <v>109</v>
      </c>
      <c r="AK8" s="1">
        <v>253287</v>
      </c>
      <c r="AL8" s="1">
        <v>1.5</v>
      </c>
      <c r="AM8" s="1">
        <v>1582</v>
      </c>
      <c r="AN8" s="1">
        <v>1691</v>
      </c>
      <c r="AO8" s="1">
        <v>9</v>
      </c>
      <c r="AP8" s="1">
        <v>16200</v>
      </c>
      <c r="AQ8" s="1">
        <v>0.1</v>
      </c>
      <c r="AR8" s="1">
        <v>1748</v>
      </c>
      <c r="AS8" s="1">
        <v>3633</v>
      </c>
      <c r="AT8" s="1">
        <v>61</v>
      </c>
      <c r="AU8" s="1">
        <v>235900</v>
      </c>
      <c r="AV8" s="1">
        <v>1.4</v>
      </c>
    </row>
    <row r="9" spans="1:48">
      <c r="A9" s="1" t="s">
        <v>351</v>
      </c>
      <c r="B9" s="1" t="s">
        <v>352</v>
      </c>
      <c r="C9" s="1">
        <v>0.97844100000000001</v>
      </c>
      <c r="D9" s="1">
        <v>1369</v>
      </c>
      <c r="E9" s="1">
        <v>29403</v>
      </c>
      <c r="F9" s="1">
        <v>178</v>
      </c>
      <c r="G9" s="1">
        <v>5571137</v>
      </c>
      <c r="H9" s="1">
        <v>36.9</v>
      </c>
      <c r="I9" s="1">
        <v>1584</v>
      </c>
      <c r="J9" s="1">
        <v>60647</v>
      </c>
      <c r="K9" s="1">
        <v>114</v>
      </c>
      <c r="L9" s="1">
        <v>7359468</v>
      </c>
      <c r="M9" s="1">
        <v>48.7</v>
      </c>
      <c r="N9" s="1">
        <v>999</v>
      </c>
      <c r="O9" s="1">
        <v>1</v>
      </c>
      <c r="P9" s="1">
        <v>1</v>
      </c>
      <c r="Q9" s="1">
        <v>1</v>
      </c>
      <c r="R9" s="1">
        <v>0</v>
      </c>
      <c r="S9" s="1">
        <v>1170</v>
      </c>
      <c r="T9" s="1">
        <v>1079</v>
      </c>
      <c r="U9" s="1">
        <v>3</v>
      </c>
      <c r="V9" s="1">
        <v>3446</v>
      </c>
      <c r="W9" s="1">
        <v>0</v>
      </c>
      <c r="X9" s="1">
        <v>1292</v>
      </c>
      <c r="Y9" s="1">
        <v>15</v>
      </c>
      <c r="Z9" s="1">
        <v>21</v>
      </c>
      <c r="AA9" s="1">
        <v>335</v>
      </c>
      <c r="AB9" s="1">
        <v>0</v>
      </c>
      <c r="AC9" s="1">
        <v>1458</v>
      </c>
      <c r="AD9" s="1">
        <v>9999</v>
      </c>
      <c r="AE9" s="1">
        <v>97</v>
      </c>
      <c r="AF9" s="1">
        <v>1032430</v>
      </c>
      <c r="AG9" s="1">
        <v>6.8</v>
      </c>
      <c r="AH9" s="1">
        <v>1510</v>
      </c>
      <c r="AI9" s="1">
        <v>9439</v>
      </c>
      <c r="AJ9" s="1">
        <v>109</v>
      </c>
      <c r="AK9" s="1">
        <v>1095178</v>
      </c>
      <c r="AL9" s="1">
        <v>7.3</v>
      </c>
      <c r="AM9" s="1">
        <v>1570</v>
      </c>
      <c r="AN9" s="1">
        <v>515</v>
      </c>
      <c r="AO9" s="1">
        <v>69</v>
      </c>
      <c r="AP9" s="1">
        <v>37826</v>
      </c>
      <c r="AQ9" s="1">
        <v>0.3</v>
      </c>
      <c r="AR9" s="1">
        <v>1700</v>
      </c>
      <c r="AS9" s="1">
        <v>1083</v>
      </c>
      <c r="AT9" s="1">
        <v>5</v>
      </c>
      <c r="AU9" s="1">
        <v>5764</v>
      </c>
      <c r="AV9" s="1">
        <v>0</v>
      </c>
    </row>
    <row r="10" spans="1:48">
      <c r="A10" s="1" t="s">
        <v>353</v>
      </c>
      <c r="B10" s="1" t="s">
        <v>354</v>
      </c>
      <c r="C10" s="1">
        <v>0.988703</v>
      </c>
      <c r="D10" s="1">
        <v>1369</v>
      </c>
      <c r="E10" s="1">
        <v>15273</v>
      </c>
      <c r="F10" s="1">
        <v>332</v>
      </c>
      <c r="G10" s="1">
        <v>5397525</v>
      </c>
      <c r="H10" s="1">
        <v>69.599999999999994</v>
      </c>
      <c r="I10" s="1">
        <v>1590</v>
      </c>
      <c r="J10" s="1">
        <v>17731</v>
      </c>
      <c r="K10" s="1">
        <v>102</v>
      </c>
      <c r="L10" s="1">
        <v>1925155</v>
      </c>
      <c r="M10" s="1">
        <v>24.8</v>
      </c>
      <c r="N10" s="1">
        <v>1045</v>
      </c>
      <c r="O10" s="1">
        <v>553</v>
      </c>
      <c r="P10" s="1">
        <v>53</v>
      </c>
      <c r="Q10" s="1">
        <v>31198</v>
      </c>
      <c r="R10" s="1">
        <v>0.4</v>
      </c>
      <c r="S10" s="1">
        <v>1160</v>
      </c>
      <c r="T10" s="1">
        <v>31</v>
      </c>
      <c r="U10" s="1">
        <v>1</v>
      </c>
      <c r="V10" s="1">
        <v>33</v>
      </c>
      <c r="W10" s="1">
        <v>0</v>
      </c>
      <c r="X10" s="1">
        <v>1270</v>
      </c>
      <c r="Y10" s="1">
        <v>1</v>
      </c>
      <c r="Z10" s="1">
        <v>1</v>
      </c>
      <c r="AA10" s="1">
        <v>1</v>
      </c>
      <c r="AB10" s="1">
        <v>0</v>
      </c>
      <c r="AC10" s="1">
        <v>1456</v>
      </c>
      <c r="AD10" s="1">
        <v>327</v>
      </c>
      <c r="AE10" s="1">
        <v>101</v>
      </c>
      <c r="AF10" s="1">
        <v>35156</v>
      </c>
      <c r="AG10" s="1">
        <v>0.5</v>
      </c>
      <c r="AH10" s="1">
        <v>1500</v>
      </c>
      <c r="AI10" s="1">
        <v>1129</v>
      </c>
      <c r="AJ10" s="1">
        <v>45</v>
      </c>
      <c r="AK10" s="1">
        <v>54080</v>
      </c>
      <c r="AL10" s="1">
        <v>0.7</v>
      </c>
      <c r="AM10" s="1">
        <v>1592</v>
      </c>
      <c r="AN10" s="1">
        <v>775</v>
      </c>
      <c r="AO10" s="1">
        <v>15</v>
      </c>
      <c r="AP10" s="1">
        <v>12374</v>
      </c>
      <c r="AQ10" s="1">
        <v>0.2</v>
      </c>
      <c r="AR10" s="1">
        <v>1730</v>
      </c>
      <c r="AS10" s="1">
        <v>1959</v>
      </c>
      <c r="AT10" s="1">
        <v>143</v>
      </c>
      <c r="AU10" s="1">
        <v>298197</v>
      </c>
      <c r="AV10" s="1">
        <v>3.8</v>
      </c>
    </row>
    <row r="11" spans="1:48">
      <c r="A11" s="1" t="s">
        <v>355</v>
      </c>
      <c r="B11" s="1" t="s">
        <v>356</v>
      </c>
      <c r="C11" s="1">
        <v>0.951658</v>
      </c>
      <c r="D11" s="1">
        <v>1369</v>
      </c>
      <c r="E11" s="1">
        <v>10479</v>
      </c>
      <c r="F11" s="1">
        <v>332</v>
      </c>
      <c r="G11" s="1">
        <v>3703311</v>
      </c>
      <c r="H11" s="1">
        <v>66.3</v>
      </c>
      <c r="I11" s="1">
        <v>1590</v>
      </c>
      <c r="J11" s="1">
        <v>12933</v>
      </c>
      <c r="K11" s="1">
        <v>102</v>
      </c>
      <c r="L11" s="1">
        <v>1404209</v>
      </c>
      <c r="M11" s="1">
        <v>25.2</v>
      </c>
      <c r="N11" s="1">
        <v>1009</v>
      </c>
      <c r="O11" s="1">
        <v>167</v>
      </c>
      <c r="P11" s="1">
        <v>35</v>
      </c>
      <c r="Q11" s="1">
        <v>6222</v>
      </c>
      <c r="R11" s="1">
        <v>0.1</v>
      </c>
      <c r="S11" s="1">
        <v>1174</v>
      </c>
      <c r="T11" s="1">
        <v>55</v>
      </c>
      <c r="U11" s="1">
        <v>1</v>
      </c>
      <c r="V11" s="1">
        <v>59</v>
      </c>
      <c r="W11" s="1">
        <v>0</v>
      </c>
      <c r="X11" s="1">
        <v>1270</v>
      </c>
      <c r="Y11" s="1">
        <v>1</v>
      </c>
      <c r="Z11" s="1">
        <v>1</v>
      </c>
      <c r="AA11" s="1">
        <v>1</v>
      </c>
      <c r="AB11" s="1">
        <v>0</v>
      </c>
      <c r="AC11" s="1">
        <v>1456</v>
      </c>
      <c r="AD11" s="1">
        <v>151</v>
      </c>
      <c r="AE11" s="1">
        <v>117</v>
      </c>
      <c r="AF11" s="1">
        <v>18806</v>
      </c>
      <c r="AG11" s="1">
        <v>0.3</v>
      </c>
      <c r="AH11" s="1">
        <v>1500</v>
      </c>
      <c r="AI11" s="1">
        <v>603</v>
      </c>
      <c r="AJ11" s="1">
        <v>47</v>
      </c>
      <c r="AK11" s="1">
        <v>30168</v>
      </c>
      <c r="AL11" s="1">
        <v>0.5</v>
      </c>
      <c r="AM11" s="1">
        <v>1598</v>
      </c>
      <c r="AN11" s="1">
        <v>969</v>
      </c>
      <c r="AO11" s="1">
        <v>29</v>
      </c>
      <c r="AP11" s="1">
        <v>29913</v>
      </c>
      <c r="AQ11" s="1">
        <v>0.5</v>
      </c>
      <c r="AR11" s="1">
        <v>1746</v>
      </c>
      <c r="AS11" s="1">
        <v>1893</v>
      </c>
      <c r="AT11" s="1">
        <v>193</v>
      </c>
      <c r="AU11" s="1">
        <v>388902</v>
      </c>
      <c r="AV11" s="1">
        <v>7</v>
      </c>
    </row>
    <row r="12" spans="1:48">
      <c r="A12" s="1" t="s">
        <v>357</v>
      </c>
      <c r="B12" s="1" t="s">
        <v>338</v>
      </c>
      <c r="C12" s="1">
        <v>0.98637600000000003</v>
      </c>
      <c r="D12" s="1">
        <v>1369</v>
      </c>
      <c r="E12" s="1">
        <v>6677</v>
      </c>
      <c r="F12" s="1">
        <v>332</v>
      </c>
      <c r="G12" s="1">
        <v>2359672</v>
      </c>
      <c r="H12" s="1">
        <v>75.7</v>
      </c>
      <c r="I12" s="1">
        <v>1588</v>
      </c>
      <c r="J12" s="1">
        <v>5957</v>
      </c>
      <c r="K12" s="1">
        <v>106</v>
      </c>
      <c r="L12" s="1">
        <v>672149</v>
      </c>
      <c r="M12" s="1">
        <v>21.6</v>
      </c>
      <c r="N12" s="1">
        <v>1027</v>
      </c>
      <c r="O12" s="1">
        <v>239</v>
      </c>
      <c r="P12" s="1">
        <v>63</v>
      </c>
      <c r="Q12" s="1">
        <v>16028</v>
      </c>
      <c r="R12" s="1">
        <v>0.5</v>
      </c>
      <c r="S12" s="1">
        <v>1154</v>
      </c>
      <c r="T12" s="1">
        <v>1</v>
      </c>
      <c r="U12" s="1">
        <v>1</v>
      </c>
      <c r="V12" s="1">
        <v>1</v>
      </c>
      <c r="W12" s="1">
        <v>0</v>
      </c>
      <c r="X12" s="1">
        <v>1298</v>
      </c>
      <c r="Y12" s="1">
        <v>67</v>
      </c>
      <c r="Z12" s="1">
        <v>1</v>
      </c>
      <c r="AA12" s="1">
        <v>71</v>
      </c>
      <c r="AB12" s="1">
        <v>0</v>
      </c>
      <c r="AC12" s="1">
        <v>1400</v>
      </c>
      <c r="AD12" s="1">
        <v>1</v>
      </c>
      <c r="AE12" s="1">
        <v>1</v>
      </c>
      <c r="AF12" s="1">
        <v>1</v>
      </c>
      <c r="AG12" s="1">
        <v>0</v>
      </c>
      <c r="AH12" s="1">
        <v>1500</v>
      </c>
      <c r="AI12" s="1">
        <v>181</v>
      </c>
      <c r="AJ12" s="1">
        <v>33</v>
      </c>
      <c r="AK12" s="1">
        <v>6358</v>
      </c>
      <c r="AL12" s="1">
        <v>0.2</v>
      </c>
      <c r="AM12" s="1">
        <v>1592</v>
      </c>
      <c r="AN12" s="1">
        <v>233</v>
      </c>
      <c r="AO12" s="1">
        <v>9</v>
      </c>
      <c r="AP12" s="1">
        <v>2232</v>
      </c>
      <c r="AQ12" s="1">
        <v>0.1</v>
      </c>
      <c r="AR12" s="1">
        <v>1722</v>
      </c>
      <c r="AS12" s="1">
        <v>559</v>
      </c>
      <c r="AT12" s="1">
        <v>101</v>
      </c>
      <c r="AU12" s="1">
        <v>60099</v>
      </c>
      <c r="AV12" s="1">
        <v>1.9</v>
      </c>
    </row>
    <row r="13" spans="1:48">
      <c r="A13" s="1" t="s">
        <v>358</v>
      </c>
      <c r="B13" s="1" t="s">
        <v>359</v>
      </c>
      <c r="C13" s="1">
        <v>0.98250199999999999</v>
      </c>
      <c r="D13" s="1">
        <v>1363</v>
      </c>
      <c r="E13" s="1">
        <v>15649</v>
      </c>
      <c r="F13" s="1">
        <v>286</v>
      </c>
      <c r="G13" s="1">
        <v>4764144</v>
      </c>
      <c r="H13" s="1">
        <v>69.5</v>
      </c>
      <c r="I13" s="1">
        <v>1596</v>
      </c>
      <c r="J13" s="1">
        <v>16609</v>
      </c>
      <c r="K13" s="1">
        <v>100</v>
      </c>
      <c r="L13" s="1">
        <v>1767973</v>
      </c>
      <c r="M13" s="1">
        <v>25.8</v>
      </c>
      <c r="N13" s="1">
        <v>1073</v>
      </c>
      <c r="O13" s="1">
        <v>615</v>
      </c>
      <c r="P13" s="1">
        <v>111</v>
      </c>
      <c r="Q13" s="1">
        <v>72666</v>
      </c>
      <c r="R13" s="1">
        <v>1.1000000000000001</v>
      </c>
      <c r="S13" s="1">
        <v>1170</v>
      </c>
      <c r="T13" s="1">
        <v>37</v>
      </c>
      <c r="U13" s="1">
        <v>1</v>
      </c>
      <c r="V13" s="1">
        <v>39</v>
      </c>
      <c r="W13" s="1">
        <v>0</v>
      </c>
      <c r="X13" s="1">
        <v>1270</v>
      </c>
      <c r="Y13" s="1">
        <v>1</v>
      </c>
      <c r="Z13" s="1">
        <v>1</v>
      </c>
      <c r="AA13" s="1">
        <v>1</v>
      </c>
      <c r="AB13" s="1">
        <v>0</v>
      </c>
      <c r="AC13" s="1">
        <v>1400</v>
      </c>
      <c r="AD13" s="1">
        <v>1</v>
      </c>
      <c r="AE13" s="1">
        <v>155</v>
      </c>
      <c r="AF13" s="1">
        <v>165</v>
      </c>
      <c r="AG13" s="1">
        <v>0</v>
      </c>
      <c r="AH13" s="1">
        <v>1534</v>
      </c>
      <c r="AI13" s="1">
        <v>201</v>
      </c>
      <c r="AJ13" s="1">
        <v>101</v>
      </c>
      <c r="AK13" s="1">
        <v>21610</v>
      </c>
      <c r="AL13" s="1">
        <v>0.3</v>
      </c>
      <c r="AM13" s="1">
        <v>1598</v>
      </c>
      <c r="AN13" s="1">
        <v>2133</v>
      </c>
      <c r="AO13" s="1">
        <v>19</v>
      </c>
      <c r="AP13" s="1">
        <v>43140</v>
      </c>
      <c r="AQ13" s="1">
        <v>0.6</v>
      </c>
      <c r="AR13" s="1">
        <v>1736</v>
      </c>
      <c r="AS13" s="1">
        <v>1141</v>
      </c>
      <c r="AT13" s="1">
        <v>151</v>
      </c>
      <c r="AU13" s="1">
        <v>183398</v>
      </c>
      <c r="AV13" s="1">
        <v>2.7</v>
      </c>
    </row>
    <row r="14" spans="1:48">
      <c r="A14" s="1" t="s">
        <v>360</v>
      </c>
      <c r="B14" s="1" t="s">
        <v>361</v>
      </c>
      <c r="C14" s="1">
        <v>0.98367899999999997</v>
      </c>
      <c r="D14" s="1">
        <v>1369</v>
      </c>
      <c r="E14" s="1">
        <v>13755</v>
      </c>
      <c r="F14" s="1">
        <v>294</v>
      </c>
      <c r="G14" s="1">
        <v>4304673</v>
      </c>
      <c r="H14" s="1">
        <v>70.8</v>
      </c>
      <c r="I14" s="1">
        <v>1594</v>
      </c>
      <c r="J14" s="1">
        <v>14123</v>
      </c>
      <c r="K14" s="1">
        <v>100</v>
      </c>
      <c r="L14" s="1">
        <v>1503347</v>
      </c>
      <c r="M14" s="1">
        <v>24.7</v>
      </c>
      <c r="N14" s="1">
        <v>1067</v>
      </c>
      <c r="O14" s="1">
        <v>751</v>
      </c>
      <c r="P14" s="1">
        <v>107</v>
      </c>
      <c r="Q14" s="1">
        <v>85537</v>
      </c>
      <c r="R14" s="1">
        <v>1.4</v>
      </c>
      <c r="S14" s="1">
        <v>1156</v>
      </c>
      <c r="T14" s="1">
        <v>77</v>
      </c>
      <c r="U14" s="1">
        <v>3</v>
      </c>
      <c r="V14" s="1">
        <v>246</v>
      </c>
      <c r="W14" s="1">
        <v>0</v>
      </c>
      <c r="X14" s="1">
        <v>1270</v>
      </c>
      <c r="Y14" s="1">
        <v>1</v>
      </c>
      <c r="Z14" s="1">
        <v>1</v>
      </c>
      <c r="AA14" s="1">
        <v>1</v>
      </c>
      <c r="AB14" s="1">
        <v>0</v>
      </c>
      <c r="AC14" s="1">
        <v>1400</v>
      </c>
      <c r="AD14" s="1">
        <v>1</v>
      </c>
      <c r="AE14" s="1">
        <v>141</v>
      </c>
      <c r="AF14" s="1">
        <v>150</v>
      </c>
      <c r="AG14" s="1">
        <v>0</v>
      </c>
      <c r="AH14" s="1">
        <v>1500</v>
      </c>
      <c r="AI14" s="1">
        <v>491</v>
      </c>
      <c r="AJ14" s="1">
        <v>29</v>
      </c>
      <c r="AK14" s="1">
        <v>15157</v>
      </c>
      <c r="AL14" s="1">
        <v>0.2</v>
      </c>
      <c r="AM14" s="1">
        <v>1596</v>
      </c>
      <c r="AN14" s="1">
        <v>4095</v>
      </c>
      <c r="AO14" s="1">
        <v>11</v>
      </c>
      <c r="AP14" s="1">
        <v>47949</v>
      </c>
      <c r="AQ14" s="1">
        <v>0.8</v>
      </c>
      <c r="AR14" s="1">
        <v>1732</v>
      </c>
      <c r="AS14" s="1">
        <v>683</v>
      </c>
      <c r="AT14" s="1">
        <v>173</v>
      </c>
      <c r="AU14" s="1">
        <v>125776</v>
      </c>
      <c r="AV14" s="1">
        <v>2.1</v>
      </c>
    </row>
    <row r="15" spans="1:48">
      <c r="A15" s="1" t="s">
        <v>362</v>
      </c>
      <c r="B15" s="1" t="s">
        <v>363</v>
      </c>
      <c r="C15" s="1">
        <v>0.98984399999999995</v>
      </c>
      <c r="D15" s="1">
        <v>1369</v>
      </c>
      <c r="E15" s="1">
        <v>27139</v>
      </c>
      <c r="F15" s="1">
        <v>338</v>
      </c>
      <c r="G15" s="1">
        <v>9764337</v>
      </c>
      <c r="H15" s="1">
        <v>72</v>
      </c>
      <c r="I15" s="1">
        <v>1592</v>
      </c>
      <c r="J15" s="1">
        <v>29535</v>
      </c>
      <c r="K15" s="1">
        <v>100</v>
      </c>
      <c r="L15" s="1">
        <v>3143903</v>
      </c>
      <c r="M15" s="1">
        <v>23.2</v>
      </c>
      <c r="N15" s="1">
        <v>1069</v>
      </c>
      <c r="O15" s="1">
        <v>631</v>
      </c>
      <c r="P15" s="1">
        <v>67</v>
      </c>
      <c r="Q15" s="1">
        <v>45002</v>
      </c>
      <c r="R15" s="1">
        <v>0.3</v>
      </c>
      <c r="S15" s="1">
        <v>1154</v>
      </c>
      <c r="T15" s="1">
        <v>1</v>
      </c>
      <c r="U15" s="1">
        <v>1</v>
      </c>
      <c r="V15" s="1">
        <v>1</v>
      </c>
      <c r="W15" s="1">
        <v>0</v>
      </c>
      <c r="X15" s="1">
        <v>1270</v>
      </c>
      <c r="Y15" s="1">
        <v>1</v>
      </c>
      <c r="Z15" s="1">
        <v>1</v>
      </c>
      <c r="AA15" s="1">
        <v>1</v>
      </c>
      <c r="AB15" s="1">
        <v>0</v>
      </c>
      <c r="AC15" s="1">
        <v>1456</v>
      </c>
      <c r="AD15" s="1">
        <v>71</v>
      </c>
      <c r="AE15" s="1">
        <v>159</v>
      </c>
      <c r="AF15" s="1">
        <v>12017</v>
      </c>
      <c r="AG15" s="1">
        <v>0.1</v>
      </c>
      <c r="AH15" s="1">
        <v>1500</v>
      </c>
      <c r="AI15" s="1">
        <v>1875</v>
      </c>
      <c r="AJ15" s="1">
        <v>35</v>
      </c>
      <c r="AK15" s="1">
        <v>69856</v>
      </c>
      <c r="AL15" s="1">
        <v>0.5</v>
      </c>
      <c r="AM15" s="1">
        <v>1598</v>
      </c>
      <c r="AN15" s="1">
        <v>3243</v>
      </c>
      <c r="AO15" s="1">
        <v>29</v>
      </c>
      <c r="AP15" s="1">
        <v>100110</v>
      </c>
      <c r="AQ15" s="1">
        <v>0.7</v>
      </c>
      <c r="AR15" s="1">
        <v>1746</v>
      </c>
      <c r="AS15" s="1">
        <v>1979</v>
      </c>
      <c r="AT15" s="1">
        <v>199</v>
      </c>
      <c r="AU15" s="1">
        <v>419209</v>
      </c>
      <c r="AV15" s="1">
        <v>3.1</v>
      </c>
    </row>
    <row r="16" spans="1:48">
      <c r="A16" s="1" t="s">
        <v>364</v>
      </c>
      <c r="B16" s="1" t="s">
        <v>365</v>
      </c>
      <c r="C16" s="1">
        <v>0.99048000000000003</v>
      </c>
      <c r="D16" s="1">
        <v>1369</v>
      </c>
      <c r="E16" s="1">
        <v>6841</v>
      </c>
      <c r="F16" s="1">
        <v>322</v>
      </c>
      <c r="G16" s="1">
        <v>2344810</v>
      </c>
      <c r="H16" s="1">
        <v>68.8</v>
      </c>
      <c r="I16" s="1">
        <v>1592</v>
      </c>
      <c r="J16" s="1">
        <v>8119</v>
      </c>
      <c r="K16" s="1">
        <v>100</v>
      </c>
      <c r="L16" s="1">
        <v>864241</v>
      </c>
      <c r="M16" s="1">
        <v>25.4</v>
      </c>
      <c r="N16" s="1">
        <v>1041</v>
      </c>
      <c r="O16" s="1">
        <v>275</v>
      </c>
      <c r="P16" s="1">
        <v>73</v>
      </c>
      <c r="Q16" s="1">
        <v>21369</v>
      </c>
      <c r="R16" s="1">
        <v>0.6</v>
      </c>
      <c r="S16" s="1">
        <v>1150</v>
      </c>
      <c r="T16" s="1">
        <v>81</v>
      </c>
      <c r="U16" s="1">
        <v>1</v>
      </c>
      <c r="V16" s="1">
        <v>86</v>
      </c>
      <c r="W16" s="1">
        <v>0</v>
      </c>
      <c r="X16" s="1">
        <v>1270</v>
      </c>
      <c r="Y16" s="1">
        <v>1</v>
      </c>
      <c r="Z16" s="1">
        <v>1</v>
      </c>
      <c r="AA16" s="1">
        <v>1</v>
      </c>
      <c r="AB16" s="1">
        <v>0</v>
      </c>
      <c r="AC16" s="1">
        <v>1450</v>
      </c>
      <c r="AD16" s="1">
        <v>33</v>
      </c>
      <c r="AE16" s="1">
        <v>1</v>
      </c>
      <c r="AF16" s="1">
        <v>35</v>
      </c>
      <c r="AG16" s="1">
        <v>0</v>
      </c>
      <c r="AH16" s="1">
        <v>1500</v>
      </c>
      <c r="AI16" s="1">
        <v>391</v>
      </c>
      <c r="AJ16" s="1">
        <v>21</v>
      </c>
      <c r="AK16" s="1">
        <v>8740</v>
      </c>
      <c r="AL16" s="1">
        <v>0.3</v>
      </c>
      <c r="AM16" s="1">
        <v>1598</v>
      </c>
      <c r="AN16" s="1">
        <v>1013</v>
      </c>
      <c r="AO16" s="1">
        <v>29</v>
      </c>
      <c r="AP16" s="1">
        <v>31271</v>
      </c>
      <c r="AQ16" s="1">
        <v>0.9</v>
      </c>
      <c r="AR16" s="1">
        <v>1734</v>
      </c>
      <c r="AS16" s="1">
        <v>833</v>
      </c>
      <c r="AT16" s="1">
        <v>153</v>
      </c>
      <c r="AU16" s="1">
        <v>135665</v>
      </c>
      <c r="AV16" s="1">
        <v>4</v>
      </c>
    </row>
    <row r="17" spans="1:48">
      <c r="A17" s="1" t="s">
        <v>366</v>
      </c>
      <c r="B17" s="1" t="s">
        <v>367</v>
      </c>
      <c r="C17" s="1">
        <v>0.98513300000000004</v>
      </c>
      <c r="D17" s="1">
        <v>1369</v>
      </c>
      <c r="E17" s="1">
        <v>34797</v>
      </c>
      <c r="F17" s="1">
        <v>308</v>
      </c>
      <c r="G17" s="1">
        <v>11408400</v>
      </c>
      <c r="H17" s="1">
        <v>65.599999999999994</v>
      </c>
      <c r="I17" s="1">
        <v>1596</v>
      </c>
      <c r="J17" s="1">
        <v>43981</v>
      </c>
      <c r="K17" s="1">
        <v>100</v>
      </c>
      <c r="L17" s="1">
        <v>4681632</v>
      </c>
      <c r="M17" s="1">
        <v>26.9</v>
      </c>
      <c r="N17" s="1">
        <v>1037</v>
      </c>
      <c r="O17" s="1">
        <v>1097</v>
      </c>
      <c r="P17" s="1">
        <v>65</v>
      </c>
      <c r="Q17" s="1">
        <v>75902</v>
      </c>
      <c r="R17" s="1">
        <v>0.4</v>
      </c>
      <c r="S17" s="1">
        <v>1156</v>
      </c>
      <c r="T17" s="1">
        <v>1587</v>
      </c>
      <c r="U17" s="1">
        <v>29</v>
      </c>
      <c r="V17" s="1">
        <v>48990</v>
      </c>
      <c r="W17" s="1">
        <v>0.3</v>
      </c>
      <c r="X17" s="1">
        <v>1270</v>
      </c>
      <c r="Y17" s="1">
        <v>1</v>
      </c>
      <c r="Z17" s="1">
        <v>1</v>
      </c>
      <c r="AA17" s="1">
        <v>1</v>
      </c>
      <c r="AB17" s="1">
        <v>0</v>
      </c>
      <c r="AC17" s="1">
        <v>1456</v>
      </c>
      <c r="AD17" s="1">
        <v>47</v>
      </c>
      <c r="AE17" s="1">
        <v>1</v>
      </c>
      <c r="AF17" s="1">
        <v>50</v>
      </c>
      <c r="AG17" s="1">
        <v>0</v>
      </c>
      <c r="AH17" s="1">
        <v>1500</v>
      </c>
      <c r="AI17" s="1">
        <v>2113</v>
      </c>
      <c r="AJ17" s="1">
        <v>29</v>
      </c>
      <c r="AK17" s="1">
        <v>65227</v>
      </c>
      <c r="AL17" s="1">
        <v>0.4</v>
      </c>
      <c r="AM17" s="1">
        <v>1592</v>
      </c>
      <c r="AN17" s="1">
        <v>5131</v>
      </c>
      <c r="AO17" s="1">
        <v>19</v>
      </c>
      <c r="AP17" s="1">
        <v>103774</v>
      </c>
      <c r="AQ17" s="1">
        <v>0.6</v>
      </c>
      <c r="AR17" s="1">
        <v>1748</v>
      </c>
      <c r="AS17" s="1">
        <v>4803</v>
      </c>
      <c r="AT17" s="1">
        <v>199</v>
      </c>
      <c r="AU17" s="1">
        <v>1017414</v>
      </c>
      <c r="AV17" s="1">
        <v>5.8</v>
      </c>
    </row>
    <row r="18" spans="1:48">
      <c r="A18" s="1" t="s">
        <v>368</v>
      </c>
      <c r="B18" s="1" t="s">
        <v>369</v>
      </c>
      <c r="C18" s="1">
        <v>0.99274799999999996</v>
      </c>
      <c r="D18" s="1">
        <v>1369</v>
      </c>
      <c r="E18" s="1">
        <v>15043</v>
      </c>
      <c r="F18" s="1">
        <v>318</v>
      </c>
      <c r="G18" s="1">
        <v>5092063</v>
      </c>
      <c r="H18" s="1">
        <v>68.5</v>
      </c>
      <c r="I18" s="1">
        <v>1592</v>
      </c>
      <c r="J18" s="1">
        <v>18179</v>
      </c>
      <c r="K18" s="1">
        <v>100</v>
      </c>
      <c r="L18" s="1">
        <v>1935095</v>
      </c>
      <c r="M18" s="1">
        <v>26</v>
      </c>
      <c r="N18" s="1">
        <v>1039</v>
      </c>
      <c r="O18" s="1">
        <v>499</v>
      </c>
      <c r="P18" s="1">
        <v>61</v>
      </c>
      <c r="Q18" s="1">
        <v>32401</v>
      </c>
      <c r="R18" s="1">
        <v>0.4</v>
      </c>
      <c r="S18" s="1">
        <v>1152</v>
      </c>
      <c r="T18" s="1">
        <v>169</v>
      </c>
      <c r="U18" s="1">
        <v>11</v>
      </c>
      <c r="V18" s="1">
        <v>1979</v>
      </c>
      <c r="W18" s="1">
        <v>0</v>
      </c>
      <c r="X18" s="1">
        <v>1270</v>
      </c>
      <c r="Y18" s="1">
        <v>1</v>
      </c>
      <c r="Z18" s="1">
        <v>1</v>
      </c>
      <c r="AA18" s="1">
        <v>1</v>
      </c>
      <c r="AB18" s="1">
        <v>0</v>
      </c>
      <c r="AC18" s="1">
        <v>1400</v>
      </c>
      <c r="AD18" s="1">
        <v>1</v>
      </c>
      <c r="AE18" s="1">
        <v>1</v>
      </c>
      <c r="AF18" s="1">
        <v>1</v>
      </c>
      <c r="AG18" s="1">
        <v>0</v>
      </c>
      <c r="AH18" s="1">
        <v>1500</v>
      </c>
      <c r="AI18" s="1">
        <v>955</v>
      </c>
      <c r="AJ18" s="1">
        <v>27</v>
      </c>
      <c r="AK18" s="1">
        <v>27447</v>
      </c>
      <c r="AL18" s="1">
        <v>0.4</v>
      </c>
      <c r="AM18" s="1">
        <v>1594</v>
      </c>
      <c r="AN18" s="1">
        <v>2369</v>
      </c>
      <c r="AO18" s="1">
        <v>31</v>
      </c>
      <c r="AP18" s="1">
        <v>78173</v>
      </c>
      <c r="AQ18" s="1">
        <v>1.1000000000000001</v>
      </c>
      <c r="AR18" s="1">
        <v>1742</v>
      </c>
      <c r="AS18" s="1">
        <v>1481</v>
      </c>
      <c r="AT18" s="1">
        <v>169</v>
      </c>
      <c r="AU18" s="1">
        <v>266424</v>
      </c>
      <c r="AV18" s="1">
        <v>3.6</v>
      </c>
    </row>
    <row r="19" spans="1:48">
      <c r="A19" s="1" t="s">
        <v>370</v>
      </c>
      <c r="B19" s="1" t="s">
        <v>371</v>
      </c>
      <c r="C19" s="1">
        <v>0.98619000000000001</v>
      </c>
      <c r="D19" s="1">
        <v>1367</v>
      </c>
      <c r="E19" s="1">
        <v>6969</v>
      </c>
      <c r="F19" s="1">
        <v>288</v>
      </c>
      <c r="G19" s="1">
        <v>2136462</v>
      </c>
      <c r="H19" s="1">
        <v>67.400000000000006</v>
      </c>
      <c r="I19" s="1">
        <v>1592</v>
      </c>
      <c r="J19" s="1">
        <v>7697</v>
      </c>
      <c r="K19" s="1">
        <v>100</v>
      </c>
      <c r="L19" s="1">
        <v>819320</v>
      </c>
      <c r="M19" s="1">
        <v>25.9</v>
      </c>
      <c r="N19" s="1">
        <v>1063</v>
      </c>
      <c r="O19" s="1">
        <v>395</v>
      </c>
      <c r="P19" s="1">
        <v>101</v>
      </c>
      <c r="Q19" s="1">
        <v>42467</v>
      </c>
      <c r="R19" s="1">
        <v>1.3</v>
      </c>
      <c r="S19" s="1">
        <v>1156</v>
      </c>
      <c r="T19" s="1">
        <v>3</v>
      </c>
      <c r="U19" s="1">
        <v>13</v>
      </c>
      <c r="V19" s="1">
        <v>42</v>
      </c>
      <c r="W19" s="1">
        <v>0</v>
      </c>
      <c r="X19" s="1">
        <v>1270</v>
      </c>
      <c r="Y19" s="1">
        <v>1</v>
      </c>
      <c r="Z19" s="1">
        <v>1</v>
      </c>
      <c r="AA19" s="1">
        <v>1</v>
      </c>
      <c r="AB19" s="1">
        <v>0</v>
      </c>
      <c r="AC19" s="1">
        <v>1400</v>
      </c>
      <c r="AD19" s="1">
        <v>1</v>
      </c>
      <c r="AE19" s="1">
        <v>1</v>
      </c>
      <c r="AF19" s="1">
        <v>1</v>
      </c>
      <c r="AG19" s="1">
        <v>0</v>
      </c>
      <c r="AH19" s="1">
        <v>1500</v>
      </c>
      <c r="AI19" s="1">
        <v>211</v>
      </c>
      <c r="AJ19" s="1">
        <v>37</v>
      </c>
      <c r="AK19" s="1">
        <v>8310</v>
      </c>
      <c r="AL19" s="1">
        <v>0.3</v>
      </c>
      <c r="AM19" s="1">
        <v>1598</v>
      </c>
      <c r="AN19" s="1">
        <v>869</v>
      </c>
      <c r="AO19" s="1">
        <v>25</v>
      </c>
      <c r="AP19" s="1">
        <v>23126</v>
      </c>
      <c r="AQ19" s="1">
        <v>0.7</v>
      </c>
      <c r="AR19" s="1">
        <v>1728</v>
      </c>
      <c r="AS19" s="1">
        <v>975</v>
      </c>
      <c r="AT19" s="1">
        <v>133</v>
      </c>
      <c r="AU19" s="1">
        <v>138035</v>
      </c>
      <c r="AV19" s="1">
        <v>4.4000000000000004</v>
      </c>
    </row>
    <row r="20" spans="1:48">
      <c r="A20" s="1" t="s">
        <v>372</v>
      </c>
      <c r="B20" s="1" t="s">
        <v>373</v>
      </c>
      <c r="C20" s="1">
        <v>0.96092100000000003</v>
      </c>
      <c r="D20" s="1">
        <v>1369</v>
      </c>
      <c r="E20" s="1">
        <v>9315</v>
      </c>
      <c r="F20" s="1">
        <v>184</v>
      </c>
      <c r="G20" s="1">
        <v>1824454</v>
      </c>
      <c r="H20" s="1">
        <v>43.5</v>
      </c>
      <c r="I20" s="1">
        <v>1592</v>
      </c>
      <c r="J20" s="1">
        <v>15795</v>
      </c>
      <c r="K20" s="1">
        <v>110</v>
      </c>
      <c r="L20" s="1">
        <v>1849458</v>
      </c>
      <c r="M20" s="1">
        <v>44.1</v>
      </c>
      <c r="N20" s="1">
        <v>1007</v>
      </c>
      <c r="O20" s="1">
        <v>391</v>
      </c>
      <c r="P20" s="1">
        <v>1</v>
      </c>
      <c r="Q20" s="1">
        <v>416</v>
      </c>
      <c r="R20" s="1">
        <v>0</v>
      </c>
      <c r="S20" s="1">
        <v>1156</v>
      </c>
      <c r="T20" s="1">
        <v>1009</v>
      </c>
      <c r="U20" s="1">
        <v>25</v>
      </c>
      <c r="V20" s="1">
        <v>26851</v>
      </c>
      <c r="W20" s="1">
        <v>0.6</v>
      </c>
      <c r="X20" s="1">
        <v>1270</v>
      </c>
      <c r="Y20" s="1">
        <v>1</v>
      </c>
      <c r="Z20" s="1">
        <v>1</v>
      </c>
      <c r="AA20" s="1">
        <v>1</v>
      </c>
      <c r="AB20" s="1">
        <v>0</v>
      </c>
      <c r="AC20" s="1">
        <v>1458</v>
      </c>
      <c r="AD20" s="1">
        <v>3115</v>
      </c>
      <c r="AE20" s="1">
        <v>59</v>
      </c>
      <c r="AF20" s="1">
        <v>195633</v>
      </c>
      <c r="AG20" s="1">
        <v>4.7</v>
      </c>
      <c r="AH20" s="1">
        <v>1502</v>
      </c>
      <c r="AI20" s="1">
        <v>2185</v>
      </c>
      <c r="AJ20" s="1">
        <v>37</v>
      </c>
      <c r="AK20" s="1">
        <v>86057</v>
      </c>
      <c r="AL20" s="1">
        <v>2.1</v>
      </c>
      <c r="AM20" s="1">
        <v>1592</v>
      </c>
      <c r="AN20" s="1">
        <v>1079</v>
      </c>
      <c r="AO20" s="1">
        <v>19</v>
      </c>
      <c r="AP20" s="1">
        <v>21823</v>
      </c>
      <c r="AQ20" s="1">
        <v>0.5</v>
      </c>
      <c r="AR20" s="1">
        <v>1734</v>
      </c>
      <c r="AS20" s="1">
        <v>1975</v>
      </c>
      <c r="AT20" s="1">
        <v>89</v>
      </c>
      <c r="AU20" s="1">
        <v>187107</v>
      </c>
      <c r="AV20" s="1">
        <v>4.5</v>
      </c>
    </row>
    <row r="21" spans="1:48">
      <c r="A21" s="1" t="s">
        <v>374</v>
      </c>
      <c r="B21" s="1" t="s">
        <v>375</v>
      </c>
      <c r="C21" s="1">
        <v>0.986209</v>
      </c>
      <c r="D21" s="1">
        <v>1367</v>
      </c>
      <c r="E21" s="1">
        <v>8051</v>
      </c>
      <c r="F21" s="1">
        <v>298</v>
      </c>
      <c r="G21" s="1">
        <v>2553867</v>
      </c>
      <c r="H21" s="1">
        <v>67.8</v>
      </c>
      <c r="I21" s="1">
        <v>1592</v>
      </c>
      <c r="J21" s="1">
        <v>8883</v>
      </c>
      <c r="K21" s="1">
        <v>100</v>
      </c>
      <c r="L21" s="1">
        <v>945566</v>
      </c>
      <c r="M21" s="1">
        <v>25.1</v>
      </c>
      <c r="N21" s="1">
        <v>1059</v>
      </c>
      <c r="O21" s="1">
        <v>395</v>
      </c>
      <c r="P21" s="1">
        <v>97</v>
      </c>
      <c r="Q21" s="1">
        <v>40785</v>
      </c>
      <c r="R21" s="1">
        <v>1.1000000000000001</v>
      </c>
      <c r="S21" s="1">
        <v>1160</v>
      </c>
      <c r="T21" s="1">
        <v>15</v>
      </c>
      <c r="U21" s="1">
        <v>1</v>
      </c>
      <c r="V21" s="1">
        <v>16</v>
      </c>
      <c r="W21" s="1">
        <v>0</v>
      </c>
      <c r="X21" s="1">
        <v>1270</v>
      </c>
      <c r="Y21" s="1">
        <v>1</v>
      </c>
      <c r="Z21" s="1">
        <v>1</v>
      </c>
      <c r="AA21" s="1">
        <v>1</v>
      </c>
      <c r="AB21" s="1">
        <v>0</v>
      </c>
      <c r="AC21" s="1">
        <v>1400</v>
      </c>
      <c r="AD21" s="1">
        <v>1</v>
      </c>
      <c r="AE21" s="1">
        <v>1</v>
      </c>
      <c r="AF21" s="1">
        <v>1</v>
      </c>
      <c r="AG21" s="1">
        <v>0</v>
      </c>
      <c r="AH21" s="1">
        <v>1500</v>
      </c>
      <c r="AI21" s="1">
        <v>623</v>
      </c>
      <c r="AJ21" s="1">
        <v>25</v>
      </c>
      <c r="AK21" s="1">
        <v>16579</v>
      </c>
      <c r="AL21" s="1">
        <v>0.4</v>
      </c>
      <c r="AM21" s="1">
        <v>1598</v>
      </c>
      <c r="AN21" s="1">
        <v>921</v>
      </c>
      <c r="AO21" s="1">
        <v>23</v>
      </c>
      <c r="AP21" s="1">
        <v>22549</v>
      </c>
      <c r="AQ21" s="1">
        <v>0.6</v>
      </c>
      <c r="AR21" s="1">
        <v>1746</v>
      </c>
      <c r="AS21" s="1">
        <v>921</v>
      </c>
      <c r="AT21" s="1">
        <v>191</v>
      </c>
      <c r="AU21" s="1">
        <v>187251</v>
      </c>
      <c r="AV21" s="1">
        <v>5</v>
      </c>
    </row>
    <row r="22" spans="1:48">
      <c r="A22" s="1" t="s">
        <v>376</v>
      </c>
      <c r="B22" s="1" t="s">
        <v>377</v>
      </c>
      <c r="C22" s="1">
        <v>0.98684400000000005</v>
      </c>
      <c r="D22" s="1">
        <v>1365</v>
      </c>
      <c r="E22" s="1">
        <v>18253</v>
      </c>
      <c r="F22" s="1">
        <v>316</v>
      </c>
      <c r="G22" s="1">
        <v>6139791</v>
      </c>
      <c r="H22" s="1">
        <v>67.5</v>
      </c>
      <c r="I22" s="1">
        <v>1588</v>
      </c>
      <c r="J22" s="1">
        <v>21299</v>
      </c>
      <c r="K22" s="1">
        <v>112</v>
      </c>
      <c r="L22" s="1">
        <v>2539273</v>
      </c>
      <c r="M22" s="1">
        <v>27.9</v>
      </c>
      <c r="N22" s="1">
        <v>1043</v>
      </c>
      <c r="O22" s="1">
        <v>755</v>
      </c>
      <c r="P22" s="1">
        <v>55</v>
      </c>
      <c r="Q22" s="1">
        <v>44202</v>
      </c>
      <c r="R22" s="1">
        <v>0.5</v>
      </c>
      <c r="S22" s="1">
        <v>1186</v>
      </c>
      <c r="T22" s="1">
        <v>1</v>
      </c>
      <c r="U22" s="1">
        <v>1</v>
      </c>
      <c r="V22" s="1">
        <v>1</v>
      </c>
      <c r="W22" s="1">
        <v>0</v>
      </c>
      <c r="X22" s="1">
        <v>1256</v>
      </c>
      <c r="Y22" s="1">
        <v>1</v>
      </c>
      <c r="Z22" s="1">
        <v>1</v>
      </c>
      <c r="AA22" s="1">
        <v>1</v>
      </c>
      <c r="AB22" s="1">
        <v>0</v>
      </c>
      <c r="AC22" s="1">
        <v>1440</v>
      </c>
      <c r="AD22" s="1">
        <v>695</v>
      </c>
      <c r="AE22" s="1">
        <v>99</v>
      </c>
      <c r="AF22" s="1">
        <v>73241</v>
      </c>
      <c r="AG22" s="1">
        <v>0.8</v>
      </c>
      <c r="AH22" s="1">
        <v>1506</v>
      </c>
      <c r="AI22" s="1">
        <v>417</v>
      </c>
      <c r="AJ22" s="1">
        <v>35</v>
      </c>
      <c r="AK22" s="1">
        <v>15536</v>
      </c>
      <c r="AL22" s="1">
        <v>0.2</v>
      </c>
      <c r="AM22" s="1">
        <v>1582</v>
      </c>
      <c r="AN22" s="1">
        <v>241</v>
      </c>
      <c r="AO22" s="1">
        <v>3</v>
      </c>
      <c r="AP22" s="1">
        <v>770</v>
      </c>
      <c r="AQ22" s="1">
        <v>0</v>
      </c>
      <c r="AR22" s="1">
        <v>1720</v>
      </c>
      <c r="AS22" s="1">
        <v>2903</v>
      </c>
      <c r="AT22" s="1">
        <v>93</v>
      </c>
      <c r="AU22" s="1">
        <v>287384</v>
      </c>
      <c r="AV22" s="1">
        <v>3.2</v>
      </c>
    </row>
    <row r="23" spans="1:48">
      <c r="A23" s="1" t="s">
        <v>378</v>
      </c>
      <c r="B23" s="1" t="s">
        <v>379</v>
      </c>
      <c r="C23" s="1">
        <v>0.98993600000000004</v>
      </c>
      <c r="D23" s="1">
        <v>1367</v>
      </c>
      <c r="E23" s="1">
        <v>27549</v>
      </c>
      <c r="F23" s="1">
        <v>326</v>
      </c>
      <c r="G23" s="1">
        <v>9559951</v>
      </c>
      <c r="H23" s="1">
        <v>69.3</v>
      </c>
      <c r="I23" s="1">
        <v>1586</v>
      </c>
      <c r="J23" s="1">
        <v>29239</v>
      </c>
      <c r="K23" s="1">
        <v>116</v>
      </c>
      <c r="L23" s="1">
        <v>3610378</v>
      </c>
      <c r="M23" s="1">
        <v>26.2</v>
      </c>
      <c r="N23" s="1">
        <v>1049</v>
      </c>
      <c r="O23" s="1">
        <v>1013</v>
      </c>
      <c r="P23" s="1">
        <v>61</v>
      </c>
      <c r="Q23" s="1">
        <v>65777</v>
      </c>
      <c r="R23" s="1">
        <v>0.5</v>
      </c>
      <c r="S23" s="1">
        <v>1186</v>
      </c>
      <c r="T23" s="1">
        <v>1</v>
      </c>
      <c r="U23" s="1">
        <v>1</v>
      </c>
      <c r="V23" s="1">
        <v>1</v>
      </c>
      <c r="W23" s="1">
        <v>0</v>
      </c>
      <c r="X23" s="1">
        <v>1256</v>
      </c>
      <c r="Y23" s="1">
        <v>1</v>
      </c>
      <c r="Z23" s="1">
        <v>1</v>
      </c>
      <c r="AA23" s="1">
        <v>1</v>
      </c>
      <c r="AB23" s="1">
        <v>0</v>
      </c>
      <c r="AC23" s="1">
        <v>1440</v>
      </c>
      <c r="AD23" s="1">
        <v>717</v>
      </c>
      <c r="AE23" s="1">
        <v>97</v>
      </c>
      <c r="AF23" s="1">
        <v>74033</v>
      </c>
      <c r="AG23" s="1">
        <v>0.5</v>
      </c>
      <c r="AH23" s="1">
        <v>1488</v>
      </c>
      <c r="AI23" s="1">
        <v>761</v>
      </c>
      <c r="AJ23" s="1">
        <v>43</v>
      </c>
      <c r="AK23" s="1">
        <v>34833</v>
      </c>
      <c r="AL23" s="1">
        <v>0.3</v>
      </c>
      <c r="AM23" s="1">
        <v>1594</v>
      </c>
      <c r="AN23" s="1">
        <v>649</v>
      </c>
      <c r="AO23" s="1">
        <v>19</v>
      </c>
      <c r="AP23" s="1">
        <v>13126</v>
      </c>
      <c r="AQ23" s="1">
        <v>0.1</v>
      </c>
      <c r="AR23" s="1">
        <v>1732</v>
      </c>
      <c r="AS23" s="1">
        <v>3607</v>
      </c>
      <c r="AT23" s="1">
        <v>113</v>
      </c>
      <c r="AU23" s="1">
        <v>433867</v>
      </c>
      <c r="AV23" s="1">
        <v>3.1</v>
      </c>
    </row>
    <row r="24" spans="1:48">
      <c r="A24" s="1" t="s">
        <v>380</v>
      </c>
      <c r="B24" s="1" t="s">
        <v>381</v>
      </c>
      <c r="C24" s="1">
        <v>0.98648899999999995</v>
      </c>
      <c r="D24" s="1">
        <v>1369</v>
      </c>
      <c r="E24" s="1">
        <v>15933</v>
      </c>
      <c r="F24" s="1">
        <v>306</v>
      </c>
      <c r="G24" s="1">
        <v>5189807</v>
      </c>
      <c r="H24" s="1">
        <v>65.400000000000006</v>
      </c>
      <c r="I24" s="1">
        <v>1592</v>
      </c>
      <c r="J24" s="1">
        <v>21139</v>
      </c>
      <c r="K24" s="1">
        <v>102</v>
      </c>
      <c r="L24" s="1">
        <v>2295180</v>
      </c>
      <c r="M24" s="1">
        <v>28.9</v>
      </c>
      <c r="N24" s="1">
        <v>1041</v>
      </c>
      <c r="O24" s="1">
        <v>529</v>
      </c>
      <c r="P24" s="1">
        <v>65</v>
      </c>
      <c r="Q24" s="1">
        <v>36602</v>
      </c>
      <c r="R24" s="1">
        <v>0.5</v>
      </c>
      <c r="S24" s="1">
        <v>1170</v>
      </c>
      <c r="T24" s="1">
        <v>129</v>
      </c>
      <c r="U24" s="1">
        <v>1</v>
      </c>
      <c r="V24" s="1">
        <v>137</v>
      </c>
      <c r="W24" s="1">
        <v>0</v>
      </c>
      <c r="X24" s="1">
        <v>1270</v>
      </c>
      <c r="Y24" s="1">
        <v>1</v>
      </c>
      <c r="Z24" s="1">
        <v>1</v>
      </c>
      <c r="AA24" s="1">
        <v>1</v>
      </c>
      <c r="AB24" s="1">
        <v>0</v>
      </c>
      <c r="AC24" s="1">
        <v>1456</v>
      </c>
      <c r="AD24" s="1">
        <v>139</v>
      </c>
      <c r="AE24" s="1">
        <v>117</v>
      </c>
      <c r="AF24" s="1">
        <v>17311</v>
      </c>
      <c r="AG24" s="1">
        <v>0.2</v>
      </c>
      <c r="AH24" s="1">
        <v>1494</v>
      </c>
      <c r="AI24" s="1">
        <v>1237</v>
      </c>
      <c r="AJ24" s="1">
        <v>51</v>
      </c>
      <c r="AK24" s="1">
        <v>67154</v>
      </c>
      <c r="AL24" s="1">
        <v>0.8</v>
      </c>
      <c r="AM24" s="1">
        <v>1592</v>
      </c>
      <c r="AN24" s="1">
        <v>747</v>
      </c>
      <c r="AO24" s="1">
        <v>9</v>
      </c>
      <c r="AP24" s="1">
        <v>7156</v>
      </c>
      <c r="AQ24" s="1">
        <v>0.1</v>
      </c>
      <c r="AR24" s="1">
        <v>1730</v>
      </c>
      <c r="AS24" s="1">
        <v>2421</v>
      </c>
      <c r="AT24" s="1">
        <v>123</v>
      </c>
      <c r="AU24" s="1">
        <v>316980</v>
      </c>
      <c r="AV24" s="1">
        <v>4</v>
      </c>
    </row>
    <row r="25" spans="1:48">
      <c r="A25" s="1" t="s">
        <v>382</v>
      </c>
      <c r="B25" s="1" t="s">
        <v>383</v>
      </c>
      <c r="C25" s="1">
        <v>0.98975400000000002</v>
      </c>
      <c r="D25" s="1">
        <v>1369</v>
      </c>
      <c r="E25" s="1">
        <v>7775</v>
      </c>
      <c r="F25" s="1">
        <v>320</v>
      </c>
      <c r="G25" s="1">
        <v>2648394</v>
      </c>
      <c r="H25" s="1">
        <v>67.8</v>
      </c>
      <c r="I25" s="1">
        <v>1590</v>
      </c>
      <c r="J25" s="1">
        <v>9591</v>
      </c>
      <c r="K25" s="1">
        <v>104</v>
      </c>
      <c r="L25" s="1">
        <v>1061768</v>
      </c>
      <c r="M25" s="1">
        <v>27.2</v>
      </c>
      <c r="N25" s="1">
        <v>1067</v>
      </c>
      <c r="O25" s="1">
        <v>273</v>
      </c>
      <c r="P25" s="1">
        <v>45</v>
      </c>
      <c r="Q25" s="1">
        <v>13077</v>
      </c>
      <c r="R25" s="1">
        <v>0.3</v>
      </c>
      <c r="S25" s="1">
        <v>1150</v>
      </c>
      <c r="T25" s="1">
        <v>77</v>
      </c>
      <c r="U25" s="1">
        <v>1</v>
      </c>
      <c r="V25" s="1">
        <v>82</v>
      </c>
      <c r="W25" s="1">
        <v>0</v>
      </c>
      <c r="X25" s="1">
        <v>1270</v>
      </c>
      <c r="Y25" s="1">
        <v>1</v>
      </c>
      <c r="Z25" s="1">
        <v>1</v>
      </c>
      <c r="AA25" s="1">
        <v>1</v>
      </c>
      <c r="AB25" s="1">
        <v>0</v>
      </c>
      <c r="AC25" s="1">
        <v>1456</v>
      </c>
      <c r="AD25" s="1">
        <v>237</v>
      </c>
      <c r="AE25" s="1">
        <v>95</v>
      </c>
      <c r="AF25" s="1">
        <v>23966</v>
      </c>
      <c r="AG25" s="1">
        <v>0.6</v>
      </c>
      <c r="AH25" s="1">
        <v>1502</v>
      </c>
      <c r="AI25" s="1">
        <v>343</v>
      </c>
      <c r="AJ25" s="1">
        <v>37</v>
      </c>
      <c r="AK25" s="1">
        <v>13509</v>
      </c>
      <c r="AL25" s="1">
        <v>0.3</v>
      </c>
      <c r="AM25" s="1">
        <v>1592</v>
      </c>
      <c r="AN25" s="1">
        <v>297</v>
      </c>
      <c r="AO25" s="1">
        <v>17</v>
      </c>
      <c r="AP25" s="1">
        <v>5374</v>
      </c>
      <c r="AQ25" s="1">
        <v>0.1</v>
      </c>
      <c r="AR25" s="1">
        <v>1734</v>
      </c>
      <c r="AS25" s="1">
        <v>925</v>
      </c>
      <c r="AT25" s="1">
        <v>145</v>
      </c>
      <c r="AU25" s="1">
        <v>142772</v>
      </c>
      <c r="AV25" s="1">
        <v>3.7</v>
      </c>
    </row>
    <row r="26" spans="1:48" s="2" customFormat="1">
      <c r="A26" s="2" t="s">
        <v>384</v>
      </c>
      <c r="B26" s="2" t="s">
        <v>385</v>
      </c>
      <c r="C26" s="2">
        <v>0.31999</v>
      </c>
      <c r="D26" s="2">
        <v>1369</v>
      </c>
      <c r="E26" s="2">
        <v>1</v>
      </c>
      <c r="F26" s="2">
        <v>100</v>
      </c>
      <c r="G26" s="2">
        <v>106</v>
      </c>
      <c r="H26" s="2">
        <v>0</v>
      </c>
      <c r="I26" s="2">
        <v>1588</v>
      </c>
      <c r="J26" s="2">
        <v>2371</v>
      </c>
      <c r="K26" s="2">
        <v>202</v>
      </c>
      <c r="L26" s="2">
        <v>509818</v>
      </c>
      <c r="M26" s="2">
        <v>89.4</v>
      </c>
      <c r="N26" s="2">
        <v>1007</v>
      </c>
      <c r="O26" s="2">
        <v>289</v>
      </c>
      <c r="P26" s="2">
        <v>1</v>
      </c>
      <c r="Q26" s="2">
        <v>308</v>
      </c>
      <c r="R26" s="2">
        <v>0.1</v>
      </c>
      <c r="S26" s="2">
        <v>1152</v>
      </c>
      <c r="T26" s="2">
        <v>1041</v>
      </c>
      <c r="U26" s="2">
        <v>3</v>
      </c>
      <c r="V26" s="2">
        <v>3324</v>
      </c>
      <c r="W26" s="2">
        <v>0.6</v>
      </c>
      <c r="X26" s="2">
        <v>1270</v>
      </c>
      <c r="Y26" s="2">
        <v>1</v>
      </c>
      <c r="Z26" s="2">
        <v>1</v>
      </c>
      <c r="AA26" s="2">
        <v>1</v>
      </c>
      <c r="AB26" s="2">
        <v>0</v>
      </c>
      <c r="AC26" s="2">
        <v>1452</v>
      </c>
      <c r="AD26" s="2">
        <v>377</v>
      </c>
      <c r="AE26" s="2">
        <v>41</v>
      </c>
      <c r="AF26" s="2">
        <v>16453</v>
      </c>
      <c r="AG26" s="2">
        <v>2.9</v>
      </c>
      <c r="AH26" s="2">
        <v>1506</v>
      </c>
      <c r="AI26" s="2">
        <v>1247</v>
      </c>
      <c r="AJ26" s="2">
        <v>17</v>
      </c>
      <c r="AK26" s="2">
        <v>22566</v>
      </c>
      <c r="AL26" s="2">
        <v>4</v>
      </c>
      <c r="AM26" s="2">
        <v>1592</v>
      </c>
      <c r="AN26" s="2">
        <v>725</v>
      </c>
      <c r="AO26" s="2">
        <v>21</v>
      </c>
      <c r="AP26" s="2">
        <v>16207</v>
      </c>
      <c r="AQ26" s="2">
        <v>2.8</v>
      </c>
      <c r="AR26" s="2">
        <v>1740</v>
      </c>
      <c r="AS26" s="2">
        <v>1153</v>
      </c>
      <c r="AT26" s="2">
        <v>1</v>
      </c>
      <c r="AU26" s="2">
        <v>1227</v>
      </c>
      <c r="AV26" s="2">
        <v>0.2</v>
      </c>
    </row>
    <row r="27" spans="1:48">
      <c r="A27" s="1" t="s">
        <v>386</v>
      </c>
      <c r="B27" s="1" t="s">
        <v>387</v>
      </c>
      <c r="C27" s="1">
        <v>0.98656100000000002</v>
      </c>
      <c r="D27" s="1">
        <v>1369</v>
      </c>
      <c r="E27" s="1">
        <v>13085</v>
      </c>
      <c r="F27" s="1">
        <v>298</v>
      </c>
      <c r="G27" s="1">
        <v>4150708</v>
      </c>
      <c r="H27" s="1">
        <v>65</v>
      </c>
      <c r="I27" s="1">
        <v>1592</v>
      </c>
      <c r="J27" s="1">
        <v>17787</v>
      </c>
      <c r="K27" s="1">
        <v>100</v>
      </c>
      <c r="L27" s="1">
        <v>1893368</v>
      </c>
      <c r="M27" s="1">
        <v>29.6</v>
      </c>
      <c r="N27" s="1">
        <v>1043</v>
      </c>
      <c r="O27" s="1">
        <v>365</v>
      </c>
      <c r="P27" s="1">
        <v>65</v>
      </c>
      <c r="Q27" s="1">
        <v>25254</v>
      </c>
      <c r="R27" s="1">
        <v>0.4</v>
      </c>
      <c r="S27" s="1">
        <v>1170</v>
      </c>
      <c r="T27" s="1">
        <v>63</v>
      </c>
      <c r="U27" s="1">
        <v>1</v>
      </c>
      <c r="V27" s="1">
        <v>67</v>
      </c>
      <c r="W27" s="1">
        <v>0</v>
      </c>
      <c r="X27" s="1">
        <v>1270</v>
      </c>
      <c r="Y27" s="1">
        <v>1</v>
      </c>
      <c r="Z27" s="1">
        <v>1</v>
      </c>
      <c r="AA27" s="1">
        <v>1</v>
      </c>
      <c r="AB27" s="1">
        <v>0</v>
      </c>
      <c r="AC27" s="1">
        <v>1456</v>
      </c>
      <c r="AD27" s="1">
        <v>325</v>
      </c>
      <c r="AE27" s="1">
        <v>103</v>
      </c>
      <c r="AF27" s="1">
        <v>35633</v>
      </c>
      <c r="AG27" s="1">
        <v>0.6</v>
      </c>
      <c r="AH27" s="1">
        <v>1500</v>
      </c>
      <c r="AI27" s="1">
        <v>661</v>
      </c>
      <c r="AJ27" s="1">
        <v>35</v>
      </c>
      <c r="AK27" s="1">
        <v>24626</v>
      </c>
      <c r="AL27" s="1">
        <v>0.4</v>
      </c>
      <c r="AM27" s="1">
        <v>1590</v>
      </c>
      <c r="AN27" s="1">
        <v>1043</v>
      </c>
      <c r="AO27" s="1">
        <v>1</v>
      </c>
      <c r="AP27" s="1">
        <v>1110</v>
      </c>
      <c r="AQ27" s="1">
        <v>0</v>
      </c>
      <c r="AR27" s="1">
        <v>1732</v>
      </c>
      <c r="AS27" s="1">
        <v>1657</v>
      </c>
      <c r="AT27" s="1">
        <v>147</v>
      </c>
      <c r="AU27" s="1">
        <v>259282</v>
      </c>
      <c r="AV27" s="1">
        <v>4.0999999999999996</v>
      </c>
    </row>
    <row r="28" spans="1:48">
      <c r="A28" s="1" t="s">
        <v>388</v>
      </c>
      <c r="B28" s="1" t="s">
        <v>389</v>
      </c>
      <c r="C28" s="1">
        <v>0.98446299999999998</v>
      </c>
      <c r="D28" s="1">
        <v>1367</v>
      </c>
      <c r="E28" s="1">
        <v>10433</v>
      </c>
      <c r="F28" s="1">
        <v>294</v>
      </c>
      <c r="G28" s="1">
        <v>3265042</v>
      </c>
      <c r="H28" s="1">
        <v>61.6</v>
      </c>
      <c r="I28" s="1">
        <v>1590</v>
      </c>
      <c r="J28" s="1">
        <v>14339</v>
      </c>
      <c r="K28" s="1">
        <v>110</v>
      </c>
      <c r="L28" s="1">
        <v>1678973</v>
      </c>
      <c r="M28" s="1">
        <v>31.7</v>
      </c>
      <c r="N28" s="1">
        <v>1037</v>
      </c>
      <c r="O28" s="1">
        <v>317</v>
      </c>
      <c r="P28" s="1">
        <v>63</v>
      </c>
      <c r="Q28" s="1">
        <v>21258</v>
      </c>
      <c r="R28" s="1">
        <v>0.4</v>
      </c>
      <c r="S28" s="1">
        <v>1156</v>
      </c>
      <c r="T28" s="1">
        <v>55</v>
      </c>
      <c r="U28" s="1">
        <v>27</v>
      </c>
      <c r="V28" s="1">
        <v>1581</v>
      </c>
      <c r="W28" s="1">
        <v>0</v>
      </c>
      <c r="X28" s="1">
        <v>1270</v>
      </c>
      <c r="Y28" s="1">
        <v>1</v>
      </c>
      <c r="Z28" s="1">
        <v>1</v>
      </c>
      <c r="AA28" s="1">
        <v>1</v>
      </c>
      <c r="AB28" s="1">
        <v>0</v>
      </c>
      <c r="AC28" s="1">
        <v>1456</v>
      </c>
      <c r="AD28" s="1">
        <v>785</v>
      </c>
      <c r="AE28" s="1">
        <v>69</v>
      </c>
      <c r="AF28" s="1">
        <v>57657</v>
      </c>
      <c r="AG28" s="1">
        <v>1.1000000000000001</v>
      </c>
      <c r="AH28" s="1">
        <v>1500</v>
      </c>
      <c r="AI28" s="1">
        <v>815</v>
      </c>
      <c r="AJ28" s="1">
        <v>25</v>
      </c>
      <c r="AK28" s="1">
        <v>21689</v>
      </c>
      <c r="AL28" s="1">
        <v>0.4</v>
      </c>
      <c r="AM28" s="1">
        <v>1586</v>
      </c>
      <c r="AN28" s="1">
        <v>589</v>
      </c>
      <c r="AO28" s="1">
        <v>17</v>
      </c>
      <c r="AP28" s="1">
        <v>10659</v>
      </c>
      <c r="AQ28" s="1">
        <v>0.2</v>
      </c>
      <c r="AR28" s="1">
        <v>1744</v>
      </c>
      <c r="AS28" s="1">
        <v>1579</v>
      </c>
      <c r="AT28" s="1">
        <v>147</v>
      </c>
      <c r="AU28" s="1">
        <v>247077</v>
      </c>
      <c r="AV28" s="1">
        <v>4.7</v>
      </c>
    </row>
    <row r="29" spans="1:48">
      <c r="A29" s="1" t="s">
        <v>390</v>
      </c>
      <c r="B29" s="1" t="s">
        <v>97</v>
      </c>
      <c r="C29" s="1">
        <v>0.98578600000000005</v>
      </c>
      <c r="D29" s="1">
        <v>1369</v>
      </c>
      <c r="E29" s="1">
        <v>13603</v>
      </c>
      <c r="F29" s="1">
        <v>302</v>
      </c>
      <c r="G29" s="1">
        <v>4372943</v>
      </c>
      <c r="H29" s="1">
        <v>64.5</v>
      </c>
      <c r="I29" s="1">
        <v>1592</v>
      </c>
      <c r="J29" s="1">
        <v>17903</v>
      </c>
      <c r="K29" s="1">
        <v>100</v>
      </c>
      <c r="L29" s="1">
        <v>1905715</v>
      </c>
      <c r="M29" s="1">
        <v>28.1</v>
      </c>
      <c r="N29" s="1">
        <v>1029</v>
      </c>
      <c r="O29" s="1">
        <v>533</v>
      </c>
      <c r="P29" s="1">
        <v>55</v>
      </c>
      <c r="Q29" s="1">
        <v>31205</v>
      </c>
      <c r="R29" s="1">
        <v>0.5</v>
      </c>
      <c r="S29" s="1">
        <v>1152</v>
      </c>
      <c r="T29" s="1">
        <v>265</v>
      </c>
      <c r="U29" s="1">
        <v>7</v>
      </c>
      <c r="V29" s="1">
        <v>1975</v>
      </c>
      <c r="W29" s="1">
        <v>0</v>
      </c>
      <c r="X29" s="1">
        <v>1270</v>
      </c>
      <c r="Y29" s="1">
        <v>1</v>
      </c>
      <c r="Z29" s="1">
        <v>1</v>
      </c>
      <c r="AA29" s="1">
        <v>1</v>
      </c>
      <c r="AB29" s="1">
        <v>0</v>
      </c>
      <c r="AC29" s="1">
        <v>1456</v>
      </c>
      <c r="AD29" s="1">
        <v>327</v>
      </c>
      <c r="AE29" s="1">
        <v>121</v>
      </c>
      <c r="AF29" s="1">
        <v>42118</v>
      </c>
      <c r="AG29" s="1">
        <v>0.6</v>
      </c>
      <c r="AH29" s="1">
        <v>1510</v>
      </c>
      <c r="AI29" s="1">
        <v>933</v>
      </c>
      <c r="AJ29" s="1">
        <v>29</v>
      </c>
      <c r="AK29" s="1">
        <v>28801</v>
      </c>
      <c r="AL29" s="1">
        <v>0.4</v>
      </c>
      <c r="AM29" s="1">
        <v>1598</v>
      </c>
      <c r="AN29" s="1">
        <v>1401</v>
      </c>
      <c r="AO29" s="1">
        <v>27</v>
      </c>
      <c r="AP29" s="1">
        <v>40266</v>
      </c>
      <c r="AQ29" s="1">
        <v>0.6</v>
      </c>
      <c r="AR29" s="1">
        <v>1742</v>
      </c>
      <c r="AS29" s="1">
        <v>2005</v>
      </c>
      <c r="AT29" s="1">
        <v>167</v>
      </c>
      <c r="AU29" s="1">
        <v>356421</v>
      </c>
      <c r="AV29" s="1">
        <v>5.3</v>
      </c>
    </row>
    <row r="30" spans="1:48">
      <c r="A30" s="1" t="s">
        <v>391</v>
      </c>
      <c r="B30" s="1" t="s">
        <v>392</v>
      </c>
      <c r="C30" s="1">
        <v>0.97566600000000003</v>
      </c>
      <c r="D30" s="1">
        <v>1369</v>
      </c>
      <c r="E30" s="1">
        <v>16403</v>
      </c>
      <c r="F30" s="1">
        <v>272</v>
      </c>
      <c r="G30" s="1">
        <v>4749243</v>
      </c>
      <c r="H30" s="1">
        <v>55.9</v>
      </c>
      <c r="I30" s="1">
        <v>1590</v>
      </c>
      <c r="J30" s="1">
        <v>24581</v>
      </c>
      <c r="K30" s="1">
        <v>110</v>
      </c>
      <c r="L30" s="1">
        <v>2878223</v>
      </c>
      <c r="M30" s="1">
        <v>33.9</v>
      </c>
      <c r="N30" s="1">
        <v>1043</v>
      </c>
      <c r="O30" s="1">
        <v>457</v>
      </c>
      <c r="P30" s="1">
        <v>5</v>
      </c>
      <c r="Q30" s="1">
        <v>2432</v>
      </c>
      <c r="R30" s="1">
        <v>0</v>
      </c>
      <c r="S30" s="1">
        <v>1152</v>
      </c>
      <c r="T30" s="1">
        <v>1005</v>
      </c>
      <c r="U30" s="1">
        <v>31</v>
      </c>
      <c r="V30" s="1">
        <v>33163</v>
      </c>
      <c r="W30" s="1">
        <v>0.4</v>
      </c>
      <c r="X30" s="1">
        <v>1256</v>
      </c>
      <c r="Y30" s="1">
        <v>1</v>
      </c>
      <c r="Z30" s="1">
        <v>1</v>
      </c>
      <c r="AA30" s="1">
        <v>1</v>
      </c>
      <c r="AB30" s="1">
        <v>0</v>
      </c>
      <c r="AC30" s="1">
        <v>1440</v>
      </c>
      <c r="AD30" s="1">
        <v>1969</v>
      </c>
      <c r="AE30" s="1">
        <v>87</v>
      </c>
      <c r="AF30" s="1">
        <v>182346</v>
      </c>
      <c r="AG30" s="1">
        <v>2.1</v>
      </c>
      <c r="AH30" s="1">
        <v>1488</v>
      </c>
      <c r="AI30" s="1">
        <v>1681</v>
      </c>
      <c r="AJ30" s="1">
        <v>41</v>
      </c>
      <c r="AK30" s="1">
        <v>73364</v>
      </c>
      <c r="AL30" s="1">
        <v>0.9</v>
      </c>
      <c r="AM30" s="1">
        <v>1594</v>
      </c>
      <c r="AN30" s="1">
        <v>783</v>
      </c>
      <c r="AO30" s="1">
        <v>29</v>
      </c>
      <c r="AP30" s="1">
        <v>24171</v>
      </c>
      <c r="AQ30" s="1">
        <v>0.3</v>
      </c>
      <c r="AR30" s="1">
        <v>1734</v>
      </c>
      <c r="AS30" s="1">
        <v>3995</v>
      </c>
      <c r="AT30" s="1">
        <v>129</v>
      </c>
      <c r="AU30" s="1">
        <v>548578</v>
      </c>
      <c r="AV30" s="1">
        <v>6.5</v>
      </c>
    </row>
    <row r="31" spans="1:48">
      <c r="A31" s="1" t="s">
        <v>393</v>
      </c>
      <c r="B31" s="1" t="s">
        <v>394</v>
      </c>
      <c r="C31" s="1">
        <v>0.96855100000000005</v>
      </c>
      <c r="D31" s="1">
        <v>1369</v>
      </c>
      <c r="E31" s="1">
        <v>24411</v>
      </c>
      <c r="F31" s="1">
        <v>328</v>
      </c>
      <c r="G31" s="1">
        <v>8522983</v>
      </c>
      <c r="H31" s="1">
        <v>61</v>
      </c>
      <c r="I31" s="1">
        <v>1588</v>
      </c>
      <c r="J31" s="1">
        <v>32135</v>
      </c>
      <c r="K31" s="1">
        <v>104</v>
      </c>
      <c r="L31" s="1">
        <v>3557491</v>
      </c>
      <c r="M31" s="1">
        <v>25.5</v>
      </c>
      <c r="N31" s="1">
        <v>1031</v>
      </c>
      <c r="O31" s="1">
        <v>1205</v>
      </c>
      <c r="P31" s="1">
        <v>43</v>
      </c>
      <c r="Q31" s="1">
        <v>55155</v>
      </c>
      <c r="R31" s="1">
        <v>0.4</v>
      </c>
      <c r="S31" s="1">
        <v>1166</v>
      </c>
      <c r="T31" s="1">
        <v>399</v>
      </c>
      <c r="U31" s="1">
        <v>1</v>
      </c>
      <c r="V31" s="1">
        <v>425</v>
      </c>
      <c r="W31" s="1">
        <v>0</v>
      </c>
      <c r="X31" s="1">
        <v>1256</v>
      </c>
      <c r="Y31" s="1">
        <v>1</v>
      </c>
      <c r="Z31" s="1">
        <v>1</v>
      </c>
      <c r="AA31" s="1">
        <v>1</v>
      </c>
      <c r="AB31" s="1">
        <v>0</v>
      </c>
      <c r="AC31" s="1">
        <v>1440</v>
      </c>
      <c r="AD31" s="1">
        <v>2515</v>
      </c>
      <c r="AE31" s="1">
        <v>97</v>
      </c>
      <c r="AF31" s="1">
        <v>259682</v>
      </c>
      <c r="AG31" s="1">
        <v>1.9</v>
      </c>
      <c r="AH31" s="1">
        <v>1506</v>
      </c>
      <c r="AI31" s="1">
        <v>891</v>
      </c>
      <c r="AJ31" s="1">
        <v>39</v>
      </c>
      <c r="AK31" s="1">
        <v>36989</v>
      </c>
      <c r="AL31" s="1">
        <v>0.3</v>
      </c>
      <c r="AM31" s="1">
        <v>1596</v>
      </c>
      <c r="AN31" s="1">
        <v>2657</v>
      </c>
      <c r="AO31" s="1">
        <v>1</v>
      </c>
      <c r="AP31" s="1">
        <v>2828</v>
      </c>
      <c r="AQ31" s="1">
        <v>0</v>
      </c>
      <c r="AR31" s="1">
        <v>1736</v>
      </c>
      <c r="AS31" s="1">
        <v>7505</v>
      </c>
      <c r="AT31" s="1">
        <v>193</v>
      </c>
      <c r="AU31" s="1">
        <v>1541843</v>
      </c>
      <c r="AV31" s="1">
        <v>11</v>
      </c>
    </row>
    <row r="32" spans="1:48">
      <c r="A32" s="1" t="s">
        <v>395</v>
      </c>
      <c r="B32" s="1" t="s">
        <v>396</v>
      </c>
      <c r="C32" s="1">
        <v>0.98859900000000001</v>
      </c>
      <c r="D32" s="1">
        <v>1369</v>
      </c>
      <c r="E32" s="1">
        <v>12413</v>
      </c>
      <c r="F32" s="1">
        <v>306</v>
      </c>
      <c r="G32" s="1">
        <v>4043248</v>
      </c>
      <c r="H32" s="1">
        <v>65.8</v>
      </c>
      <c r="I32" s="1">
        <v>1588</v>
      </c>
      <c r="J32" s="1">
        <v>15727</v>
      </c>
      <c r="K32" s="1">
        <v>102</v>
      </c>
      <c r="L32" s="1">
        <v>1707569</v>
      </c>
      <c r="M32" s="1">
        <v>27.8</v>
      </c>
      <c r="N32" s="1">
        <v>1047</v>
      </c>
      <c r="O32" s="1">
        <v>427</v>
      </c>
      <c r="P32" s="1">
        <v>75</v>
      </c>
      <c r="Q32" s="1">
        <v>34090</v>
      </c>
      <c r="R32" s="1">
        <v>0.6</v>
      </c>
      <c r="S32" s="1">
        <v>1152</v>
      </c>
      <c r="T32" s="1">
        <v>79</v>
      </c>
      <c r="U32" s="1">
        <v>1</v>
      </c>
      <c r="V32" s="1">
        <v>84</v>
      </c>
      <c r="W32" s="1">
        <v>0</v>
      </c>
      <c r="X32" s="1">
        <v>1270</v>
      </c>
      <c r="Y32" s="1">
        <v>1</v>
      </c>
      <c r="Z32" s="1">
        <v>1</v>
      </c>
      <c r="AA32" s="1">
        <v>1</v>
      </c>
      <c r="AB32" s="1">
        <v>0</v>
      </c>
      <c r="AC32" s="1">
        <v>1456</v>
      </c>
      <c r="AD32" s="1">
        <v>247</v>
      </c>
      <c r="AE32" s="1">
        <v>101</v>
      </c>
      <c r="AF32" s="1">
        <v>26555</v>
      </c>
      <c r="AG32" s="1">
        <v>0.4</v>
      </c>
      <c r="AH32" s="1">
        <v>1496</v>
      </c>
      <c r="AI32" s="1">
        <v>443</v>
      </c>
      <c r="AJ32" s="1">
        <v>41</v>
      </c>
      <c r="AK32" s="1">
        <v>19334</v>
      </c>
      <c r="AL32" s="1">
        <v>0.3</v>
      </c>
      <c r="AM32" s="1">
        <v>1590</v>
      </c>
      <c r="AN32" s="1">
        <v>625</v>
      </c>
      <c r="AO32" s="1">
        <v>19</v>
      </c>
      <c r="AP32" s="1">
        <v>12641</v>
      </c>
      <c r="AQ32" s="1">
        <v>0.2</v>
      </c>
      <c r="AR32" s="1">
        <v>1734</v>
      </c>
      <c r="AS32" s="1">
        <v>1785</v>
      </c>
      <c r="AT32" s="1">
        <v>157</v>
      </c>
      <c r="AU32" s="1">
        <v>298312</v>
      </c>
      <c r="AV32" s="1">
        <v>4.9000000000000004</v>
      </c>
    </row>
    <row r="33" spans="1:48">
      <c r="A33" s="1" t="s">
        <v>397</v>
      </c>
      <c r="B33" s="1" t="s">
        <v>398</v>
      </c>
      <c r="C33" s="1">
        <v>0.98590500000000003</v>
      </c>
      <c r="D33" s="1">
        <v>1369</v>
      </c>
      <c r="E33" s="1">
        <v>13285</v>
      </c>
      <c r="F33" s="1">
        <v>266</v>
      </c>
      <c r="G33" s="1">
        <v>3761624</v>
      </c>
      <c r="H33" s="1">
        <v>62</v>
      </c>
      <c r="I33" s="1">
        <v>1592</v>
      </c>
      <c r="J33" s="1">
        <v>18245</v>
      </c>
      <c r="K33" s="1">
        <v>100</v>
      </c>
      <c r="L33" s="1">
        <v>1942120</v>
      </c>
      <c r="M33" s="1">
        <v>32</v>
      </c>
      <c r="N33" s="1">
        <v>1071</v>
      </c>
      <c r="O33" s="1">
        <v>371</v>
      </c>
      <c r="P33" s="1">
        <v>113</v>
      </c>
      <c r="Q33" s="1">
        <v>44626</v>
      </c>
      <c r="R33" s="1">
        <v>0.7</v>
      </c>
      <c r="S33" s="1">
        <v>1170</v>
      </c>
      <c r="T33" s="1">
        <v>471</v>
      </c>
      <c r="U33" s="1">
        <v>3</v>
      </c>
      <c r="V33" s="1">
        <v>1504</v>
      </c>
      <c r="W33" s="1">
        <v>0</v>
      </c>
      <c r="X33" s="1">
        <v>1270</v>
      </c>
      <c r="Y33" s="1">
        <v>1</v>
      </c>
      <c r="Z33" s="1">
        <v>1</v>
      </c>
      <c r="AA33" s="1">
        <v>1</v>
      </c>
      <c r="AB33" s="1">
        <v>0</v>
      </c>
      <c r="AC33" s="1">
        <v>1456</v>
      </c>
      <c r="AD33" s="1">
        <v>393</v>
      </c>
      <c r="AE33" s="1">
        <v>101</v>
      </c>
      <c r="AF33" s="1">
        <v>42252</v>
      </c>
      <c r="AG33" s="1">
        <v>0.7</v>
      </c>
      <c r="AH33" s="1">
        <v>1492</v>
      </c>
      <c r="AI33" s="1">
        <v>849</v>
      </c>
      <c r="AJ33" s="1">
        <v>29</v>
      </c>
      <c r="AK33" s="1">
        <v>26208</v>
      </c>
      <c r="AL33" s="1">
        <v>0.4</v>
      </c>
      <c r="AM33" s="1">
        <v>1592</v>
      </c>
      <c r="AN33" s="1">
        <v>133</v>
      </c>
      <c r="AO33" s="1">
        <v>29</v>
      </c>
      <c r="AP33" s="1">
        <v>4106</v>
      </c>
      <c r="AQ33" s="1">
        <v>0.1</v>
      </c>
      <c r="AR33" s="1">
        <v>1722</v>
      </c>
      <c r="AS33" s="1">
        <v>2087</v>
      </c>
      <c r="AT33" s="1">
        <v>109</v>
      </c>
      <c r="AU33" s="1">
        <v>242148</v>
      </c>
      <c r="AV33" s="1">
        <v>4</v>
      </c>
    </row>
    <row r="34" spans="1:48">
      <c r="A34" s="1" t="s">
        <v>399</v>
      </c>
      <c r="B34" s="1" t="s">
        <v>400</v>
      </c>
      <c r="C34" s="1">
        <v>0.98617299999999997</v>
      </c>
      <c r="D34" s="1">
        <v>1367</v>
      </c>
      <c r="E34" s="1">
        <v>11951</v>
      </c>
      <c r="F34" s="1">
        <v>308</v>
      </c>
      <c r="G34" s="1">
        <v>3918205</v>
      </c>
      <c r="H34" s="1">
        <v>68.3</v>
      </c>
      <c r="I34" s="1">
        <v>1590</v>
      </c>
      <c r="J34" s="1">
        <v>14351</v>
      </c>
      <c r="K34" s="1">
        <v>104</v>
      </c>
      <c r="L34" s="1">
        <v>1588721</v>
      </c>
      <c r="M34" s="1">
        <v>27.7</v>
      </c>
      <c r="N34" s="1">
        <v>1041</v>
      </c>
      <c r="O34" s="1">
        <v>393</v>
      </c>
      <c r="P34" s="1">
        <v>71</v>
      </c>
      <c r="Q34" s="1">
        <v>29702</v>
      </c>
      <c r="R34" s="1">
        <v>0.5</v>
      </c>
      <c r="S34" s="1">
        <v>1154</v>
      </c>
      <c r="T34" s="1">
        <v>1</v>
      </c>
      <c r="U34" s="1">
        <v>1</v>
      </c>
      <c r="V34" s="1">
        <v>1</v>
      </c>
      <c r="W34" s="1">
        <v>0</v>
      </c>
      <c r="X34" s="1">
        <v>1270</v>
      </c>
      <c r="Y34" s="1">
        <v>1</v>
      </c>
      <c r="Z34" s="1">
        <v>1</v>
      </c>
      <c r="AA34" s="1">
        <v>1</v>
      </c>
      <c r="AB34" s="1">
        <v>0</v>
      </c>
      <c r="AC34" s="1">
        <v>1456</v>
      </c>
      <c r="AD34" s="1">
        <v>241</v>
      </c>
      <c r="AE34" s="1">
        <v>85</v>
      </c>
      <c r="AF34" s="1">
        <v>21806</v>
      </c>
      <c r="AG34" s="1">
        <v>0.4</v>
      </c>
      <c r="AH34" s="1">
        <v>1502</v>
      </c>
      <c r="AI34" s="1">
        <v>419</v>
      </c>
      <c r="AJ34" s="1">
        <v>33</v>
      </c>
      <c r="AK34" s="1">
        <v>14718</v>
      </c>
      <c r="AL34" s="1">
        <v>0.3</v>
      </c>
      <c r="AM34" s="1">
        <v>1598</v>
      </c>
      <c r="AN34" s="1">
        <v>379</v>
      </c>
      <c r="AO34" s="1">
        <v>21</v>
      </c>
      <c r="AP34" s="1">
        <v>8472</v>
      </c>
      <c r="AQ34" s="1">
        <v>0.1</v>
      </c>
      <c r="AR34" s="1">
        <v>1728</v>
      </c>
      <c r="AS34" s="1">
        <v>1311</v>
      </c>
      <c r="AT34" s="1">
        <v>111</v>
      </c>
      <c r="AU34" s="1">
        <v>154902</v>
      </c>
      <c r="AV34" s="1">
        <v>2.7</v>
      </c>
    </row>
    <row r="35" spans="1:48">
      <c r="A35" s="1" t="s">
        <v>401</v>
      </c>
      <c r="B35" s="1" t="s">
        <v>402</v>
      </c>
      <c r="C35" s="1">
        <v>0.983904</v>
      </c>
      <c r="D35" s="1">
        <v>1369</v>
      </c>
      <c r="E35" s="1">
        <v>2531</v>
      </c>
      <c r="F35" s="1">
        <v>302</v>
      </c>
      <c r="G35" s="1">
        <v>813638</v>
      </c>
      <c r="H35" s="1">
        <v>68.3</v>
      </c>
      <c r="I35" s="1">
        <v>1592</v>
      </c>
      <c r="J35" s="1">
        <v>2715</v>
      </c>
      <c r="K35" s="1">
        <v>100</v>
      </c>
      <c r="L35" s="1">
        <v>289003</v>
      </c>
      <c r="M35" s="1">
        <v>24.2</v>
      </c>
      <c r="N35" s="1">
        <v>1033</v>
      </c>
      <c r="O35" s="1">
        <v>171</v>
      </c>
      <c r="P35" s="1">
        <v>147</v>
      </c>
      <c r="Q35" s="1">
        <v>26758</v>
      </c>
      <c r="R35" s="1">
        <v>2.2000000000000002</v>
      </c>
      <c r="S35" s="1">
        <v>1170</v>
      </c>
      <c r="T35" s="1">
        <v>9</v>
      </c>
      <c r="U35" s="1">
        <v>1</v>
      </c>
      <c r="V35" s="1">
        <v>10</v>
      </c>
      <c r="W35" s="1">
        <v>0</v>
      </c>
      <c r="X35" s="1">
        <v>1270</v>
      </c>
      <c r="Y35" s="1">
        <v>1</v>
      </c>
      <c r="Z35" s="1">
        <v>1</v>
      </c>
      <c r="AA35" s="1">
        <v>1</v>
      </c>
      <c r="AB35" s="1">
        <v>0</v>
      </c>
      <c r="AC35" s="1">
        <v>1404</v>
      </c>
      <c r="AD35" s="1">
        <v>73</v>
      </c>
      <c r="AE35" s="1">
        <v>1</v>
      </c>
      <c r="AF35" s="1">
        <v>78</v>
      </c>
      <c r="AG35" s="1">
        <v>0</v>
      </c>
      <c r="AH35" s="1">
        <v>1494</v>
      </c>
      <c r="AI35" s="1">
        <v>65</v>
      </c>
      <c r="AJ35" s="1">
        <v>27</v>
      </c>
      <c r="AK35" s="1">
        <v>1868</v>
      </c>
      <c r="AL35" s="1">
        <v>0.2</v>
      </c>
      <c r="AM35" s="1">
        <v>1598</v>
      </c>
      <c r="AN35" s="1">
        <v>183</v>
      </c>
      <c r="AO35" s="1">
        <v>29</v>
      </c>
      <c r="AP35" s="1">
        <v>5649</v>
      </c>
      <c r="AQ35" s="1">
        <v>0.5</v>
      </c>
      <c r="AR35" s="1">
        <v>1734</v>
      </c>
      <c r="AS35" s="1">
        <v>313</v>
      </c>
      <c r="AT35" s="1">
        <v>165</v>
      </c>
      <c r="AU35" s="1">
        <v>54974</v>
      </c>
      <c r="AV35" s="1">
        <v>4.5999999999999996</v>
      </c>
    </row>
    <row r="36" spans="1:48">
      <c r="A36" s="1" t="s">
        <v>403</v>
      </c>
      <c r="B36" s="1" t="s">
        <v>404</v>
      </c>
      <c r="C36" s="1">
        <v>0.98661699999999997</v>
      </c>
      <c r="D36" s="1">
        <v>1369</v>
      </c>
      <c r="E36" s="1">
        <v>9301</v>
      </c>
      <c r="F36" s="1">
        <v>324</v>
      </c>
      <c r="G36" s="1">
        <v>3207797</v>
      </c>
      <c r="H36" s="1">
        <v>72.099999999999994</v>
      </c>
      <c r="I36" s="1">
        <v>1588</v>
      </c>
      <c r="J36" s="1">
        <v>9505</v>
      </c>
      <c r="K36" s="1">
        <v>102</v>
      </c>
      <c r="L36" s="1">
        <v>1032011</v>
      </c>
      <c r="M36" s="1">
        <v>23.2</v>
      </c>
      <c r="N36" s="1">
        <v>1043</v>
      </c>
      <c r="O36" s="1">
        <v>401</v>
      </c>
      <c r="P36" s="1">
        <v>73</v>
      </c>
      <c r="Q36" s="1">
        <v>31160</v>
      </c>
      <c r="R36" s="1">
        <v>0.7</v>
      </c>
      <c r="S36" s="1">
        <v>1154</v>
      </c>
      <c r="T36" s="1">
        <v>1</v>
      </c>
      <c r="U36" s="1">
        <v>1</v>
      </c>
      <c r="V36" s="1">
        <v>1</v>
      </c>
      <c r="W36" s="1">
        <v>0</v>
      </c>
      <c r="X36" s="1">
        <v>1270</v>
      </c>
      <c r="Y36" s="1">
        <v>1</v>
      </c>
      <c r="Z36" s="1">
        <v>1</v>
      </c>
      <c r="AA36" s="1">
        <v>1</v>
      </c>
      <c r="AB36" s="1">
        <v>0</v>
      </c>
      <c r="AC36" s="1">
        <v>1400</v>
      </c>
      <c r="AD36" s="1">
        <v>1</v>
      </c>
      <c r="AE36" s="1">
        <v>131</v>
      </c>
      <c r="AF36" s="1">
        <v>139</v>
      </c>
      <c r="AG36" s="1">
        <v>0</v>
      </c>
      <c r="AH36" s="1">
        <v>1500</v>
      </c>
      <c r="AI36" s="1">
        <v>225</v>
      </c>
      <c r="AJ36" s="1">
        <v>29</v>
      </c>
      <c r="AK36" s="1">
        <v>6946</v>
      </c>
      <c r="AL36" s="1">
        <v>0.2</v>
      </c>
      <c r="AM36" s="1">
        <v>1598</v>
      </c>
      <c r="AN36" s="1">
        <v>719</v>
      </c>
      <c r="AO36" s="1">
        <v>27</v>
      </c>
      <c r="AP36" s="1">
        <v>20664</v>
      </c>
      <c r="AQ36" s="1">
        <v>0.5</v>
      </c>
      <c r="AR36" s="1">
        <v>1728</v>
      </c>
      <c r="AS36" s="1">
        <v>1023</v>
      </c>
      <c r="AT36" s="1">
        <v>137</v>
      </c>
      <c r="AU36" s="1">
        <v>149186</v>
      </c>
      <c r="AV36" s="1">
        <v>3.4</v>
      </c>
    </row>
    <row r="37" spans="1:48">
      <c r="A37" s="1" t="s">
        <v>405</v>
      </c>
      <c r="B37" s="1" t="s">
        <v>406</v>
      </c>
      <c r="C37" s="1">
        <v>0.96476700000000004</v>
      </c>
      <c r="D37" s="1">
        <v>1369</v>
      </c>
      <c r="E37" s="1">
        <v>12183</v>
      </c>
      <c r="F37" s="1">
        <v>282</v>
      </c>
      <c r="G37" s="1">
        <v>3657089</v>
      </c>
      <c r="H37" s="1">
        <v>57</v>
      </c>
      <c r="I37" s="1">
        <v>1590</v>
      </c>
      <c r="J37" s="1">
        <v>17217</v>
      </c>
      <c r="K37" s="1">
        <v>112</v>
      </c>
      <c r="L37" s="1">
        <v>2052616</v>
      </c>
      <c r="M37" s="1">
        <v>32</v>
      </c>
      <c r="N37" s="1">
        <v>1025</v>
      </c>
      <c r="O37" s="1">
        <v>451</v>
      </c>
      <c r="P37" s="1">
        <v>31</v>
      </c>
      <c r="Q37" s="1">
        <v>14882</v>
      </c>
      <c r="R37" s="1">
        <v>0.2</v>
      </c>
      <c r="S37" s="1">
        <v>1156</v>
      </c>
      <c r="T37" s="1">
        <v>223</v>
      </c>
      <c r="U37" s="1">
        <v>37</v>
      </c>
      <c r="V37" s="1">
        <v>8783</v>
      </c>
      <c r="W37" s="1">
        <v>0.1</v>
      </c>
      <c r="X37" s="1">
        <v>1270</v>
      </c>
      <c r="Y37" s="1">
        <v>1</v>
      </c>
      <c r="Z37" s="1">
        <v>1</v>
      </c>
      <c r="AA37" s="1">
        <v>1</v>
      </c>
      <c r="AB37" s="1">
        <v>0</v>
      </c>
      <c r="AC37" s="1">
        <v>1456</v>
      </c>
      <c r="AD37" s="1">
        <v>1239</v>
      </c>
      <c r="AE37" s="1">
        <v>71</v>
      </c>
      <c r="AF37" s="1">
        <v>93640</v>
      </c>
      <c r="AG37" s="1">
        <v>1.5</v>
      </c>
      <c r="AH37" s="1">
        <v>1494</v>
      </c>
      <c r="AI37" s="1">
        <v>1637</v>
      </c>
      <c r="AJ37" s="1">
        <v>37</v>
      </c>
      <c r="AK37" s="1">
        <v>64474</v>
      </c>
      <c r="AL37" s="1">
        <v>1</v>
      </c>
      <c r="AM37" s="1">
        <v>1592</v>
      </c>
      <c r="AN37" s="1">
        <v>547</v>
      </c>
      <c r="AO37" s="1">
        <v>23</v>
      </c>
      <c r="AP37" s="1">
        <v>13392</v>
      </c>
      <c r="AQ37" s="1">
        <v>0.2</v>
      </c>
      <c r="AR37" s="1">
        <v>1744</v>
      </c>
      <c r="AS37" s="1">
        <v>2989</v>
      </c>
      <c r="AT37" s="1">
        <v>161</v>
      </c>
      <c r="AU37" s="1">
        <v>512252</v>
      </c>
      <c r="AV37" s="1">
        <v>8</v>
      </c>
    </row>
    <row r="38" spans="1:48">
      <c r="A38" s="1" t="s">
        <v>407</v>
      </c>
      <c r="B38" s="1" t="s">
        <v>408</v>
      </c>
      <c r="C38" s="1">
        <v>0.99088399999999999</v>
      </c>
      <c r="D38" s="1">
        <v>1369</v>
      </c>
      <c r="E38" s="1">
        <v>25783</v>
      </c>
      <c r="F38" s="1">
        <v>336</v>
      </c>
      <c r="G38" s="1">
        <v>9221572</v>
      </c>
      <c r="H38" s="1">
        <v>70</v>
      </c>
      <c r="I38" s="1">
        <v>1586</v>
      </c>
      <c r="J38" s="1">
        <v>27769</v>
      </c>
      <c r="K38" s="1">
        <v>114</v>
      </c>
      <c r="L38" s="1">
        <v>3369747</v>
      </c>
      <c r="M38" s="1">
        <v>25.6</v>
      </c>
      <c r="N38" s="1">
        <v>1071</v>
      </c>
      <c r="O38" s="1">
        <v>441</v>
      </c>
      <c r="P38" s="1">
        <v>59</v>
      </c>
      <c r="Q38" s="1">
        <v>27696</v>
      </c>
      <c r="R38" s="1">
        <v>0.2</v>
      </c>
      <c r="S38" s="1">
        <v>1174</v>
      </c>
      <c r="T38" s="1">
        <v>2949</v>
      </c>
      <c r="U38" s="1">
        <v>3</v>
      </c>
      <c r="V38" s="1">
        <v>9417</v>
      </c>
      <c r="W38" s="1">
        <v>0.1</v>
      </c>
      <c r="X38" s="1">
        <v>1256</v>
      </c>
      <c r="Y38" s="1">
        <v>1</v>
      </c>
      <c r="Z38" s="1">
        <v>1</v>
      </c>
      <c r="AA38" s="1">
        <v>1</v>
      </c>
      <c r="AB38" s="1">
        <v>0</v>
      </c>
      <c r="AC38" s="1">
        <v>1440</v>
      </c>
      <c r="AD38" s="1">
        <v>259</v>
      </c>
      <c r="AE38" s="1">
        <v>131</v>
      </c>
      <c r="AF38" s="1">
        <v>36116</v>
      </c>
      <c r="AG38" s="1">
        <v>0.3</v>
      </c>
      <c r="AH38" s="1">
        <v>1488</v>
      </c>
      <c r="AI38" s="1">
        <v>1167</v>
      </c>
      <c r="AJ38" s="1">
        <v>41</v>
      </c>
      <c r="AK38" s="1">
        <v>50932</v>
      </c>
      <c r="AL38" s="1">
        <v>0.4</v>
      </c>
      <c r="AM38" s="1">
        <v>1594</v>
      </c>
      <c r="AN38" s="1">
        <v>677</v>
      </c>
      <c r="AO38" s="1">
        <v>23</v>
      </c>
      <c r="AP38" s="1">
        <v>16575</v>
      </c>
      <c r="AQ38" s="1">
        <v>0.1</v>
      </c>
      <c r="AR38" s="1">
        <v>1734</v>
      </c>
      <c r="AS38" s="1">
        <v>3215</v>
      </c>
      <c r="AT38" s="1">
        <v>129</v>
      </c>
      <c r="AU38" s="1">
        <v>441472</v>
      </c>
      <c r="AV38" s="1">
        <v>3.4</v>
      </c>
    </row>
    <row r="39" spans="1:48">
      <c r="A39" s="1" t="s">
        <v>409</v>
      </c>
      <c r="B39" s="1" t="s">
        <v>410</v>
      </c>
      <c r="C39" s="1">
        <v>0.98351100000000002</v>
      </c>
      <c r="D39" s="1">
        <v>1369</v>
      </c>
      <c r="E39" s="1">
        <v>31113</v>
      </c>
      <c r="F39" s="1">
        <v>306</v>
      </c>
      <c r="G39" s="1">
        <v>10134341</v>
      </c>
      <c r="H39" s="1">
        <v>62.2</v>
      </c>
      <c r="I39" s="1">
        <v>1584</v>
      </c>
      <c r="J39" s="1">
        <v>40641</v>
      </c>
      <c r="K39" s="1">
        <v>120</v>
      </c>
      <c r="L39" s="1">
        <v>5191321</v>
      </c>
      <c r="M39" s="1">
        <v>31.9</v>
      </c>
      <c r="N39" s="1">
        <v>1043</v>
      </c>
      <c r="O39" s="1">
        <v>1083</v>
      </c>
      <c r="P39" s="1">
        <v>55</v>
      </c>
      <c r="Q39" s="1">
        <v>63405</v>
      </c>
      <c r="R39" s="1">
        <v>0.4</v>
      </c>
      <c r="S39" s="1">
        <v>1160</v>
      </c>
      <c r="T39" s="1">
        <v>379</v>
      </c>
      <c r="U39" s="1">
        <v>1</v>
      </c>
      <c r="V39" s="1">
        <v>403</v>
      </c>
      <c r="W39" s="1">
        <v>0</v>
      </c>
      <c r="X39" s="1">
        <v>1256</v>
      </c>
      <c r="Y39" s="1">
        <v>1</v>
      </c>
      <c r="Z39" s="1">
        <v>1</v>
      </c>
      <c r="AA39" s="1">
        <v>1</v>
      </c>
      <c r="AB39" s="1">
        <v>0</v>
      </c>
      <c r="AC39" s="1">
        <v>1440</v>
      </c>
      <c r="AD39" s="1">
        <v>1993</v>
      </c>
      <c r="AE39" s="1">
        <v>87</v>
      </c>
      <c r="AF39" s="1">
        <v>184569</v>
      </c>
      <c r="AG39" s="1">
        <v>1.1000000000000001</v>
      </c>
      <c r="AH39" s="1">
        <v>1484</v>
      </c>
      <c r="AI39" s="1">
        <v>1703</v>
      </c>
      <c r="AJ39" s="1">
        <v>31</v>
      </c>
      <c r="AK39" s="1">
        <v>56196</v>
      </c>
      <c r="AL39" s="1">
        <v>0.3</v>
      </c>
      <c r="AM39" s="1">
        <v>1582</v>
      </c>
      <c r="AN39" s="1">
        <v>1269</v>
      </c>
      <c r="AO39" s="1">
        <v>21</v>
      </c>
      <c r="AP39" s="1">
        <v>28367</v>
      </c>
      <c r="AQ39" s="1">
        <v>0.2</v>
      </c>
      <c r="AR39" s="1">
        <v>1734</v>
      </c>
      <c r="AS39" s="1">
        <v>4677</v>
      </c>
      <c r="AT39" s="1">
        <v>127</v>
      </c>
      <c r="AU39" s="1">
        <v>632271</v>
      </c>
      <c r="AV39" s="1">
        <v>3.9</v>
      </c>
    </row>
    <row r="40" spans="1:48">
      <c r="A40" s="1" t="s">
        <v>411</v>
      </c>
      <c r="B40" s="1" t="s">
        <v>412</v>
      </c>
      <c r="C40" s="1">
        <v>0.98384400000000005</v>
      </c>
      <c r="D40" s="1">
        <v>1365</v>
      </c>
      <c r="E40" s="1">
        <v>16685</v>
      </c>
      <c r="F40" s="1">
        <v>256</v>
      </c>
      <c r="G40" s="1">
        <v>4546722</v>
      </c>
      <c r="H40" s="1">
        <v>58.7</v>
      </c>
      <c r="I40" s="1">
        <v>1594</v>
      </c>
      <c r="J40" s="1">
        <v>23631</v>
      </c>
      <c r="K40" s="1">
        <v>100</v>
      </c>
      <c r="L40" s="1">
        <v>2515442</v>
      </c>
      <c r="M40" s="1">
        <v>32.5</v>
      </c>
      <c r="N40" s="1">
        <v>1073</v>
      </c>
      <c r="O40" s="1">
        <v>281</v>
      </c>
      <c r="P40" s="1">
        <v>117</v>
      </c>
      <c r="Q40" s="1">
        <v>34996</v>
      </c>
      <c r="R40" s="1">
        <v>0.5</v>
      </c>
      <c r="S40" s="1">
        <v>1170</v>
      </c>
      <c r="T40" s="1">
        <v>739</v>
      </c>
      <c r="U40" s="1">
        <v>3</v>
      </c>
      <c r="V40" s="1">
        <v>2360</v>
      </c>
      <c r="W40" s="1">
        <v>0</v>
      </c>
      <c r="X40" s="1">
        <v>1270</v>
      </c>
      <c r="Y40" s="1">
        <v>1</v>
      </c>
      <c r="Z40" s="1">
        <v>1</v>
      </c>
      <c r="AA40" s="1">
        <v>1</v>
      </c>
      <c r="AB40" s="1">
        <v>0</v>
      </c>
      <c r="AC40" s="1">
        <v>1456</v>
      </c>
      <c r="AD40" s="1">
        <v>965</v>
      </c>
      <c r="AE40" s="1">
        <v>91</v>
      </c>
      <c r="AF40" s="1">
        <v>93476</v>
      </c>
      <c r="AG40" s="1">
        <v>1.2</v>
      </c>
      <c r="AH40" s="1">
        <v>1500</v>
      </c>
      <c r="AI40" s="1">
        <v>1775</v>
      </c>
      <c r="AJ40" s="1">
        <v>35</v>
      </c>
      <c r="AK40" s="1">
        <v>66130</v>
      </c>
      <c r="AL40" s="1">
        <v>0.9</v>
      </c>
      <c r="AM40" s="1">
        <v>1598</v>
      </c>
      <c r="AN40" s="1">
        <v>823</v>
      </c>
      <c r="AO40" s="1">
        <v>25</v>
      </c>
      <c r="AP40" s="1">
        <v>21901</v>
      </c>
      <c r="AQ40" s="1">
        <v>0.3</v>
      </c>
      <c r="AR40" s="1">
        <v>1746</v>
      </c>
      <c r="AS40" s="1">
        <v>2239</v>
      </c>
      <c r="AT40" s="1">
        <v>195</v>
      </c>
      <c r="AU40" s="1">
        <v>464752</v>
      </c>
      <c r="AV40" s="1">
        <v>6</v>
      </c>
    </row>
    <row r="41" spans="1:48">
      <c r="A41" s="1" t="s">
        <v>413</v>
      </c>
      <c r="B41" s="1" t="s">
        <v>414</v>
      </c>
      <c r="C41" s="1">
        <v>0.96851200000000004</v>
      </c>
      <c r="D41" s="1">
        <v>1369</v>
      </c>
      <c r="E41" s="1">
        <v>9037</v>
      </c>
      <c r="F41" s="1">
        <v>278</v>
      </c>
      <c r="G41" s="1">
        <v>2674246</v>
      </c>
      <c r="H41" s="1">
        <v>56.6</v>
      </c>
      <c r="I41" s="1">
        <v>1592</v>
      </c>
      <c r="J41" s="1">
        <v>13613</v>
      </c>
      <c r="K41" s="1">
        <v>112</v>
      </c>
      <c r="L41" s="1">
        <v>1622946</v>
      </c>
      <c r="M41" s="1">
        <v>34.299999999999997</v>
      </c>
      <c r="N41" s="1">
        <v>1025</v>
      </c>
      <c r="O41" s="1">
        <v>315</v>
      </c>
      <c r="P41" s="1">
        <v>7</v>
      </c>
      <c r="Q41" s="1">
        <v>2347</v>
      </c>
      <c r="R41" s="1">
        <v>0</v>
      </c>
      <c r="S41" s="1">
        <v>1156</v>
      </c>
      <c r="T41" s="1">
        <v>715</v>
      </c>
      <c r="U41" s="1">
        <v>7</v>
      </c>
      <c r="V41" s="1">
        <v>5328</v>
      </c>
      <c r="W41" s="1">
        <v>0.1</v>
      </c>
      <c r="X41" s="1">
        <v>1270</v>
      </c>
      <c r="Y41" s="1">
        <v>1</v>
      </c>
      <c r="Z41" s="1">
        <v>1</v>
      </c>
      <c r="AA41" s="1">
        <v>1</v>
      </c>
      <c r="AB41" s="1">
        <v>0</v>
      </c>
      <c r="AC41" s="1">
        <v>1456</v>
      </c>
      <c r="AD41" s="1">
        <v>1631</v>
      </c>
      <c r="AE41" s="1">
        <v>85</v>
      </c>
      <c r="AF41" s="1">
        <v>147572</v>
      </c>
      <c r="AG41" s="1">
        <v>3.1</v>
      </c>
      <c r="AH41" s="1">
        <v>1498</v>
      </c>
      <c r="AI41" s="1">
        <v>437</v>
      </c>
      <c r="AJ41" s="1">
        <v>33</v>
      </c>
      <c r="AK41" s="1">
        <v>15351</v>
      </c>
      <c r="AL41" s="1">
        <v>0.3</v>
      </c>
      <c r="AM41" s="1">
        <v>1586</v>
      </c>
      <c r="AN41" s="1">
        <v>915</v>
      </c>
      <c r="AO41" s="1">
        <v>1</v>
      </c>
      <c r="AP41" s="1">
        <v>974</v>
      </c>
      <c r="AQ41" s="1">
        <v>0</v>
      </c>
      <c r="AR41" s="1">
        <v>1742</v>
      </c>
      <c r="AS41" s="1">
        <v>1865</v>
      </c>
      <c r="AT41" s="1">
        <v>129</v>
      </c>
      <c r="AU41" s="1">
        <v>256095</v>
      </c>
      <c r="AV41" s="1">
        <v>5.4</v>
      </c>
    </row>
    <row r="42" spans="1:48">
      <c r="A42" s="1" t="s">
        <v>415</v>
      </c>
      <c r="B42" s="1" t="s">
        <v>416</v>
      </c>
      <c r="C42" s="1">
        <v>0.98769499999999999</v>
      </c>
      <c r="D42" s="1">
        <v>1369</v>
      </c>
      <c r="E42" s="1">
        <v>9483</v>
      </c>
      <c r="F42" s="1">
        <v>304</v>
      </c>
      <c r="G42" s="1">
        <v>3068680</v>
      </c>
      <c r="H42" s="1">
        <v>67</v>
      </c>
      <c r="I42" s="1">
        <v>1590</v>
      </c>
      <c r="J42" s="1">
        <v>11445</v>
      </c>
      <c r="K42" s="1">
        <v>102</v>
      </c>
      <c r="L42" s="1">
        <v>1242648</v>
      </c>
      <c r="M42" s="1">
        <v>27.1</v>
      </c>
      <c r="N42" s="1">
        <v>1047</v>
      </c>
      <c r="O42" s="1">
        <v>411</v>
      </c>
      <c r="P42" s="1">
        <v>81</v>
      </c>
      <c r="Q42" s="1">
        <v>35437</v>
      </c>
      <c r="R42" s="1">
        <v>0.8</v>
      </c>
      <c r="S42" s="1">
        <v>1158</v>
      </c>
      <c r="T42" s="1">
        <v>1</v>
      </c>
      <c r="U42" s="1">
        <v>1</v>
      </c>
      <c r="V42" s="1">
        <v>1</v>
      </c>
      <c r="W42" s="1">
        <v>0</v>
      </c>
      <c r="X42" s="1">
        <v>1270</v>
      </c>
      <c r="Y42" s="1">
        <v>1</v>
      </c>
      <c r="Z42" s="1">
        <v>1</v>
      </c>
      <c r="AA42" s="1">
        <v>1</v>
      </c>
      <c r="AB42" s="1">
        <v>0</v>
      </c>
      <c r="AC42" s="1">
        <v>1402</v>
      </c>
      <c r="AD42" s="1">
        <v>173</v>
      </c>
      <c r="AE42" s="1">
        <v>1</v>
      </c>
      <c r="AF42" s="1">
        <v>184</v>
      </c>
      <c r="AG42" s="1">
        <v>0</v>
      </c>
      <c r="AH42" s="1">
        <v>1500</v>
      </c>
      <c r="AI42" s="1">
        <v>557</v>
      </c>
      <c r="AJ42" s="1">
        <v>23</v>
      </c>
      <c r="AK42" s="1">
        <v>13637</v>
      </c>
      <c r="AL42" s="1">
        <v>0.3</v>
      </c>
      <c r="AM42" s="1">
        <v>1598</v>
      </c>
      <c r="AN42" s="1">
        <v>1043</v>
      </c>
      <c r="AO42" s="1">
        <v>29</v>
      </c>
      <c r="AP42" s="1">
        <v>32197</v>
      </c>
      <c r="AQ42" s="1">
        <v>0.7</v>
      </c>
      <c r="AR42" s="1">
        <v>1734</v>
      </c>
      <c r="AS42" s="1">
        <v>1187</v>
      </c>
      <c r="AT42" s="1">
        <v>147</v>
      </c>
      <c r="AU42" s="1">
        <v>185738</v>
      </c>
      <c r="AV42" s="1">
        <v>4.0999999999999996</v>
      </c>
    </row>
    <row r="43" spans="1:48">
      <c r="A43" s="1" t="s">
        <v>417</v>
      </c>
      <c r="B43" s="1" t="s">
        <v>418</v>
      </c>
      <c r="C43" s="1">
        <v>0.98552099999999998</v>
      </c>
      <c r="D43" s="1">
        <v>1369</v>
      </c>
      <c r="E43" s="1">
        <v>13237</v>
      </c>
      <c r="F43" s="1">
        <v>330</v>
      </c>
      <c r="G43" s="1">
        <v>4649816</v>
      </c>
      <c r="H43" s="1">
        <v>70</v>
      </c>
      <c r="I43" s="1">
        <v>1590</v>
      </c>
      <c r="J43" s="1">
        <v>15169</v>
      </c>
      <c r="K43" s="1">
        <v>102</v>
      </c>
      <c r="L43" s="1">
        <v>1646984</v>
      </c>
      <c r="M43" s="1">
        <v>24.8</v>
      </c>
      <c r="N43" s="1">
        <v>1025</v>
      </c>
      <c r="O43" s="1">
        <v>441</v>
      </c>
      <c r="P43" s="1">
        <v>63</v>
      </c>
      <c r="Q43" s="1">
        <v>29574</v>
      </c>
      <c r="R43" s="1">
        <v>0.4</v>
      </c>
      <c r="S43" s="1">
        <v>1186</v>
      </c>
      <c r="T43" s="1">
        <v>1</v>
      </c>
      <c r="U43" s="1">
        <v>1</v>
      </c>
      <c r="V43" s="1">
        <v>1</v>
      </c>
      <c r="W43" s="1">
        <v>0</v>
      </c>
      <c r="X43" s="1">
        <v>1256</v>
      </c>
      <c r="Y43" s="1">
        <v>1</v>
      </c>
      <c r="Z43" s="1">
        <v>1</v>
      </c>
      <c r="AA43" s="1">
        <v>1</v>
      </c>
      <c r="AB43" s="1">
        <v>0</v>
      </c>
      <c r="AC43" s="1">
        <v>1446</v>
      </c>
      <c r="AD43" s="1">
        <v>153</v>
      </c>
      <c r="AE43" s="1">
        <v>153</v>
      </c>
      <c r="AF43" s="1">
        <v>24918</v>
      </c>
      <c r="AG43" s="1">
        <v>0.4</v>
      </c>
      <c r="AH43" s="1">
        <v>1506</v>
      </c>
      <c r="AI43" s="1">
        <v>461</v>
      </c>
      <c r="AJ43" s="1">
        <v>39</v>
      </c>
      <c r="AK43" s="1">
        <v>19138</v>
      </c>
      <c r="AL43" s="1">
        <v>0.3</v>
      </c>
      <c r="AM43" s="1">
        <v>1594</v>
      </c>
      <c r="AN43" s="1">
        <v>813</v>
      </c>
      <c r="AO43" s="1">
        <v>15</v>
      </c>
      <c r="AP43" s="1">
        <v>12981</v>
      </c>
      <c r="AQ43" s="1">
        <v>0.2</v>
      </c>
      <c r="AR43" s="1">
        <v>1722</v>
      </c>
      <c r="AS43" s="1">
        <v>1969</v>
      </c>
      <c r="AT43" s="1">
        <v>125</v>
      </c>
      <c r="AU43" s="1">
        <v>261992</v>
      </c>
      <c r="AV43" s="1">
        <v>3.9</v>
      </c>
    </row>
    <row r="44" spans="1:48">
      <c r="A44" s="1" t="s">
        <v>419</v>
      </c>
      <c r="B44" s="1" t="s">
        <v>420</v>
      </c>
      <c r="C44" s="1">
        <v>0.98153100000000004</v>
      </c>
      <c r="D44" s="1">
        <v>1367</v>
      </c>
      <c r="E44" s="1">
        <v>20953</v>
      </c>
      <c r="F44" s="1">
        <v>322</v>
      </c>
      <c r="G44" s="1">
        <v>7181816</v>
      </c>
      <c r="H44" s="1">
        <v>68.7</v>
      </c>
      <c r="I44" s="1">
        <v>1590</v>
      </c>
      <c r="J44" s="1">
        <v>24893</v>
      </c>
      <c r="K44" s="1">
        <v>102</v>
      </c>
      <c r="L44" s="1">
        <v>2702773</v>
      </c>
      <c r="M44" s="1">
        <v>25.8</v>
      </c>
      <c r="N44" s="1">
        <v>1037</v>
      </c>
      <c r="O44" s="1">
        <v>599</v>
      </c>
      <c r="P44" s="1">
        <v>61</v>
      </c>
      <c r="Q44" s="1">
        <v>38895</v>
      </c>
      <c r="R44" s="1">
        <v>0.4</v>
      </c>
      <c r="S44" s="1">
        <v>1186</v>
      </c>
      <c r="T44" s="1">
        <v>1</v>
      </c>
      <c r="U44" s="1">
        <v>1</v>
      </c>
      <c r="V44" s="1">
        <v>1</v>
      </c>
      <c r="W44" s="1">
        <v>0</v>
      </c>
      <c r="X44" s="1">
        <v>1256</v>
      </c>
      <c r="Y44" s="1">
        <v>1</v>
      </c>
      <c r="Z44" s="1">
        <v>1</v>
      </c>
      <c r="AA44" s="1">
        <v>1</v>
      </c>
      <c r="AB44" s="1">
        <v>0</v>
      </c>
      <c r="AC44" s="1">
        <v>1440</v>
      </c>
      <c r="AD44" s="1">
        <v>415</v>
      </c>
      <c r="AE44" s="1">
        <v>117</v>
      </c>
      <c r="AF44" s="1">
        <v>51685</v>
      </c>
      <c r="AG44" s="1">
        <v>0.5</v>
      </c>
      <c r="AH44" s="1">
        <v>1500</v>
      </c>
      <c r="AI44" s="1">
        <v>1351</v>
      </c>
      <c r="AJ44" s="1">
        <v>41</v>
      </c>
      <c r="AK44" s="1">
        <v>58962</v>
      </c>
      <c r="AL44" s="1">
        <v>0.6</v>
      </c>
      <c r="AM44" s="1">
        <v>1598</v>
      </c>
      <c r="AN44" s="1">
        <v>271</v>
      </c>
      <c r="AO44" s="1">
        <v>23</v>
      </c>
      <c r="AP44" s="1">
        <v>6635</v>
      </c>
      <c r="AQ44" s="1">
        <v>0.1</v>
      </c>
      <c r="AR44" s="1">
        <v>1720</v>
      </c>
      <c r="AS44" s="1">
        <v>3597</v>
      </c>
      <c r="AT44" s="1">
        <v>109</v>
      </c>
      <c r="AU44" s="1">
        <v>417349</v>
      </c>
      <c r="AV44" s="1">
        <v>4</v>
      </c>
    </row>
    <row r="45" spans="1:48">
      <c r="A45" s="1" t="s">
        <v>421</v>
      </c>
      <c r="B45" s="1" t="s">
        <v>422</v>
      </c>
      <c r="C45" s="1">
        <v>0.98260499999999995</v>
      </c>
      <c r="D45" s="1">
        <v>1369</v>
      </c>
      <c r="E45" s="1">
        <v>16315</v>
      </c>
      <c r="F45" s="1">
        <v>330</v>
      </c>
      <c r="G45" s="1">
        <v>5731037</v>
      </c>
      <c r="H45" s="1">
        <v>69.3</v>
      </c>
      <c r="I45" s="1">
        <v>1590</v>
      </c>
      <c r="J45" s="1">
        <v>19809</v>
      </c>
      <c r="K45" s="1">
        <v>100</v>
      </c>
      <c r="L45" s="1">
        <v>2108603</v>
      </c>
      <c r="M45" s="1">
        <v>25.5</v>
      </c>
      <c r="N45" s="1">
        <v>1043</v>
      </c>
      <c r="O45" s="1">
        <v>463</v>
      </c>
      <c r="P45" s="1">
        <v>59</v>
      </c>
      <c r="Q45" s="1">
        <v>29078</v>
      </c>
      <c r="R45" s="1">
        <v>0.4</v>
      </c>
      <c r="S45" s="1">
        <v>1186</v>
      </c>
      <c r="T45" s="1">
        <v>1</v>
      </c>
      <c r="U45" s="1">
        <v>1</v>
      </c>
      <c r="V45" s="1">
        <v>1</v>
      </c>
      <c r="W45" s="1">
        <v>0</v>
      </c>
      <c r="X45" s="1">
        <v>1256</v>
      </c>
      <c r="Y45" s="1">
        <v>1</v>
      </c>
      <c r="Z45" s="1">
        <v>1</v>
      </c>
      <c r="AA45" s="1">
        <v>1</v>
      </c>
      <c r="AB45" s="1">
        <v>0</v>
      </c>
      <c r="AC45" s="1">
        <v>1440</v>
      </c>
      <c r="AD45" s="1">
        <v>129</v>
      </c>
      <c r="AE45" s="1">
        <v>127</v>
      </c>
      <c r="AF45" s="1">
        <v>17439</v>
      </c>
      <c r="AG45" s="1">
        <v>0.2</v>
      </c>
      <c r="AH45" s="1">
        <v>1506</v>
      </c>
      <c r="AI45" s="1">
        <v>517</v>
      </c>
      <c r="AJ45" s="1">
        <v>39</v>
      </c>
      <c r="AK45" s="1">
        <v>21463</v>
      </c>
      <c r="AL45" s="1">
        <v>0.3</v>
      </c>
      <c r="AM45" s="1">
        <v>1598</v>
      </c>
      <c r="AN45" s="1">
        <v>1165</v>
      </c>
      <c r="AO45" s="1">
        <v>29</v>
      </c>
      <c r="AP45" s="1">
        <v>35963</v>
      </c>
      <c r="AQ45" s="1">
        <v>0.4</v>
      </c>
      <c r="AR45" s="1">
        <v>1722</v>
      </c>
      <c r="AS45" s="1">
        <v>2663</v>
      </c>
      <c r="AT45" s="1">
        <v>117</v>
      </c>
      <c r="AU45" s="1">
        <v>331657</v>
      </c>
      <c r="AV45" s="1">
        <v>4</v>
      </c>
    </row>
    <row r="46" spans="1:48">
      <c r="A46" s="1" t="s">
        <v>423</v>
      </c>
      <c r="B46" s="1" t="s">
        <v>424</v>
      </c>
      <c r="C46" s="1">
        <v>0.98399800000000004</v>
      </c>
      <c r="D46" s="1">
        <v>1369</v>
      </c>
      <c r="E46" s="1">
        <v>21651</v>
      </c>
      <c r="F46" s="1">
        <v>328</v>
      </c>
      <c r="G46" s="1">
        <v>7559342</v>
      </c>
      <c r="H46" s="1">
        <v>69.099999999999994</v>
      </c>
      <c r="I46" s="1">
        <v>1588</v>
      </c>
      <c r="J46" s="1">
        <v>25519</v>
      </c>
      <c r="K46" s="1">
        <v>104</v>
      </c>
      <c r="L46" s="1">
        <v>2825070</v>
      </c>
      <c r="M46" s="1">
        <v>25.8</v>
      </c>
      <c r="N46" s="1">
        <v>1045</v>
      </c>
      <c r="O46" s="1">
        <v>769</v>
      </c>
      <c r="P46" s="1">
        <v>65</v>
      </c>
      <c r="Q46" s="1">
        <v>53207</v>
      </c>
      <c r="R46" s="1">
        <v>0.5</v>
      </c>
      <c r="S46" s="1">
        <v>1186</v>
      </c>
      <c r="T46" s="1">
        <v>1</v>
      </c>
      <c r="U46" s="1">
        <v>1</v>
      </c>
      <c r="V46" s="1">
        <v>1</v>
      </c>
      <c r="W46" s="1">
        <v>0</v>
      </c>
      <c r="X46" s="1">
        <v>1256</v>
      </c>
      <c r="Y46" s="1">
        <v>1</v>
      </c>
      <c r="Z46" s="1">
        <v>1</v>
      </c>
      <c r="AA46" s="1">
        <v>1</v>
      </c>
      <c r="AB46" s="1">
        <v>0</v>
      </c>
      <c r="AC46" s="1">
        <v>1456</v>
      </c>
      <c r="AD46" s="1">
        <v>375</v>
      </c>
      <c r="AE46" s="1">
        <v>103</v>
      </c>
      <c r="AF46" s="1">
        <v>41115</v>
      </c>
      <c r="AG46" s="1">
        <v>0.4</v>
      </c>
      <c r="AH46" s="1">
        <v>1498</v>
      </c>
      <c r="AI46" s="1">
        <v>677</v>
      </c>
      <c r="AJ46" s="1">
        <v>31</v>
      </c>
      <c r="AK46" s="1">
        <v>22340</v>
      </c>
      <c r="AL46" s="1">
        <v>0.2</v>
      </c>
      <c r="AM46" s="1">
        <v>1598</v>
      </c>
      <c r="AN46" s="1">
        <v>851</v>
      </c>
      <c r="AO46" s="1">
        <v>23</v>
      </c>
      <c r="AP46" s="1">
        <v>20835</v>
      </c>
      <c r="AQ46" s="1">
        <v>0.2</v>
      </c>
      <c r="AR46" s="1">
        <v>1724</v>
      </c>
      <c r="AS46" s="1">
        <v>3477</v>
      </c>
      <c r="AT46" s="1">
        <v>115</v>
      </c>
      <c r="AU46" s="1">
        <v>425632</v>
      </c>
      <c r="AV46" s="1">
        <v>3.9</v>
      </c>
    </row>
    <row r="47" spans="1:48">
      <c r="A47" s="1" t="s">
        <v>425</v>
      </c>
      <c r="B47" s="1" t="s">
        <v>426</v>
      </c>
      <c r="C47" s="1">
        <v>0.98365199999999997</v>
      </c>
      <c r="D47" s="1">
        <v>1367</v>
      </c>
      <c r="E47" s="1">
        <v>20649</v>
      </c>
      <c r="F47" s="1">
        <v>318</v>
      </c>
      <c r="G47" s="1">
        <v>6989697</v>
      </c>
      <c r="H47" s="1">
        <v>67.599999999999994</v>
      </c>
      <c r="I47" s="1">
        <v>1590</v>
      </c>
      <c r="J47" s="1">
        <v>25433</v>
      </c>
      <c r="K47" s="1">
        <v>102</v>
      </c>
      <c r="L47" s="1">
        <v>2761404</v>
      </c>
      <c r="M47" s="1">
        <v>26.7</v>
      </c>
      <c r="N47" s="1">
        <v>1039</v>
      </c>
      <c r="O47" s="1">
        <v>703</v>
      </c>
      <c r="P47" s="1">
        <v>57</v>
      </c>
      <c r="Q47" s="1">
        <v>42654</v>
      </c>
      <c r="R47" s="1">
        <v>0.4</v>
      </c>
      <c r="S47" s="1">
        <v>1186</v>
      </c>
      <c r="T47" s="1">
        <v>1</v>
      </c>
      <c r="U47" s="1">
        <v>1</v>
      </c>
      <c r="V47" s="1">
        <v>1</v>
      </c>
      <c r="W47" s="1">
        <v>0</v>
      </c>
      <c r="X47" s="1">
        <v>1256</v>
      </c>
      <c r="Y47" s="1">
        <v>1</v>
      </c>
      <c r="Z47" s="1">
        <v>1</v>
      </c>
      <c r="AA47" s="1">
        <v>1</v>
      </c>
      <c r="AB47" s="1">
        <v>0</v>
      </c>
      <c r="AC47" s="1">
        <v>1440</v>
      </c>
      <c r="AD47" s="1">
        <v>485</v>
      </c>
      <c r="AE47" s="1">
        <v>115</v>
      </c>
      <c r="AF47" s="1">
        <v>59371</v>
      </c>
      <c r="AG47" s="1">
        <v>0.6</v>
      </c>
      <c r="AH47" s="1">
        <v>1504</v>
      </c>
      <c r="AI47" s="1">
        <v>1309</v>
      </c>
      <c r="AJ47" s="1">
        <v>43</v>
      </c>
      <c r="AK47" s="1">
        <v>59916</v>
      </c>
      <c r="AL47" s="1">
        <v>0.6</v>
      </c>
      <c r="AM47" s="1">
        <v>1594</v>
      </c>
      <c r="AN47" s="1">
        <v>441</v>
      </c>
      <c r="AO47" s="1">
        <v>13</v>
      </c>
      <c r="AP47" s="1">
        <v>6103</v>
      </c>
      <c r="AQ47" s="1">
        <v>0.1</v>
      </c>
      <c r="AR47" s="1">
        <v>1724</v>
      </c>
      <c r="AS47" s="1">
        <v>3445</v>
      </c>
      <c r="AT47" s="1">
        <v>113</v>
      </c>
      <c r="AU47" s="1">
        <v>414381</v>
      </c>
      <c r="AV47" s="1">
        <v>4</v>
      </c>
    </row>
    <row r="48" spans="1:48">
      <c r="A48" s="1" t="s">
        <v>427</v>
      </c>
      <c r="B48" s="1" t="s">
        <v>129</v>
      </c>
      <c r="C48" s="1">
        <v>0.98949699999999996</v>
      </c>
      <c r="D48" s="1">
        <v>1369</v>
      </c>
      <c r="E48" s="1">
        <v>25033</v>
      </c>
      <c r="F48" s="1">
        <v>338</v>
      </c>
      <c r="G48" s="1">
        <v>9006620</v>
      </c>
      <c r="H48" s="1">
        <v>69.900000000000006</v>
      </c>
      <c r="I48" s="1">
        <v>1588</v>
      </c>
      <c r="J48" s="1">
        <v>29977</v>
      </c>
      <c r="K48" s="1">
        <v>104</v>
      </c>
      <c r="L48" s="1">
        <v>3318591</v>
      </c>
      <c r="M48" s="1">
        <v>25.8</v>
      </c>
      <c r="N48" s="1">
        <v>1067</v>
      </c>
      <c r="O48" s="1">
        <v>611</v>
      </c>
      <c r="P48" s="1">
        <v>39</v>
      </c>
      <c r="Q48" s="1">
        <v>25365</v>
      </c>
      <c r="R48" s="1">
        <v>0.2</v>
      </c>
      <c r="S48" s="1">
        <v>1186</v>
      </c>
      <c r="T48" s="1">
        <v>1</v>
      </c>
      <c r="U48" s="1">
        <v>1</v>
      </c>
      <c r="V48" s="1">
        <v>1</v>
      </c>
      <c r="W48" s="1">
        <v>0</v>
      </c>
      <c r="X48" s="1">
        <v>1256</v>
      </c>
      <c r="Y48" s="1">
        <v>1</v>
      </c>
      <c r="Z48" s="1">
        <v>1</v>
      </c>
      <c r="AA48" s="1">
        <v>1</v>
      </c>
      <c r="AB48" s="1">
        <v>0</v>
      </c>
      <c r="AC48" s="1">
        <v>1440</v>
      </c>
      <c r="AD48" s="1">
        <v>439</v>
      </c>
      <c r="AE48" s="1">
        <v>105</v>
      </c>
      <c r="AF48" s="1">
        <v>49067</v>
      </c>
      <c r="AG48" s="1">
        <v>0.4</v>
      </c>
      <c r="AH48" s="1">
        <v>1496</v>
      </c>
      <c r="AI48" s="1">
        <v>1267</v>
      </c>
      <c r="AJ48" s="1">
        <v>51</v>
      </c>
      <c r="AK48" s="1">
        <v>68783</v>
      </c>
      <c r="AL48" s="1">
        <v>0.5</v>
      </c>
      <c r="AM48" s="1">
        <v>1598</v>
      </c>
      <c r="AN48" s="1">
        <v>1283</v>
      </c>
      <c r="AO48" s="1">
        <v>21</v>
      </c>
      <c r="AP48" s="1">
        <v>28680</v>
      </c>
      <c r="AQ48" s="1">
        <v>0.2</v>
      </c>
      <c r="AR48" s="1">
        <v>1718</v>
      </c>
      <c r="AS48" s="1">
        <v>3817</v>
      </c>
      <c r="AT48" s="1">
        <v>95</v>
      </c>
      <c r="AU48" s="1">
        <v>385992</v>
      </c>
      <c r="AV48" s="1">
        <v>3</v>
      </c>
    </row>
    <row r="49" spans="1:48">
      <c r="A49" s="1" t="s">
        <v>428</v>
      </c>
      <c r="B49" s="1" t="s">
        <v>429</v>
      </c>
      <c r="C49" s="1">
        <v>0.98792500000000005</v>
      </c>
      <c r="D49" s="1">
        <v>1369</v>
      </c>
      <c r="E49" s="1">
        <v>34799</v>
      </c>
      <c r="F49" s="1">
        <v>340</v>
      </c>
      <c r="G49" s="1">
        <v>12594412</v>
      </c>
      <c r="H49" s="1">
        <v>69</v>
      </c>
      <c r="I49" s="1">
        <v>1588</v>
      </c>
      <c r="J49" s="1">
        <v>41959</v>
      </c>
      <c r="K49" s="1">
        <v>104</v>
      </c>
      <c r="L49" s="1">
        <v>4645053</v>
      </c>
      <c r="M49" s="1">
        <v>25.4</v>
      </c>
      <c r="N49" s="1">
        <v>1047</v>
      </c>
      <c r="O49" s="1">
        <v>1227</v>
      </c>
      <c r="P49" s="1">
        <v>55</v>
      </c>
      <c r="Q49" s="1">
        <v>71836</v>
      </c>
      <c r="R49" s="1">
        <v>0.4</v>
      </c>
      <c r="S49" s="1">
        <v>1186</v>
      </c>
      <c r="T49" s="1">
        <v>1</v>
      </c>
      <c r="U49" s="1">
        <v>1</v>
      </c>
      <c r="V49" s="1">
        <v>1</v>
      </c>
      <c r="W49" s="1">
        <v>0</v>
      </c>
      <c r="X49" s="1">
        <v>1256</v>
      </c>
      <c r="Y49" s="1">
        <v>1</v>
      </c>
      <c r="Z49" s="1">
        <v>1</v>
      </c>
      <c r="AA49" s="1">
        <v>1</v>
      </c>
      <c r="AB49" s="1">
        <v>0</v>
      </c>
      <c r="AC49" s="1">
        <v>1440</v>
      </c>
      <c r="AD49" s="1">
        <v>1181</v>
      </c>
      <c r="AE49" s="1">
        <v>97</v>
      </c>
      <c r="AF49" s="1">
        <v>121942</v>
      </c>
      <c r="AG49" s="1">
        <v>0.7</v>
      </c>
      <c r="AH49" s="1">
        <v>1500</v>
      </c>
      <c r="AI49" s="1">
        <v>1849</v>
      </c>
      <c r="AJ49" s="1">
        <v>47</v>
      </c>
      <c r="AK49" s="1">
        <v>92505</v>
      </c>
      <c r="AL49" s="1">
        <v>0.5</v>
      </c>
      <c r="AM49" s="1">
        <v>1582</v>
      </c>
      <c r="AN49" s="1">
        <v>831</v>
      </c>
      <c r="AO49" s="1">
        <v>17</v>
      </c>
      <c r="AP49" s="1">
        <v>15038</v>
      </c>
      <c r="AQ49" s="1">
        <v>0.1</v>
      </c>
      <c r="AR49" s="1">
        <v>1722</v>
      </c>
      <c r="AS49" s="1">
        <v>5353</v>
      </c>
      <c r="AT49" s="1">
        <v>127</v>
      </c>
      <c r="AU49" s="1">
        <v>723658</v>
      </c>
      <c r="AV49" s="1">
        <v>4</v>
      </c>
    </row>
    <row r="50" spans="1:48">
      <c r="A50" s="1" t="s">
        <v>430</v>
      </c>
      <c r="B50" s="1" t="s">
        <v>431</v>
      </c>
      <c r="C50" s="1">
        <v>0.989344</v>
      </c>
      <c r="D50" s="1">
        <v>1369</v>
      </c>
      <c r="E50" s="1">
        <v>32165</v>
      </c>
      <c r="F50" s="1">
        <v>338</v>
      </c>
      <c r="G50" s="1">
        <v>11572641</v>
      </c>
      <c r="H50" s="1">
        <v>69.900000000000006</v>
      </c>
      <c r="I50" s="1">
        <v>1588</v>
      </c>
      <c r="J50" s="1">
        <v>38089</v>
      </c>
      <c r="K50" s="1">
        <v>104</v>
      </c>
      <c r="L50" s="1">
        <v>4216626</v>
      </c>
      <c r="M50" s="1">
        <v>25.5</v>
      </c>
      <c r="N50" s="1">
        <v>1073</v>
      </c>
      <c r="O50" s="1">
        <v>539</v>
      </c>
      <c r="P50" s="1">
        <v>43</v>
      </c>
      <c r="Q50" s="1">
        <v>24671</v>
      </c>
      <c r="R50" s="1">
        <v>0.1</v>
      </c>
      <c r="S50" s="1">
        <v>1186</v>
      </c>
      <c r="T50" s="1">
        <v>1</v>
      </c>
      <c r="U50" s="1">
        <v>1</v>
      </c>
      <c r="V50" s="1">
        <v>1</v>
      </c>
      <c r="W50" s="1">
        <v>0</v>
      </c>
      <c r="X50" s="1">
        <v>1256</v>
      </c>
      <c r="Y50" s="1">
        <v>1</v>
      </c>
      <c r="Z50" s="1">
        <v>1</v>
      </c>
      <c r="AA50" s="1">
        <v>1</v>
      </c>
      <c r="AB50" s="1">
        <v>0</v>
      </c>
      <c r="AC50" s="1">
        <v>1440</v>
      </c>
      <c r="AD50" s="1">
        <v>795</v>
      </c>
      <c r="AE50" s="1">
        <v>101</v>
      </c>
      <c r="AF50" s="1">
        <v>85471</v>
      </c>
      <c r="AG50" s="1">
        <v>0.5</v>
      </c>
      <c r="AH50" s="1">
        <v>1498</v>
      </c>
      <c r="AI50" s="1">
        <v>1565</v>
      </c>
      <c r="AJ50" s="1">
        <v>47</v>
      </c>
      <c r="AK50" s="1">
        <v>78297</v>
      </c>
      <c r="AL50" s="1">
        <v>0.5</v>
      </c>
      <c r="AM50" s="1">
        <v>1594</v>
      </c>
      <c r="AN50" s="1">
        <v>1215</v>
      </c>
      <c r="AO50" s="1">
        <v>25</v>
      </c>
      <c r="AP50" s="1">
        <v>32333</v>
      </c>
      <c r="AQ50" s="1">
        <v>0.2</v>
      </c>
      <c r="AR50" s="1">
        <v>1716</v>
      </c>
      <c r="AS50" s="1">
        <v>4979</v>
      </c>
      <c r="AT50" s="1">
        <v>103</v>
      </c>
      <c r="AU50" s="1">
        <v>545898</v>
      </c>
      <c r="AV50" s="1">
        <v>3.3</v>
      </c>
    </row>
    <row r="51" spans="1:48">
      <c r="A51" s="1" t="s">
        <v>432</v>
      </c>
      <c r="B51" s="1" t="s">
        <v>433</v>
      </c>
      <c r="C51" s="1">
        <v>0.98664300000000005</v>
      </c>
      <c r="D51" s="1">
        <v>1369</v>
      </c>
      <c r="E51" s="1">
        <v>16655</v>
      </c>
      <c r="F51" s="1">
        <v>344</v>
      </c>
      <c r="G51" s="1">
        <v>6098672</v>
      </c>
      <c r="H51" s="1">
        <v>69.900000000000006</v>
      </c>
      <c r="I51" s="1">
        <v>1588</v>
      </c>
      <c r="J51" s="1">
        <v>20149</v>
      </c>
      <c r="K51" s="1">
        <v>104</v>
      </c>
      <c r="L51" s="1">
        <v>2230586</v>
      </c>
      <c r="M51" s="1">
        <v>25.6</v>
      </c>
      <c r="N51" s="1">
        <v>1043</v>
      </c>
      <c r="O51" s="1">
        <v>227</v>
      </c>
      <c r="P51" s="1">
        <v>67</v>
      </c>
      <c r="Q51" s="1">
        <v>16189</v>
      </c>
      <c r="R51" s="1">
        <v>0.2</v>
      </c>
      <c r="S51" s="1">
        <v>1186</v>
      </c>
      <c r="T51" s="1">
        <v>1</v>
      </c>
      <c r="U51" s="1">
        <v>1</v>
      </c>
      <c r="V51" s="1">
        <v>1</v>
      </c>
      <c r="W51" s="1">
        <v>0</v>
      </c>
      <c r="X51" s="1">
        <v>1256</v>
      </c>
      <c r="Y51" s="1">
        <v>1</v>
      </c>
      <c r="Z51" s="1">
        <v>1</v>
      </c>
      <c r="AA51" s="1">
        <v>1</v>
      </c>
      <c r="AB51" s="1">
        <v>0</v>
      </c>
      <c r="AC51" s="1">
        <v>1440</v>
      </c>
      <c r="AD51" s="1">
        <v>411</v>
      </c>
      <c r="AE51" s="1">
        <v>111</v>
      </c>
      <c r="AF51" s="1">
        <v>48562</v>
      </c>
      <c r="AG51" s="1">
        <v>0.6</v>
      </c>
      <c r="AH51" s="1">
        <v>1490</v>
      </c>
      <c r="AI51" s="1">
        <v>655</v>
      </c>
      <c r="AJ51" s="1">
        <v>51</v>
      </c>
      <c r="AK51" s="1">
        <v>35559</v>
      </c>
      <c r="AL51" s="1">
        <v>0.4</v>
      </c>
      <c r="AM51" s="1">
        <v>1596</v>
      </c>
      <c r="AN51" s="1">
        <v>101</v>
      </c>
      <c r="AO51" s="1">
        <v>23</v>
      </c>
      <c r="AP51" s="1">
        <v>2473</v>
      </c>
      <c r="AQ51" s="1">
        <v>0</v>
      </c>
      <c r="AR51" s="1">
        <v>1716</v>
      </c>
      <c r="AS51" s="1">
        <v>2813</v>
      </c>
      <c r="AT51" s="1">
        <v>99</v>
      </c>
      <c r="AU51" s="1">
        <v>296440</v>
      </c>
      <c r="AV51" s="1">
        <v>3.4</v>
      </c>
    </row>
    <row r="52" spans="1:48">
      <c r="A52" s="1" t="s">
        <v>434</v>
      </c>
      <c r="B52" s="1" t="s">
        <v>435</v>
      </c>
      <c r="C52" s="1">
        <v>0.99032500000000001</v>
      </c>
      <c r="D52" s="1">
        <v>1369</v>
      </c>
      <c r="E52" s="1">
        <v>14561</v>
      </c>
      <c r="F52" s="1">
        <v>336</v>
      </c>
      <c r="G52" s="1">
        <v>5207901</v>
      </c>
      <c r="H52" s="1">
        <v>69.599999999999994</v>
      </c>
      <c r="I52" s="1">
        <v>1588</v>
      </c>
      <c r="J52" s="1">
        <v>17217</v>
      </c>
      <c r="K52" s="1">
        <v>104</v>
      </c>
      <c r="L52" s="1">
        <v>1906001</v>
      </c>
      <c r="M52" s="1">
        <v>25.5</v>
      </c>
      <c r="N52" s="1">
        <v>1055</v>
      </c>
      <c r="O52" s="1">
        <v>419</v>
      </c>
      <c r="P52" s="1">
        <v>59</v>
      </c>
      <c r="Q52" s="1">
        <v>26315</v>
      </c>
      <c r="R52" s="1">
        <v>0.4</v>
      </c>
      <c r="S52" s="1">
        <v>1186</v>
      </c>
      <c r="T52" s="1">
        <v>1</v>
      </c>
      <c r="U52" s="1">
        <v>1</v>
      </c>
      <c r="V52" s="1">
        <v>1</v>
      </c>
      <c r="W52" s="1">
        <v>0</v>
      </c>
      <c r="X52" s="1">
        <v>1256</v>
      </c>
      <c r="Y52" s="1">
        <v>1</v>
      </c>
      <c r="Z52" s="1">
        <v>1</v>
      </c>
      <c r="AA52" s="1">
        <v>1</v>
      </c>
      <c r="AB52" s="1">
        <v>0</v>
      </c>
      <c r="AC52" s="1">
        <v>1440</v>
      </c>
      <c r="AD52" s="1">
        <v>439</v>
      </c>
      <c r="AE52" s="1">
        <v>115</v>
      </c>
      <c r="AF52" s="1">
        <v>53740</v>
      </c>
      <c r="AG52" s="1">
        <v>0.7</v>
      </c>
      <c r="AH52" s="1">
        <v>1498</v>
      </c>
      <c r="AI52" s="1">
        <v>879</v>
      </c>
      <c r="AJ52" s="1">
        <v>49</v>
      </c>
      <c r="AK52" s="1">
        <v>45848</v>
      </c>
      <c r="AL52" s="1">
        <v>0.6</v>
      </c>
      <c r="AM52" s="1">
        <v>1598</v>
      </c>
      <c r="AN52" s="1">
        <v>607</v>
      </c>
      <c r="AO52" s="1">
        <v>15</v>
      </c>
      <c r="AP52" s="1">
        <v>9692</v>
      </c>
      <c r="AQ52" s="1">
        <v>0.1</v>
      </c>
      <c r="AR52" s="1">
        <v>1716</v>
      </c>
      <c r="AS52" s="1">
        <v>2345</v>
      </c>
      <c r="AT52" s="1">
        <v>93</v>
      </c>
      <c r="AU52" s="1">
        <v>232144</v>
      </c>
      <c r="AV52" s="1">
        <v>3.1</v>
      </c>
    </row>
    <row r="53" spans="1:48">
      <c r="A53" s="1" t="s">
        <v>436</v>
      </c>
      <c r="B53" s="1" t="s">
        <v>437</v>
      </c>
      <c r="C53" s="1">
        <v>0.98487400000000003</v>
      </c>
      <c r="D53" s="1">
        <v>1369</v>
      </c>
      <c r="E53" s="1">
        <v>10845</v>
      </c>
      <c r="F53" s="1">
        <v>336</v>
      </c>
      <c r="G53" s="1">
        <v>3878833</v>
      </c>
      <c r="H53" s="1">
        <v>74.3</v>
      </c>
      <c r="I53" s="1">
        <v>1590</v>
      </c>
      <c r="J53" s="1">
        <v>10443</v>
      </c>
      <c r="K53" s="1">
        <v>102</v>
      </c>
      <c r="L53" s="1">
        <v>1133855</v>
      </c>
      <c r="M53" s="1">
        <v>21.7</v>
      </c>
      <c r="N53" s="1">
        <v>1033</v>
      </c>
      <c r="O53" s="1">
        <v>397</v>
      </c>
      <c r="P53" s="1">
        <v>73</v>
      </c>
      <c r="Q53" s="1">
        <v>30849</v>
      </c>
      <c r="R53" s="1">
        <v>0.6</v>
      </c>
      <c r="S53" s="1">
        <v>1186</v>
      </c>
      <c r="T53" s="1">
        <v>1</v>
      </c>
      <c r="U53" s="1">
        <v>1</v>
      </c>
      <c r="V53" s="1">
        <v>1</v>
      </c>
      <c r="W53" s="1">
        <v>0</v>
      </c>
      <c r="X53" s="1">
        <v>1256</v>
      </c>
      <c r="Y53" s="1">
        <v>1</v>
      </c>
      <c r="Z53" s="1">
        <v>1</v>
      </c>
      <c r="AA53" s="1">
        <v>1</v>
      </c>
      <c r="AB53" s="1">
        <v>0</v>
      </c>
      <c r="AC53" s="1">
        <v>1404</v>
      </c>
      <c r="AD53" s="1">
        <v>51</v>
      </c>
      <c r="AE53" s="1">
        <v>1</v>
      </c>
      <c r="AF53" s="1">
        <v>54</v>
      </c>
      <c r="AG53" s="1">
        <v>0</v>
      </c>
      <c r="AH53" s="1">
        <v>1506</v>
      </c>
      <c r="AI53" s="1">
        <v>549</v>
      </c>
      <c r="AJ53" s="1">
        <v>25</v>
      </c>
      <c r="AK53" s="1">
        <v>14610</v>
      </c>
      <c r="AL53" s="1">
        <v>0.3</v>
      </c>
      <c r="AM53" s="1">
        <v>1594</v>
      </c>
      <c r="AN53" s="1">
        <v>323</v>
      </c>
      <c r="AO53" s="1">
        <v>19</v>
      </c>
      <c r="AP53" s="1">
        <v>6533</v>
      </c>
      <c r="AQ53" s="1">
        <v>0.1</v>
      </c>
      <c r="AR53" s="1">
        <v>1720</v>
      </c>
      <c r="AS53" s="1">
        <v>1199</v>
      </c>
      <c r="AT53" s="1">
        <v>121</v>
      </c>
      <c r="AU53" s="1">
        <v>154432</v>
      </c>
      <c r="AV53" s="1">
        <v>3</v>
      </c>
    </row>
    <row r="54" spans="1:48">
      <c r="A54" s="1" t="s">
        <v>438</v>
      </c>
      <c r="B54" s="1" t="s">
        <v>439</v>
      </c>
      <c r="C54" s="1">
        <v>0.98560999999999999</v>
      </c>
      <c r="D54" s="1">
        <v>1369</v>
      </c>
      <c r="E54" s="1">
        <v>14517</v>
      </c>
      <c r="F54" s="1">
        <v>336</v>
      </c>
      <c r="G54" s="1">
        <v>5192164</v>
      </c>
      <c r="H54" s="1">
        <v>73.400000000000006</v>
      </c>
      <c r="I54" s="1">
        <v>1588</v>
      </c>
      <c r="J54" s="1">
        <v>14167</v>
      </c>
      <c r="K54" s="1">
        <v>102</v>
      </c>
      <c r="L54" s="1">
        <v>1538191</v>
      </c>
      <c r="M54" s="1">
        <v>21.8</v>
      </c>
      <c r="N54" s="1">
        <v>1039</v>
      </c>
      <c r="O54" s="1">
        <v>681</v>
      </c>
      <c r="P54" s="1">
        <v>75</v>
      </c>
      <c r="Q54" s="1">
        <v>54368</v>
      </c>
      <c r="R54" s="1">
        <v>0.8</v>
      </c>
      <c r="S54" s="1">
        <v>1186</v>
      </c>
      <c r="T54" s="1">
        <v>1</v>
      </c>
      <c r="U54" s="1">
        <v>1</v>
      </c>
      <c r="V54" s="1">
        <v>1</v>
      </c>
      <c r="W54" s="1">
        <v>0</v>
      </c>
      <c r="X54" s="1">
        <v>1256</v>
      </c>
      <c r="Y54" s="1">
        <v>1</v>
      </c>
      <c r="Z54" s="1">
        <v>1</v>
      </c>
      <c r="AA54" s="1">
        <v>1</v>
      </c>
      <c r="AB54" s="1">
        <v>0</v>
      </c>
      <c r="AC54" s="1">
        <v>1406</v>
      </c>
      <c r="AD54" s="1">
        <v>1</v>
      </c>
      <c r="AE54" s="1">
        <v>1</v>
      </c>
      <c r="AF54" s="1">
        <v>1</v>
      </c>
      <c r="AG54" s="1">
        <v>0</v>
      </c>
      <c r="AH54" s="1">
        <v>1506</v>
      </c>
      <c r="AI54" s="1">
        <v>495</v>
      </c>
      <c r="AJ54" s="1">
        <v>33</v>
      </c>
      <c r="AK54" s="1">
        <v>17388</v>
      </c>
      <c r="AL54" s="1">
        <v>0.2</v>
      </c>
      <c r="AM54" s="1">
        <v>1598</v>
      </c>
      <c r="AN54" s="1">
        <v>1111</v>
      </c>
      <c r="AO54" s="1">
        <v>23</v>
      </c>
      <c r="AP54" s="1">
        <v>27200</v>
      </c>
      <c r="AQ54" s="1">
        <v>0.4</v>
      </c>
      <c r="AR54" s="1">
        <v>1720</v>
      </c>
      <c r="AS54" s="1">
        <v>1697</v>
      </c>
      <c r="AT54" s="1">
        <v>133</v>
      </c>
      <c r="AU54" s="1">
        <v>240251</v>
      </c>
      <c r="AV54" s="1">
        <v>3.4</v>
      </c>
    </row>
    <row r="55" spans="1:48">
      <c r="A55" s="1" t="s">
        <v>440</v>
      </c>
      <c r="B55" s="1" t="s">
        <v>441</v>
      </c>
      <c r="C55" s="1">
        <v>0.98563800000000001</v>
      </c>
      <c r="D55" s="1">
        <v>1369</v>
      </c>
      <c r="E55" s="1">
        <v>12137</v>
      </c>
      <c r="F55" s="1">
        <v>324</v>
      </c>
      <c r="G55" s="1">
        <v>4185897</v>
      </c>
      <c r="H55" s="1">
        <v>71.900000000000006</v>
      </c>
      <c r="I55" s="1">
        <v>1590</v>
      </c>
      <c r="J55" s="1">
        <v>12639</v>
      </c>
      <c r="K55" s="1">
        <v>100</v>
      </c>
      <c r="L55" s="1">
        <v>1345380</v>
      </c>
      <c r="M55" s="1">
        <v>23.1</v>
      </c>
      <c r="N55" s="1">
        <v>1047</v>
      </c>
      <c r="O55" s="1">
        <v>575</v>
      </c>
      <c r="P55" s="1">
        <v>77</v>
      </c>
      <c r="Q55" s="1">
        <v>47129</v>
      </c>
      <c r="R55" s="1">
        <v>0.8</v>
      </c>
      <c r="S55" s="1">
        <v>1186</v>
      </c>
      <c r="T55" s="1">
        <v>1</v>
      </c>
      <c r="U55" s="1">
        <v>1</v>
      </c>
      <c r="V55" s="1">
        <v>1</v>
      </c>
      <c r="W55" s="1">
        <v>0</v>
      </c>
      <c r="X55" s="1">
        <v>1256</v>
      </c>
      <c r="Y55" s="1">
        <v>1</v>
      </c>
      <c r="Z55" s="1">
        <v>1</v>
      </c>
      <c r="AA55" s="1">
        <v>1</v>
      </c>
      <c r="AB55" s="1">
        <v>0</v>
      </c>
      <c r="AC55" s="1">
        <v>1406</v>
      </c>
      <c r="AD55" s="1">
        <v>1</v>
      </c>
      <c r="AE55" s="1">
        <v>1</v>
      </c>
      <c r="AF55" s="1">
        <v>1</v>
      </c>
      <c r="AG55" s="1">
        <v>0</v>
      </c>
      <c r="AH55" s="1">
        <v>1506</v>
      </c>
      <c r="AI55" s="1">
        <v>447</v>
      </c>
      <c r="AJ55" s="1">
        <v>33</v>
      </c>
      <c r="AK55" s="1">
        <v>15702</v>
      </c>
      <c r="AL55" s="1">
        <v>0.3</v>
      </c>
      <c r="AM55" s="1">
        <v>1594</v>
      </c>
      <c r="AN55" s="1">
        <v>905</v>
      </c>
      <c r="AO55" s="1">
        <v>23</v>
      </c>
      <c r="AP55" s="1">
        <v>22157</v>
      </c>
      <c r="AQ55" s="1">
        <v>0.4</v>
      </c>
      <c r="AR55" s="1">
        <v>1720</v>
      </c>
      <c r="AS55" s="1">
        <v>1575</v>
      </c>
      <c r="AT55" s="1">
        <v>125</v>
      </c>
      <c r="AU55" s="1">
        <v>209567</v>
      </c>
      <c r="AV55" s="1">
        <v>3.6</v>
      </c>
    </row>
    <row r="56" spans="1:48">
      <c r="A56" s="1" t="s">
        <v>442</v>
      </c>
      <c r="B56" s="1" t="s">
        <v>443</v>
      </c>
      <c r="C56" s="1">
        <v>0.98558400000000002</v>
      </c>
      <c r="D56" s="1">
        <v>1369</v>
      </c>
      <c r="E56" s="1">
        <v>10647</v>
      </c>
      <c r="F56" s="1">
        <v>314</v>
      </c>
      <c r="G56" s="1">
        <v>3558681</v>
      </c>
      <c r="H56" s="1">
        <v>69.900000000000006</v>
      </c>
      <c r="I56" s="1">
        <v>1592</v>
      </c>
      <c r="J56" s="1">
        <v>11299</v>
      </c>
      <c r="K56" s="1">
        <v>100</v>
      </c>
      <c r="L56" s="1">
        <v>1202741</v>
      </c>
      <c r="M56" s="1">
        <v>23.6</v>
      </c>
      <c r="N56" s="1">
        <v>1045</v>
      </c>
      <c r="O56" s="1">
        <v>587</v>
      </c>
      <c r="P56" s="1">
        <v>107</v>
      </c>
      <c r="Q56" s="1">
        <v>66858</v>
      </c>
      <c r="R56" s="1">
        <v>1.3</v>
      </c>
      <c r="S56" s="1">
        <v>1186</v>
      </c>
      <c r="T56" s="1">
        <v>1</v>
      </c>
      <c r="U56" s="1">
        <v>1</v>
      </c>
      <c r="V56" s="1">
        <v>1</v>
      </c>
      <c r="W56" s="1">
        <v>0</v>
      </c>
      <c r="X56" s="1">
        <v>1256</v>
      </c>
      <c r="Y56" s="1">
        <v>1</v>
      </c>
      <c r="Z56" s="1">
        <v>1</v>
      </c>
      <c r="AA56" s="1">
        <v>1</v>
      </c>
      <c r="AB56" s="1">
        <v>0</v>
      </c>
      <c r="AC56" s="1">
        <v>1406</v>
      </c>
      <c r="AD56" s="1">
        <v>1</v>
      </c>
      <c r="AE56" s="1">
        <v>1</v>
      </c>
      <c r="AF56" s="1">
        <v>1</v>
      </c>
      <c r="AG56" s="1">
        <v>0</v>
      </c>
      <c r="AH56" s="1">
        <v>1506</v>
      </c>
      <c r="AI56" s="1">
        <v>323</v>
      </c>
      <c r="AJ56" s="1">
        <v>29</v>
      </c>
      <c r="AK56" s="1">
        <v>9971</v>
      </c>
      <c r="AL56" s="1">
        <v>0.2</v>
      </c>
      <c r="AM56" s="1">
        <v>1594</v>
      </c>
      <c r="AN56" s="1">
        <v>1359</v>
      </c>
      <c r="AO56" s="1">
        <v>25</v>
      </c>
      <c r="AP56" s="1">
        <v>36165</v>
      </c>
      <c r="AQ56" s="1">
        <v>0.7</v>
      </c>
      <c r="AR56" s="1">
        <v>1726</v>
      </c>
      <c r="AS56" s="1">
        <v>1301</v>
      </c>
      <c r="AT56" s="1">
        <v>155</v>
      </c>
      <c r="AU56" s="1">
        <v>214655</v>
      </c>
      <c r="AV56" s="1">
        <v>4.2</v>
      </c>
    </row>
    <row r="57" spans="1:48">
      <c r="A57" s="1" t="s">
        <v>444</v>
      </c>
      <c r="B57" s="1" t="s">
        <v>445</v>
      </c>
      <c r="C57" s="1">
        <v>0.98050700000000002</v>
      </c>
      <c r="D57" s="1">
        <v>1369</v>
      </c>
      <c r="E57" s="1">
        <v>8521</v>
      </c>
      <c r="F57" s="1">
        <v>338</v>
      </c>
      <c r="G57" s="1">
        <v>3065769</v>
      </c>
      <c r="H57" s="1">
        <v>71.3</v>
      </c>
      <c r="I57" s="1">
        <v>1590</v>
      </c>
      <c r="J57" s="1">
        <v>8465</v>
      </c>
      <c r="K57" s="1">
        <v>100</v>
      </c>
      <c r="L57" s="1">
        <v>901071</v>
      </c>
      <c r="M57" s="1">
        <v>21</v>
      </c>
      <c r="N57" s="1">
        <v>1037</v>
      </c>
      <c r="O57" s="1">
        <v>467</v>
      </c>
      <c r="P57" s="1">
        <v>61</v>
      </c>
      <c r="Q57" s="1">
        <v>30323</v>
      </c>
      <c r="R57" s="1">
        <v>0.7</v>
      </c>
      <c r="S57" s="1">
        <v>1186</v>
      </c>
      <c r="T57" s="1">
        <v>1</v>
      </c>
      <c r="U57" s="1">
        <v>1</v>
      </c>
      <c r="V57" s="1">
        <v>1</v>
      </c>
      <c r="W57" s="1">
        <v>0</v>
      </c>
      <c r="X57" s="1">
        <v>1256</v>
      </c>
      <c r="Y57" s="1">
        <v>1</v>
      </c>
      <c r="Z57" s="1">
        <v>1</v>
      </c>
      <c r="AA57" s="1">
        <v>1</v>
      </c>
      <c r="AB57" s="1">
        <v>0</v>
      </c>
      <c r="AC57" s="1">
        <v>1404</v>
      </c>
      <c r="AD57" s="1">
        <v>5</v>
      </c>
      <c r="AE57" s="1">
        <v>155</v>
      </c>
      <c r="AF57" s="1">
        <v>825</v>
      </c>
      <c r="AG57" s="1">
        <v>0</v>
      </c>
      <c r="AH57" s="1">
        <v>1506</v>
      </c>
      <c r="AI57" s="1">
        <v>325</v>
      </c>
      <c r="AJ57" s="1">
        <v>31</v>
      </c>
      <c r="AK57" s="1">
        <v>10725</v>
      </c>
      <c r="AL57" s="1">
        <v>0.2</v>
      </c>
      <c r="AM57" s="1">
        <v>1598</v>
      </c>
      <c r="AN57" s="1">
        <v>941</v>
      </c>
      <c r="AO57" s="1">
        <v>23</v>
      </c>
      <c r="AP57" s="1">
        <v>23038</v>
      </c>
      <c r="AQ57" s="1">
        <v>0.5</v>
      </c>
      <c r="AR57" s="1">
        <v>1738</v>
      </c>
      <c r="AS57" s="1">
        <v>1261</v>
      </c>
      <c r="AT57" s="1">
        <v>199</v>
      </c>
      <c r="AU57" s="1">
        <v>267116</v>
      </c>
      <c r="AV57" s="1">
        <v>6.2</v>
      </c>
    </row>
    <row r="58" spans="1:48">
      <c r="A58" s="1" t="s">
        <v>446</v>
      </c>
      <c r="B58" s="1" t="s">
        <v>447</v>
      </c>
      <c r="C58" s="1">
        <v>0.98732399999999998</v>
      </c>
      <c r="D58" s="1">
        <v>1369</v>
      </c>
      <c r="E58" s="1">
        <v>29955</v>
      </c>
      <c r="F58" s="1">
        <v>330</v>
      </c>
      <c r="G58" s="1">
        <v>10522416</v>
      </c>
      <c r="H58" s="1">
        <v>66.900000000000006</v>
      </c>
      <c r="I58" s="1">
        <v>1586</v>
      </c>
      <c r="J58" s="1">
        <v>36677</v>
      </c>
      <c r="K58" s="1">
        <v>112</v>
      </c>
      <c r="L58" s="1">
        <v>4372643</v>
      </c>
      <c r="M58" s="1">
        <v>27.8</v>
      </c>
      <c r="N58" s="1">
        <v>1043</v>
      </c>
      <c r="O58" s="1">
        <v>971</v>
      </c>
      <c r="P58" s="1">
        <v>67</v>
      </c>
      <c r="Q58" s="1">
        <v>69251</v>
      </c>
      <c r="R58" s="1">
        <v>0.4</v>
      </c>
      <c r="S58" s="1">
        <v>1186</v>
      </c>
      <c r="T58" s="1">
        <v>1</v>
      </c>
      <c r="U58" s="1">
        <v>1</v>
      </c>
      <c r="V58" s="1">
        <v>1</v>
      </c>
      <c r="W58" s="1">
        <v>0</v>
      </c>
      <c r="X58" s="1">
        <v>1256</v>
      </c>
      <c r="Y58" s="1">
        <v>1</v>
      </c>
      <c r="Z58" s="1">
        <v>1</v>
      </c>
      <c r="AA58" s="1">
        <v>1</v>
      </c>
      <c r="AB58" s="1">
        <v>0</v>
      </c>
      <c r="AC58" s="1">
        <v>1440</v>
      </c>
      <c r="AD58" s="1">
        <v>603</v>
      </c>
      <c r="AE58" s="1">
        <v>105</v>
      </c>
      <c r="AF58" s="1">
        <v>67397</v>
      </c>
      <c r="AG58" s="1">
        <v>0.4</v>
      </c>
      <c r="AH58" s="1">
        <v>1506</v>
      </c>
      <c r="AI58" s="1">
        <v>571</v>
      </c>
      <c r="AJ58" s="1">
        <v>21</v>
      </c>
      <c r="AK58" s="1">
        <v>12764</v>
      </c>
      <c r="AL58" s="1">
        <v>0.1</v>
      </c>
      <c r="AM58" s="1">
        <v>1596</v>
      </c>
      <c r="AN58" s="1">
        <v>1485</v>
      </c>
      <c r="AO58" s="1">
        <v>25</v>
      </c>
      <c r="AP58" s="1">
        <v>39518</v>
      </c>
      <c r="AQ58" s="1">
        <v>0.3</v>
      </c>
      <c r="AR58" s="1">
        <v>1738</v>
      </c>
      <c r="AS58" s="1">
        <v>4135</v>
      </c>
      <c r="AT58" s="1">
        <v>149</v>
      </c>
      <c r="AU58" s="1">
        <v>655834</v>
      </c>
      <c r="AV58" s="1">
        <v>4.2</v>
      </c>
    </row>
    <row r="59" spans="1:48">
      <c r="A59" s="1" t="s">
        <v>448</v>
      </c>
      <c r="B59" s="1" t="s">
        <v>449</v>
      </c>
      <c r="C59" s="1">
        <v>0.98063599999999995</v>
      </c>
      <c r="D59" s="1">
        <v>1369</v>
      </c>
      <c r="E59" s="1">
        <v>12905</v>
      </c>
      <c r="F59" s="1">
        <v>330</v>
      </c>
      <c r="G59" s="1">
        <v>4533193</v>
      </c>
      <c r="H59" s="1">
        <v>67.599999999999994</v>
      </c>
      <c r="I59" s="1">
        <v>1590</v>
      </c>
      <c r="J59" s="1">
        <v>16541</v>
      </c>
      <c r="K59" s="1">
        <v>104</v>
      </c>
      <c r="L59" s="1">
        <v>1831164</v>
      </c>
      <c r="M59" s="1">
        <v>27.3</v>
      </c>
      <c r="N59" s="1">
        <v>1033</v>
      </c>
      <c r="O59" s="1">
        <v>387</v>
      </c>
      <c r="P59" s="1">
        <v>63</v>
      </c>
      <c r="Q59" s="1">
        <v>25953</v>
      </c>
      <c r="R59" s="1">
        <v>0.4</v>
      </c>
      <c r="S59" s="1">
        <v>1186</v>
      </c>
      <c r="T59" s="1">
        <v>1</v>
      </c>
      <c r="U59" s="1">
        <v>1</v>
      </c>
      <c r="V59" s="1">
        <v>1</v>
      </c>
      <c r="W59" s="1">
        <v>0</v>
      </c>
      <c r="X59" s="1">
        <v>1256</v>
      </c>
      <c r="Y59" s="1">
        <v>1</v>
      </c>
      <c r="Z59" s="1">
        <v>1</v>
      </c>
      <c r="AA59" s="1">
        <v>1</v>
      </c>
      <c r="AB59" s="1">
        <v>0</v>
      </c>
      <c r="AC59" s="1">
        <v>1440</v>
      </c>
      <c r="AD59" s="1">
        <v>141</v>
      </c>
      <c r="AE59" s="1">
        <v>121</v>
      </c>
      <c r="AF59" s="1">
        <v>18161</v>
      </c>
      <c r="AG59" s="1">
        <v>0.3</v>
      </c>
      <c r="AH59" s="1">
        <v>1498</v>
      </c>
      <c r="AI59" s="1">
        <v>659</v>
      </c>
      <c r="AJ59" s="1">
        <v>47</v>
      </c>
      <c r="AK59" s="1">
        <v>32970</v>
      </c>
      <c r="AL59" s="1">
        <v>0.5</v>
      </c>
      <c r="AM59" s="1">
        <v>1598</v>
      </c>
      <c r="AN59" s="1">
        <v>539</v>
      </c>
      <c r="AO59" s="1">
        <v>19</v>
      </c>
      <c r="AP59" s="1">
        <v>10901</v>
      </c>
      <c r="AQ59" s="1">
        <v>0.2</v>
      </c>
      <c r="AR59" s="1">
        <v>1722</v>
      </c>
      <c r="AS59" s="1">
        <v>2333</v>
      </c>
      <c r="AT59" s="1">
        <v>101</v>
      </c>
      <c r="AU59" s="1">
        <v>250824</v>
      </c>
      <c r="AV59" s="1">
        <v>3.7</v>
      </c>
    </row>
    <row r="60" spans="1:48">
      <c r="A60" s="1" t="s">
        <v>450</v>
      </c>
      <c r="B60" s="1" t="s">
        <v>451</v>
      </c>
      <c r="C60" s="1">
        <v>0.98629599999999995</v>
      </c>
      <c r="D60" s="1">
        <v>1367</v>
      </c>
      <c r="E60" s="1">
        <v>27699</v>
      </c>
      <c r="F60" s="1">
        <v>340</v>
      </c>
      <c r="G60" s="1">
        <v>10024789</v>
      </c>
      <c r="H60" s="1">
        <v>66.900000000000006</v>
      </c>
      <c r="I60" s="1">
        <v>1586</v>
      </c>
      <c r="J60" s="1">
        <v>35615</v>
      </c>
      <c r="K60" s="1">
        <v>112</v>
      </c>
      <c r="L60" s="1">
        <v>4246031</v>
      </c>
      <c r="M60" s="1">
        <v>28.4</v>
      </c>
      <c r="N60" s="1">
        <v>1043</v>
      </c>
      <c r="O60" s="1">
        <v>679</v>
      </c>
      <c r="P60" s="1">
        <v>65</v>
      </c>
      <c r="Q60" s="1">
        <v>46980</v>
      </c>
      <c r="R60" s="1">
        <v>0.3</v>
      </c>
      <c r="S60" s="1">
        <v>1186</v>
      </c>
      <c r="T60" s="1">
        <v>1</v>
      </c>
      <c r="U60" s="1">
        <v>1</v>
      </c>
      <c r="V60" s="1">
        <v>1</v>
      </c>
      <c r="W60" s="1">
        <v>0</v>
      </c>
      <c r="X60" s="1">
        <v>1256</v>
      </c>
      <c r="Y60" s="1">
        <v>1</v>
      </c>
      <c r="Z60" s="1">
        <v>1</v>
      </c>
      <c r="AA60" s="1">
        <v>1</v>
      </c>
      <c r="AB60" s="1">
        <v>0</v>
      </c>
      <c r="AC60" s="1">
        <v>1440</v>
      </c>
      <c r="AD60" s="1">
        <v>803</v>
      </c>
      <c r="AE60" s="1">
        <v>93</v>
      </c>
      <c r="AF60" s="1">
        <v>79493</v>
      </c>
      <c r="AG60" s="1">
        <v>0.5</v>
      </c>
      <c r="AH60" s="1">
        <v>1484</v>
      </c>
      <c r="AI60" s="1">
        <v>359</v>
      </c>
      <c r="AJ60" s="1">
        <v>37</v>
      </c>
      <c r="AK60" s="1">
        <v>14139</v>
      </c>
      <c r="AL60" s="1">
        <v>0.1</v>
      </c>
      <c r="AM60" s="1">
        <v>1594</v>
      </c>
      <c r="AN60" s="1">
        <v>1597</v>
      </c>
      <c r="AO60" s="1">
        <v>23</v>
      </c>
      <c r="AP60" s="1">
        <v>39099</v>
      </c>
      <c r="AQ60" s="1">
        <v>0.3</v>
      </c>
      <c r="AR60" s="1">
        <v>1730</v>
      </c>
      <c r="AS60" s="1">
        <v>4539</v>
      </c>
      <c r="AT60" s="1">
        <v>109</v>
      </c>
      <c r="AU60" s="1">
        <v>526646</v>
      </c>
      <c r="AV60" s="1">
        <v>3.5</v>
      </c>
    </row>
    <row r="61" spans="1:48">
      <c r="A61" s="1" t="s">
        <v>452</v>
      </c>
      <c r="B61" s="1" t="s">
        <v>453</v>
      </c>
      <c r="C61" s="1">
        <v>0.98609800000000003</v>
      </c>
      <c r="D61" s="1">
        <v>1369</v>
      </c>
      <c r="E61" s="1">
        <v>13147</v>
      </c>
      <c r="F61" s="1">
        <v>336</v>
      </c>
      <c r="G61" s="1">
        <v>4702168</v>
      </c>
      <c r="H61" s="1">
        <v>68.2</v>
      </c>
      <c r="I61" s="1">
        <v>1588</v>
      </c>
      <c r="J61" s="1">
        <v>16397</v>
      </c>
      <c r="K61" s="1">
        <v>112</v>
      </c>
      <c r="L61" s="1">
        <v>1954855</v>
      </c>
      <c r="M61" s="1">
        <v>28.4</v>
      </c>
      <c r="N61" s="1">
        <v>1043</v>
      </c>
      <c r="O61" s="1">
        <v>255</v>
      </c>
      <c r="P61" s="1">
        <v>59</v>
      </c>
      <c r="Q61" s="1">
        <v>16015</v>
      </c>
      <c r="R61" s="1">
        <v>0.2</v>
      </c>
      <c r="S61" s="1">
        <v>1186</v>
      </c>
      <c r="T61" s="1">
        <v>1</v>
      </c>
      <c r="U61" s="1">
        <v>1</v>
      </c>
      <c r="V61" s="1">
        <v>1</v>
      </c>
      <c r="W61" s="1">
        <v>0</v>
      </c>
      <c r="X61" s="1">
        <v>1256</v>
      </c>
      <c r="Y61" s="1">
        <v>1</v>
      </c>
      <c r="Z61" s="1">
        <v>1</v>
      </c>
      <c r="AA61" s="1">
        <v>1</v>
      </c>
      <c r="AB61" s="1">
        <v>0</v>
      </c>
      <c r="AC61" s="1">
        <v>1456</v>
      </c>
      <c r="AD61" s="1">
        <v>457</v>
      </c>
      <c r="AE61" s="1">
        <v>65</v>
      </c>
      <c r="AF61" s="1">
        <v>31620</v>
      </c>
      <c r="AG61" s="1">
        <v>0.5</v>
      </c>
      <c r="AH61" s="1">
        <v>1506</v>
      </c>
      <c r="AI61" s="1">
        <v>261</v>
      </c>
      <c r="AJ61" s="1">
        <v>13</v>
      </c>
      <c r="AK61" s="1">
        <v>3612</v>
      </c>
      <c r="AL61" s="1">
        <v>0.1</v>
      </c>
      <c r="AM61" s="1">
        <v>1588</v>
      </c>
      <c r="AN61" s="1">
        <v>875</v>
      </c>
      <c r="AO61" s="1">
        <v>5</v>
      </c>
      <c r="AP61" s="1">
        <v>4657</v>
      </c>
      <c r="AQ61" s="1">
        <v>0.1</v>
      </c>
      <c r="AR61" s="1">
        <v>1722</v>
      </c>
      <c r="AS61" s="1">
        <v>1957</v>
      </c>
      <c r="AT61" s="1">
        <v>85</v>
      </c>
      <c r="AU61" s="1">
        <v>177069</v>
      </c>
      <c r="AV61" s="1">
        <v>2.6</v>
      </c>
    </row>
    <row r="62" spans="1:48">
      <c r="A62" s="1" t="s">
        <v>454</v>
      </c>
      <c r="B62" s="1" t="s">
        <v>455</v>
      </c>
      <c r="C62" s="1">
        <v>0.98517200000000005</v>
      </c>
      <c r="D62" s="1">
        <v>1365</v>
      </c>
      <c r="E62" s="1">
        <v>23433</v>
      </c>
      <c r="F62" s="1">
        <v>328</v>
      </c>
      <c r="G62" s="1">
        <v>8181519</v>
      </c>
      <c r="H62" s="1">
        <v>66.5</v>
      </c>
      <c r="I62" s="1">
        <v>1588</v>
      </c>
      <c r="J62" s="1">
        <v>30039</v>
      </c>
      <c r="K62" s="1">
        <v>112</v>
      </c>
      <c r="L62" s="1">
        <v>3581259</v>
      </c>
      <c r="M62" s="1">
        <v>29.1</v>
      </c>
      <c r="N62" s="1">
        <v>1043</v>
      </c>
      <c r="O62" s="1">
        <v>733</v>
      </c>
      <c r="P62" s="1">
        <v>61</v>
      </c>
      <c r="Q62" s="1">
        <v>47596</v>
      </c>
      <c r="R62" s="1">
        <v>0.4</v>
      </c>
      <c r="S62" s="1">
        <v>1186</v>
      </c>
      <c r="T62" s="1">
        <v>1</v>
      </c>
      <c r="U62" s="1">
        <v>1</v>
      </c>
      <c r="V62" s="1">
        <v>1</v>
      </c>
      <c r="W62" s="1">
        <v>0</v>
      </c>
      <c r="X62" s="1">
        <v>1256</v>
      </c>
      <c r="Y62" s="1">
        <v>1</v>
      </c>
      <c r="Z62" s="1">
        <v>1</v>
      </c>
      <c r="AA62" s="1">
        <v>1</v>
      </c>
      <c r="AB62" s="1">
        <v>0</v>
      </c>
      <c r="AC62" s="1">
        <v>1440</v>
      </c>
      <c r="AD62" s="1">
        <v>525</v>
      </c>
      <c r="AE62" s="1">
        <v>111</v>
      </c>
      <c r="AF62" s="1">
        <v>62032</v>
      </c>
      <c r="AG62" s="1">
        <v>0.5</v>
      </c>
      <c r="AH62" s="1">
        <v>1506</v>
      </c>
      <c r="AI62" s="1">
        <v>695</v>
      </c>
      <c r="AJ62" s="1">
        <v>33</v>
      </c>
      <c r="AK62" s="1">
        <v>24414</v>
      </c>
      <c r="AL62" s="1">
        <v>0.2</v>
      </c>
      <c r="AM62" s="1">
        <v>1582</v>
      </c>
      <c r="AN62" s="1">
        <v>651</v>
      </c>
      <c r="AO62" s="1">
        <v>7</v>
      </c>
      <c r="AP62" s="1">
        <v>4851</v>
      </c>
      <c r="AQ62" s="1">
        <v>0</v>
      </c>
      <c r="AR62" s="1">
        <v>1724</v>
      </c>
      <c r="AS62" s="1">
        <v>4115</v>
      </c>
      <c r="AT62" s="1">
        <v>91</v>
      </c>
      <c r="AU62" s="1">
        <v>398606</v>
      </c>
      <c r="AV62" s="1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DD0A-F6F5-446F-80F4-23ABD8ABAEFF}">
  <dimension ref="A1:AV68"/>
  <sheetViews>
    <sheetView topLeftCell="A4" workbookViewId="0">
      <selection activeCell="E14" sqref="E14"/>
    </sheetView>
  </sheetViews>
  <sheetFormatPr defaultColWidth="12" defaultRowHeight="14.45"/>
  <cols>
    <col min="1" max="1" width="84.140625" bestFit="1" customWidth="1"/>
  </cols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456</v>
      </c>
      <c r="B2" t="s">
        <v>457</v>
      </c>
      <c r="C2">
        <v>0.98501099999999997</v>
      </c>
      <c r="D2">
        <v>1365</v>
      </c>
      <c r="E2">
        <v>8711</v>
      </c>
      <c r="F2">
        <v>198</v>
      </c>
      <c r="G2">
        <v>1835969</v>
      </c>
      <c r="H2">
        <v>42.8</v>
      </c>
      <c r="I2">
        <v>1588</v>
      </c>
      <c r="J2">
        <v>11733</v>
      </c>
      <c r="K2">
        <v>139</v>
      </c>
      <c r="L2">
        <v>1736025</v>
      </c>
      <c r="M2">
        <v>40.5</v>
      </c>
      <c r="N2">
        <v>1073</v>
      </c>
      <c r="O2">
        <v>795</v>
      </c>
      <c r="P2">
        <v>144</v>
      </c>
      <c r="Q2">
        <v>121860</v>
      </c>
      <c r="R2">
        <v>2.8</v>
      </c>
      <c r="S2">
        <v>1188</v>
      </c>
      <c r="T2">
        <v>2027</v>
      </c>
      <c r="U2">
        <v>116</v>
      </c>
      <c r="V2">
        <v>250290</v>
      </c>
      <c r="W2">
        <v>5.8</v>
      </c>
      <c r="X2">
        <v>1254</v>
      </c>
      <c r="Y2">
        <v>99</v>
      </c>
      <c r="Z2">
        <v>50</v>
      </c>
      <c r="AA2">
        <v>5269</v>
      </c>
      <c r="AB2">
        <v>0.1</v>
      </c>
      <c r="AC2">
        <v>1454</v>
      </c>
      <c r="AD2">
        <v>919</v>
      </c>
      <c r="AE2">
        <v>60</v>
      </c>
      <c r="AF2">
        <v>58695</v>
      </c>
      <c r="AG2">
        <v>1.4</v>
      </c>
      <c r="AH2">
        <v>1486</v>
      </c>
      <c r="AI2">
        <v>583</v>
      </c>
      <c r="AJ2">
        <v>50</v>
      </c>
      <c r="AK2">
        <v>31029</v>
      </c>
      <c r="AL2">
        <v>0.7</v>
      </c>
      <c r="AM2">
        <v>1586</v>
      </c>
      <c r="AN2">
        <v>861</v>
      </c>
      <c r="AO2">
        <v>50</v>
      </c>
      <c r="AP2">
        <v>45825</v>
      </c>
      <c r="AQ2">
        <v>1.1000000000000001</v>
      </c>
      <c r="AR2">
        <v>1748</v>
      </c>
      <c r="AS2">
        <v>969</v>
      </c>
      <c r="AT2">
        <v>198</v>
      </c>
      <c r="AU2">
        <v>204231</v>
      </c>
      <c r="AV2">
        <v>4.8</v>
      </c>
    </row>
    <row r="3" spans="1:48">
      <c r="A3" t="s">
        <v>458</v>
      </c>
      <c r="B3" t="s">
        <v>459</v>
      </c>
      <c r="C3">
        <v>0.97747499999999998</v>
      </c>
      <c r="D3">
        <v>1365</v>
      </c>
      <c r="E3">
        <v>2723</v>
      </c>
      <c r="F3">
        <v>196</v>
      </c>
      <c r="G3">
        <v>568115</v>
      </c>
      <c r="H3">
        <v>54.8</v>
      </c>
      <c r="I3">
        <v>1590</v>
      </c>
      <c r="J3">
        <v>3879</v>
      </c>
      <c r="K3">
        <v>89</v>
      </c>
      <c r="L3">
        <v>367487</v>
      </c>
      <c r="M3">
        <v>35.4</v>
      </c>
      <c r="N3">
        <v>1041</v>
      </c>
      <c r="O3">
        <v>1</v>
      </c>
      <c r="P3">
        <v>50</v>
      </c>
      <c r="Q3">
        <v>53</v>
      </c>
      <c r="R3">
        <v>0</v>
      </c>
      <c r="S3">
        <v>1178</v>
      </c>
      <c r="T3">
        <v>209</v>
      </c>
      <c r="U3">
        <v>66</v>
      </c>
      <c r="V3">
        <v>14683</v>
      </c>
      <c r="W3">
        <v>1.4</v>
      </c>
      <c r="X3">
        <v>1250</v>
      </c>
      <c r="Y3">
        <v>3</v>
      </c>
      <c r="Z3">
        <v>50</v>
      </c>
      <c r="AA3">
        <v>160</v>
      </c>
      <c r="AB3">
        <v>0</v>
      </c>
      <c r="AC3">
        <v>1454</v>
      </c>
      <c r="AD3">
        <v>141</v>
      </c>
      <c r="AE3">
        <v>50</v>
      </c>
      <c r="AF3">
        <v>7504</v>
      </c>
      <c r="AG3">
        <v>0.7</v>
      </c>
      <c r="AH3">
        <v>1512</v>
      </c>
      <c r="AI3">
        <v>1103</v>
      </c>
      <c r="AJ3">
        <v>66</v>
      </c>
      <c r="AK3">
        <v>77491</v>
      </c>
      <c r="AL3">
        <v>7.5</v>
      </c>
      <c r="AM3">
        <v>1598</v>
      </c>
      <c r="AN3">
        <v>39</v>
      </c>
      <c r="AO3">
        <v>50</v>
      </c>
      <c r="AP3">
        <v>2076</v>
      </c>
      <c r="AQ3">
        <v>0.2</v>
      </c>
      <c r="AR3">
        <v>1700</v>
      </c>
      <c r="AS3">
        <v>1</v>
      </c>
      <c r="AT3">
        <v>50</v>
      </c>
      <c r="AU3">
        <v>53</v>
      </c>
      <c r="AV3">
        <v>0</v>
      </c>
    </row>
    <row r="4" spans="1:48">
      <c r="A4" t="s">
        <v>460</v>
      </c>
      <c r="B4" t="s">
        <v>461</v>
      </c>
      <c r="C4">
        <v>0.989205</v>
      </c>
      <c r="D4">
        <v>1365</v>
      </c>
      <c r="E4">
        <v>3931</v>
      </c>
      <c r="F4">
        <v>198</v>
      </c>
      <c r="G4">
        <v>828515</v>
      </c>
      <c r="H4">
        <v>46.8</v>
      </c>
      <c r="I4">
        <v>1588</v>
      </c>
      <c r="J4">
        <v>4617</v>
      </c>
      <c r="K4">
        <v>139</v>
      </c>
      <c r="L4">
        <v>683136</v>
      </c>
      <c r="M4">
        <v>38.6</v>
      </c>
      <c r="N4">
        <v>1073</v>
      </c>
      <c r="O4">
        <v>375</v>
      </c>
      <c r="P4">
        <v>148</v>
      </c>
      <c r="Q4">
        <v>59078</v>
      </c>
      <c r="R4">
        <v>3.3</v>
      </c>
      <c r="S4">
        <v>1186</v>
      </c>
      <c r="T4">
        <v>845</v>
      </c>
      <c r="U4">
        <v>118</v>
      </c>
      <c r="V4">
        <v>106138</v>
      </c>
      <c r="W4">
        <v>6</v>
      </c>
      <c r="X4">
        <v>1264</v>
      </c>
      <c r="Y4">
        <v>79</v>
      </c>
      <c r="Z4">
        <v>50</v>
      </c>
      <c r="AA4">
        <v>4205</v>
      </c>
      <c r="AB4">
        <v>0.2</v>
      </c>
      <c r="AC4">
        <v>1454</v>
      </c>
      <c r="AD4">
        <v>319</v>
      </c>
      <c r="AE4">
        <v>50</v>
      </c>
      <c r="AF4">
        <v>16978</v>
      </c>
      <c r="AG4">
        <v>1</v>
      </c>
      <c r="AH4">
        <v>1492</v>
      </c>
      <c r="AI4">
        <v>403</v>
      </c>
      <c r="AJ4">
        <v>50</v>
      </c>
      <c r="AK4">
        <v>21449</v>
      </c>
      <c r="AL4">
        <v>1.2</v>
      </c>
      <c r="AM4">
        <v>1590</v>
      </c>
      <c r="AN4">
        <v>227</v>
      </c>
      <c r="AO4">
        <v>50</v>
      </c>
      <c r="AP4">
        <v>12082</v>
      </c>
      <c r="AQ4">
        <v>0.7</v>
      </c>
      <c r="AR4">
        <v>1748</v>
      </c>
      <c r="AS4">
        <v>489</v>
      </c>
      <c r="AT4">
        <v>74</v>
      </c>
      <c r="AU4">
        <v>38519</v>
      </c>
      <c r="AV4">
        <v>2.2000000000000002</v>
      </c>
    </row>
    <row r="5" spans="1:48">
      <c r="A5" t="s">
        <v>462</v>
      </c>
      <c r="B5" t="s">
        <v>330</v>
      </c>
      <c r="C5">
        <v>0.99743800000000005</v>
      </c>
      <c r="D5">
        <v>1367</v>
      </c>
      <c r="E5">
        <v>14845</v>
      </c>
      <c r="F5">
        <v>198</v>
      </c>
      <c r="G5">
        <v>3128799</v>
      </c>
      <c r="H5">
        <v>53.1</v>
      </c>
      <c r="I5">
        <v>1588</v>
      </c>
      <c r="J5">
        <v>19185</v>
      </c>
      <c r="K5">
        <v>107</v>
      </c>
      <c r="L5">
        <v>2185133</v>
      </c>
      <c r="M5">
        <v>37.1</v>
      </c>
      <c r="N5">
        <v>1073</v>
      </c>
      <c r="O5">
        <v>1</v>
      </c>
      <c r="P5">
        <v>50</v>
      </c>
      <c r="Q5">
        <v>53</v>
      </c>
      <c r="R5">
        <v>0</v>
      </c>
      <c r="S5">
        <v>1184</v>
      </c>
      <c r="T5">
        <v>1321</v>
      </c>
      <c r="U5">
        <v>84</v>
      </c>
      <c r="V5">
        <v>118118</v>
      </c>
      <c r="W5">
        <v>2</v>
      </c>
      <c r="X5">
        <v>1250</v>
      </c>
      <c r="Y5">
        <v>143</v>
      </c>
      <c r="Z5">
        <v>50</v>
      </c>
      <c r="AA5">
        <v>7611</v>
      </c>
      <c r="AB5">
        <v>0.1</v>
      </c>
      <c r="AC5">
        <v>1458</v>
      </c>
      <c r="AD5">
        <v>1643</v>
      </c>
      <c r="AE5">
        <v>50</v>
      </c>
      <c r="AF5">
        <v>87446</v>
      </c>
      <c r="AG5">
        <v>1.5</v>
      </c>
      <c r="AH5">
        <v>1502</v>
      </c>
      <c r="AI5">
        <v>3765</v>
      </c>
      <c r="AJ5">
        <v>60</v>
      </c>
      <c r="AK5">
        <v>240463</v>
      </c>
      <c r="AL5">
        <v>4.0999999999999996</v>
      </c>
      <c r="AM5">
        <v>1594</v>
      </c>
      <c r="AN5">
        <v>1389</v>
      </c>
      <c r="AO5">
        <v>50</v>
      </c>
      <c r="AP5">
        <v>73927</v>
      </c>
      <c r="AQ5">
        <v>1.3</v>
      </c>
      <c r="AR5">
        <v>1712</v>
      </c>
      <c r="AS5">
        <v>867</v>
      </c>
      <c r="AT5">
        <v>56</v>
      </c>
      <c r="AU5">
        <v>51682</v>
      </c>
      <c r="AV5">
        <v>0.9</v>
      </c>
    </row>
    <row r="6" spans="1:48">
      <c r="A6" t="s">
        <v>463</v>
      </c>
      <c r="B6" t="s">
        <v>464</v>
      </c>
      <c r="C6">
        <v>0.99281399999999997</v>
      </c>
      <c r="D6">
        <v>1367</v>
      </c>
      <c r="E6">
        <v>11421</v>
      </c>
      <c r="F6">
        <v>196</v>
      </c>
      <c r="G6">
        <v>2382827</v>
      </c>
      <c r="H6">
        <v>53.3</v>
      </c>
      <c r="I6">
        <v>1588</v>
      </c>
      <c r="J6">
        <v>14467</v>
      </c>
      <c r="K6">
        <v>107</v>
      </c>
      <c r="L6">
        <v>1647762</v>
      </c>
      <c r="M6">
        <v>36.799999999999997</v>
      </c>
      <c r="N6">
        <v>1029</v>
      </c>
      <c r="O6">
        <v>21</v>
      </c>
      <c r="P6">
        <v>50</v>
      </c>
      <c r="Q6">
        <v>1118</v>
      </c>
      <c r="R6">
        <v>0</v>
      </c>
      <c r="S6">
        <v>1166</v>
      </c>
      <c r="T6">
        <v>1629</v>
      </c>
      <c r="U6">
        <v>68</v>
      </c>
      <c r="V6">
        <v>117913</v>
      </c>
      <c r="W6">
        <v>2.6</v>
      </c>
      <c r="X6">
        <v>1250</v>
      </c>
      <c r="Y6">
        <v>89</v>
      </c>
      <c r="Z6">
        <v>66</v>
      </c>
      <c r="AA6">
        <v>6253</v>
      </c>
      <c r="AB6">
        <v>0.1</v>
      </c>
      <c r="AC6">
        <v>1458</v>
      </c>
      <c r="AD6">
        <v>993</v>
      </c>
      <c r="AE6">
        <v>50</v>
      </c>
      <c r="AF6">
        <v>52851</v>
      </c>
      <c r="AG6">
        <v>1.2</v>
      </c>
      <c r="AH6">
        <v>1498</v>
      </c>
      <c r="AI6">
        <v>2959</v>
      </c>
      <c r="AJ6">
        <v>56</v>
      </c>
      <c r="AK6">
        <v>176386</v>
      </c>
      <c r="AL6">
        <v>3.9</v>
      </c>
      <c r="AM6">
        <v>1592</v>
      </c>
      <c r="AN6">
        <v>1093</v>
      </c>
      <c r="AO6">
        <v>50</v>
      </c>
      <c r="AP6">
        <v>58173</v>
      </c>
      <c r="AQ6">
        <v>1.3</v>
      </c>
      <c r="AR6">
        <v>1712</v>
      </c>
      <c r="AS6">
        <v>543</v>
      </c>
      <c r="AT6">
        <v>50</v>
      </c>
      <c r="AU6">
        <v>28900</v>
      </c>
      <c r="AV6">
        <v>0.6</v>
      </c>
    </row>
    <row r="7" spans="1:48">
      <c r="A7" t="s">
        <v>465</v>
      </c>
      <c r="B7" t="s">
        <v>466</v>
      </c>
      <c r="C7">
        <v>0.99245399999999995</v>
      </c>
      <c r="D7">
        <v>1369</v>
      </c>
      <c r="E7">
        <v>6265</v>
      </c>
      <c r="F7">
        <v>198</v>
      </c>
      <c r="G7">
        <v>1320439</v>
      </c>
      <c r="H7">
        <v>49.6</v>
      </c>
      <c r="I7">
        <v>1586</v>
      </c>
      <c r="J7">
        <v>10201</v>
      </c>
      <c r="K7">
        <v>99</v>
      </c>
      <c r="L7">
        <v>1075004</v>
      </c>
      <c r="M7">
        <v>40.4</v>
      </c>
      <c r="N7">
        <v>1011</v>
      </c>
      <c r="O7">
        <v>1</v>
      </c>
      <c r="P7">
        <v>50</v>
      </c>
      <c r="Q7">
        <v>53</v>
      </c>
      <c r="R7">
        <v>0</v>
      </c>
      <c r="S7">
        <v>1192</v>
      </c>
      <c r="T7">
        <v>809</v>
      </c>
      <c r="U7">
        <v>98</v>
      </c>
      <c r="V7">
        <v>84393</v>
      </c>
      <c r="W7">
        <v>3.2</v>
      </c>
      <c r="X7">
        <v>1254</v>
      </c>
      <c r="Y7">
        <v>89</v>
      </c>
      <c r="Z7">
        <v>50</v>
      </c>
      <c r="AA7">
        <v>4737</v>
      </c>
      <c r="AB7">
        <v>0.2</v>
      </c>
      <c r="AC7">
        <v>1458</v>
      </c>
      <c r="AD7">
        <v>689</v>
      </c>
      <c r="AE7">
        <v>62</v>
      </c>
      <c r="AF7">
        <v>45472</v>
      </c>
      <c r="AG7">
        <v>1.7</v>
      </c>
      <c r="AH7">
        <v>1508</v>
      </c>
      <c r="AI7">
        <v>1425</v>
      </c>
      <c r="AJ7">
        <v>60</v>
      </c>
      <c r="AK7">
        <v>91012</v>
      </c>
      <c r="AL7">
        <v>3.4</v>
      </c>
      <c r="AM7">
        <v>1596</v>
      </c>
      <c r="AN7">
        <v>593</v>
      </c>
      <c r="AO7">
        <v>50</v>
      </c>
      <c r="AP7">
        <v>31561</v>
      </c>
      <c r="AQ7">
        <v>1.2</v>
      </c>
      <c r="AR7">
        <v>1700</v>
      </c>
      <c r="AS7">
        <v>183</v>
      </c>
      <c r="AT7">
        <v>50</v>
      </c>
      <c r="AU7">
        <v>9740</v>
      </c>
      <c r="AV7">
        <v>0.4</v>
      </c>
    </row>
    <row r="8" spans="1:48">
      <c r="A8" t="s">
        <v>467</v>
      </c>
      <c r="B8" t="s">
        <v>468</v>
      </c>
      <c r="C8">
        <v>0.93030900000000005</v>
      </c>
      <c r="D8">
        <v>1335</v>
      </c>
      <c r="E8">
        <v>1723</v>
      </c>
      <c r="F8">
        <v>100</v>
      </c>
      <c r="G8">
        <v>183408</v>
      </c>
      <c r="H8">
        <v>16.3</v>
      </c>
      <c r="I8">
        <v>1592</v>
      </c>
      <c r="J8">
        <v>9455</v>
      </c>
      <c r="K8">
        <v>79</v>
      </c>
      <c r="L8">
        <v>795098</v>
      </c>
      <c r="M8">
        <v>70.8</v>
      </c>
      <c r="N8">
        <v>1013</v>
      </c>
      <c r="O8">
        <v>415</v>
      </c>
      <c r="P8">
        <v>50</v>
      </c>
      <c r="Q8">
        <v>22088</v>
      </c>
      <c r="R8">
        <v>2</v>
      </c>
      <c r="S8">
        <v>1160</v>
      </c>
      <c r="T8">
        <v>1201</v>
      </c>
      <c r="U8">
        <v>52</v>
      </c>
      <c r="V8">
        <v>66478</v>
      </c>
      <c r="W8">
        <v>5.9</v>
      </c>
      <c r="X8">
        <v>1298</v>
      </c>
      <c r="Y8">
        <v>1</v>
      </c>
      <c r="Z8">
        <v>50</v>
      </c>
      <c r="AA8">
        <v>53</v>
      </c>
      <c r="AB8">
        <v>0</v>
      </c>
      <c r="AC8">
        <v>1400</v>
      </c>
      <c r="AD8">
        <v>1</v>
      </c>
      <c r="AE8">
        <v>50</v>
      </c>
      <c r="AF8">
        <v>53</v>
      </c>
      <c r="AG8">
        <v>0</v>
      </c>
      <c r="AH8">
        <v>1532</v>
      </c>
      <c r="AI8">
        <v>909</v>
      </c>
      <c r="AJ8">
        <v>50</v>
      </c>
      <c r="AK8">
        <v>48380</v>
      </c>
      <c r="AL8">
        <v>4.3</v>
      </c>
      <c r="AM8">
        <v>1598</v>
      </c>
      <c r="AN8">
        <v>125</v>
      </c>
      <c r="AO8">
        <v>50</v>
      </c>
      <c r="AP8">
        <v>6653</v>
      </c>
      <c r="AQ8">
        <v>0.6</v>
      </c>
      <c r="AR8">
        <v>1724</v>
      </c>
      <c r="AS8">
        <v>1</v>
      </c>
      <c r="AT8">
        <v>50</v>
      </c>
      <c r="AU8">
        <v>53</v>
      </c>
      <c r="AV8">
        <v>0</v>
      </c>
    </row>
    <row r="9" spans="1:48">
      <c r="A9" t="s">
        <v>469</v>
      </c>
      <c r="B9" t="s">
        <v>470</v>
      </c>
      <c r="C9">
        <v>0.96193799999999996</v>
      </c>
      <c r="D9">
        <v>1339</v>
      </c>
      <c r="E9">
        <v>3731</v>
      </c>
      <c r="F9">
        <v>100</v>
      </c>
      <c r="G9">
        <v>397153</v>
      </c>
      <c r="H9">
        <v>34.200000000000003</v>
      </c>
      <c r="I9">
        <v>1594</v>
      </c>
      <c r="J9">
        <v>9633</v>
      </c>
      <c r="K9">
        <v>69</v>
      </c>
      <c r="L9">
        <v>707527</v>
      </c>
      <c r="M9">
        <v>61</v>
      </c>
      <c r="N9">
        <v>1073</v>
      </c>
      <c r="O9">
        <v>103</v>
      </c>
      <c r="P9">
        <v>74</v>
      </c>
      <c r="Q9">
        <v>8113</v>
      </c>
      <c r="R9">
        <v>0.7</v>
      </c>
      <c r="S9">
        <v>1150</v>
      </c>
      <c r="T9">
        <v>459</v>
      </c>
      <c r="U9">
        <v>60</v>
      </c>
      <c r="V9">
        <v>29315</v>
      </c>
      <c r="W9">
        <v>2.5</v>
      </c>
      <c r="X9">
        <v>1298</v>
      </c>
      <c r="Y9">
        <v>1</v>
      </c>
      <c r="Z9">
        <v>50</v>
      </c>
      <c r="AA9">
        <v>53</v>
      </c>
      <c r="AB9">
        <v>0</v>
      </c>
      <c r="AC9">
        <v>1400</v>
      </c>
      <c r="AD9">
        <v>1</v>
      </c>
      <c r="AE9">
        <v>50</v>
      </c>
      <c r="AF9">
        <v>53</v>
      </c>
      <c r="AG9">
        <v>0</v>
      </c>
      <c r="AH9">
        <v>1542</v>
      </c>
      <c r="AI9">
        <v>233</v>
      </c>
      <c r="AJ9">
        <v>50</v>
      </c>
      <c r="AK9">
        <v>12401</v>
      </c>
      <c r="AL9">
        <v>1.1000000000000001</v>
      </c>
      <c r="AM9">
        <v>1598</v>
      </c>
      <c r="AN9">
        <v>101</v>
      </c>
      <c r="AO9">
        <v>50</v>
      </c>
      <c r="AP9">
        <v>5376</v>
      </c>
      <c r="AQ9">
        <v>0.5</v>
      </c>
      <c r="AR9">
        <v>1748</v>
      </c>
      <c r="AS9">
        <v>1</v>
      </c>
      <c r="AT9">
        <v>50</v>
      </c>
      <c r="AU9">
        <v>53</v>
      </c>
      <c r="AV9">
        <v>0</v>
      </c>
    </row>
    <row r="10" spans="1:48">
      <c r="A10" t="s">
        <v>471</v>
      </c>
      <c r="B10" t="s">
        <v>472</v>
      </c>
      <c r="C10">
        <v>0.96029200000000003</v>
      </c>
      <c r="D10">
        <v>1347</v>
      </c>
      <c r="E10">
        <v>387</v>
      </c>
      <c r="F10">
        <v>100</v>
      </c>
      <c r="G10">
        <v>41195</v>
      </c>
      <c r="H10">
        <v>9.9</v>
      </c>
      <c r="I10">
        <v>1592</v>
      </c>
      <c r="J10">
        <v>4271</v>
      </c>
      <c r="K10">
        <v>79</v>
      </c>
      <c r="L10">
        <v>359161</v>
      </c>
      <c r="M10">
        <v>86.2</v>
      </c>
      <c r="N10">
        <v>1033</v>
      </c>
      <c r="O10">
        <v>1</v>
      </c>
      <c r="P10">
        <v>50</v>
      </c>
      <c r="Q10">
        <v>53</v>
      </c>
      <c r="R10">
        <v>0</v>
      </c>
      <c r="S10">
        <v>1160</v>
      </c>
      <c r="T10">
        <v>61</v>
      </c>
      <c r="U10">
        <v>50</v>
      </c>
      <c r="V10">
        <v>3247</v>
      </c>
      <c r="W10">
        <v>0.8</v>
      </c>
      <c r="X10">
        <v>1298</v>
      </c>
      <c r="Y10">
        <v>1</v>
      </c>
      <c r="Z10">
        <v>50</v>
      </c>
      <c r="AA10">
        <v>53</v>
      </c>
      <c r="AB10">
        <v>0</v>
      </c>
      <c r="AC10">
        <v>1400</v>
      </c>
      <c r="AD10">
        <v>1</v>
      </c>
      <c r="AE10">
        <v>50</v>
      </c>
      <c r="AF10">
        <v>53</v>
      </c>
      <c r="AG10">
        <v>0</v>
      </c>
      <c r="AH10">
        <v>1548</v>
      </c>
      <c r="AI10">
        <v>177</v>
      </c>
      <c r="AJ10">
        <v>50</v>
      </c>
      <c r="AK10">
        <v>9421</v>
      </c>
      <c r="AL10">
        <v>2.2999999999999998</v>
      </c>
      <c r="AM10">
        <v>1598</v>
      </c>
      <c r="AN10">
        <v>53</v>
      </c>
      <c r="AO10">
        <v>50</v>
      </c>
      <c r="AP10">
        <v>2821</v>
      </c>
      <c r="AQ10">
        <v>0.7</v>
      </c>
      <c r="AR10">
        <v>1700</v>
      </c>
      <c r="AS10">
        <v>13</v>
      </c>
      <c r="AT10">
        <v>50</v>
      </c>
      <c r="AU10">
        <v>692</v>
      </c>
      <c r="AV10">
        <v>0.2</v>
      </c>
    </row>
    <row r="11" spans="1:48">
      <c r="A11" t="s">
        <v>473</v>
      </c>
      <c r="B11" t="s">
        <v>474</v>
      </c>
      <c r="C11">
        <v>2.5929999999999998E-3</v>
      </c>
      <c r="D11">
        <v>1339</v>
      </c>
      <c r="E11">
        <v>3</v>
      </c>
      <c r="F11">
        <v>198</v>
      </c>
      <c r="G11">
        <v>632</v>
      </c>
      <c r="H11">
        <v>9.1</v>
      </c>
      <c r="I11">
        <v>1598</v>
      </c>
      <c r="J11">
        <v>11</v>
      </c>
      <c r="K11">
        <v>351</v>
      </c>
      <c r="L11">
        <v>4110</v>
      </c>
      <c r="M11">
        <v>59.2</v>
      </c>
      <c r="N11">
        <v>987</v>
      </c>
      <c r="O11">
        <v>9</v>
      </c>
      <c r="P11">
        <v>98</v>
      </c>
      <c r="Q11">
        <v>939</v>
      </c>
      <c r="R11">
        <v>13.5</v>
      </c>
      <c r="S11">
        <v>1180</v>
      </c>
      <c r="T11">
        <v>5</v>
      </c>
      <c r="U11">
        <v>108</v>
      </c>
      <c r="V11">
        <v>575</v>
      </c>
      <c r="W11">
        <v>8.3000000000000007</v>
      </c>
      <c r="X11">
        <v>1250</v>
      </c>
      <c r="Y11">
        <v>1</v>
      </c>
      <c r="Z11">
        <v>50</v>
      </c>
      <c r="AA11">
        <v>53</v>
      </c>
      <c r="AB11">
        <v>0.8</v>
      </c>
      <c r="AC11">
        <v>1436</v>
      </c>
      <c r="AD11">
        <v>1</v>
      </c>
      <c r="AE11">
        <v>50</v>
      </c>
      <c r="AF11">
        <v>53</v>
      </c>
      <c r="AG11">
        <v>0.8</v>
      </c>
      <c r="AH11">
        <v>1514</v>
      </c>
      <c r="AI11">
        <v>1</v>
      </c>
      <c r="AJ11">
        <v>50</v>
      </c>
      <c r="AK11">
        <v>53</v>
      </c>
      <c r="AL11">
        <v>0.8</v>
      </c>
      <c r="AM11">
        <v>1570</v>
      </c>
      <c r="AN11">
        <v>1</v>
      </c>
      <c r="AO11">
        <v>50</v>
      </c>
      <c r="AP11">
        <v>53</v>
      </c>
      <c r="AQ11">
        <v>0.8</v>
      </c>
      <c r="AR11">
        <v>1748</v>
      </c>
      <c r="AS11">
        <v>9</v>
      </c>
      <c r="AT11">
        <v>50</v>
      </c>
      <c r="AU11">
        <v>479</v>
      </c>
      <c r="AV11">
        <v>6.9</v>
      </c>
    </row>
    <row r="12" spans="1:48">
      <c r="A12" t="s">
        <v>475</v>
      </c>
      <c r="B12" t="s">
        <v>476</v>
      </c>
      <c r="C12">
        <v>0.98026800000000003</v>
      </c>
      <c r="D12">
        <v>1365</v>
      </c>
      <c r="E12">
        <v>12793</v>
      </c>
      <c r="F12">
        <v>196</v>
      </c>
      <c r="G12">
        <v>2669074</v>
      </c>
      <c r="H12">
        <v>49.2</v>
      </c>
      <c r="I12">
        <v>1590</v>
      </c>
      <c r="J12">
        <v>12843</v>
      </c>
      <c r="K12">
        <v>139</v>
      </c>
      <c r="L12">
        <v>1900262</v>
      </c>
      <c r="M12">
        <v>35</v>
      </c>
      <c r="N12">
        <v>1073</v>
      </c>
      <c r="O12">
        <v>1359</v>
      </c>
      <c r="P12">
        <v>162</v>
      </c>
      <c r="Q12">
        <v>234351</v>
      </c>
      <c r="R12">
        <v>4.3</v>
      </c>
      <c r="S12">
        <v>1188</v>
      </c>
      <c r="T12">
        <v>2377</v>
      </c>
      <c r="U12">
        <v>126</v>
      </c>
      <c r="V12">
        <v>318810</v>
      </c>
      <c r="W12">
        <v>5.9</v>
      </c>
      <c r="X12">
        <v>1280</v>
      </c>
      <c r="Y12">
        <v>163</v>
      </c>
      <c r="Z12">
        <v>50</v>
      </c>
      <c r="AA12">
        <v>8675</v>
      </c>
      <c r="AB12">
        <v>0.2</v>
      </c>
      <c r="AC12">
        <v>1458</v>
      </c>
      <c r="AD12">
        <v>377</v>
      </c>
      <c r="AE12">
        <v>50</v>
      </c>
      <c r="AF12">
        <v>20065</v>
      </c>
      <c r="AG12">
        <v>0.4</v>
      </c>
      <c r="AH12">
        <v>1492</v>
      </c>
      <c r="AI12">
        <v>1769</v>
      </c>
      <c r="AJ12">
        <v>56</v>
      </c>
      <c r="AK12">
        <v>105450</v>
      </c>
      <c r="AL12">
        <v>1.9</v>
      </c>
      <c r="AM12">
        <v>1574</v>
      </c>
      <c r="AN12">
        <v>287</v>
      </c>
      <c r="AO12">
        <v>50</v>
      </c>
      <c r="AP12">
        <v>15275</v>
      </c>
      <c r="AQ12">
        <v>0.3</v>
      </c>
      <c r="AR12">
        <v>1748</v>
      </c>
      <c r="AS12">
        <v>747</v>
      </c>
      <c r="AT12">
        <v>198</v>
      </c>
      <c r="AU12">
        <v>157441</v>
      </c>
      <c r="AV12">
        <v>2.9</v>
      </c>
    </row>
    <row r="13" spans="1:48">
      <c r="A13" t="s">
        <v>477</v>
      </c>
      <c r="B13" t="s">
        <v>478</v>
      </c>
      <c r="C13">
        <v>0.98813499999999999</v>
      </c>
      <c r="D13">
        <v>1367</v>
      </c>
      <c r="E13">
        <v>10093</v>
      </c>
      <c r="F13">
        <v>196</v>
      </c>
      <c r="G13">
        <v>2105759</v>
      </c>
      <c r="H13">
        <v>49.9</v>
      </c>
      <c r="I13">
        <v>1586</v>
      </c>
      <c r="J13">
        <v>10301</v>
      </c>
      <c r="K13">
        <v>137</v>
      </c>
      <c r="L13">
        <v>1502215</v>
      </c>
      <c r="M13">
        <v>35.6</v>
      </c>
      <c r="N13">
        <v>1073</v>
      </c>
      <c r="O13">
        <v>793</v>
      </c>
      <c r="P13">
        <v>130</v>
      </c>
      <c r="Q13">
        <v>109736</v>
      </c>
      <c r="R13">
        <v>2.6</v>
      </c>
      <c r="S13">
        <v>1178</v>
      </c>
      <c r="T13">
        <v>1971</v>
      </c>
      <c r="U13">
        <v>108</v>
      </c>
      <c r="V13">
        <v>226591</v>
      </c>
      <c r="W13">
        <v>5.4</v>
      </c>
      <c r="X13">
        <v>1284</v>
      </c>
      <c r="Y13">
        <v>523</v>
      </c>
      <c r="Z13">
        <v>52</v>
      </c>
      <c r="AA13">
        <v>28949</v>
      </c>
      <c r="AB13">
        <v>0.7</v>
      </c>
      <c r="AC13">
        <v>1458</v>
      </c>
      <c r="AD13">
        <v>817</v>
      </c>
      <c r="AE13">
        <v>50</v>
      </c>
      <c r="AF13">
        <v>43483</v>
      </c>
      <c r="AG13">
        <v>1</v>
      </c>
      <c r="AH13">
        <v>1496</v>
      </c>
      <c r="AI13">
        <v>1307</v>
      </c>
      <c r="AJ13">
        <v>54</v>
      </c>
      <c r="AK13">
        <v>75128</v>
      </c>
      <c r="AL13">
        <v>1.8</v>
      </c>
      <c r="AM13">
        <v>1578</v>
      </c>
      <c r="AN13">
        <v>733</v>
      </c>
      <c r="AO13">
        <v>50</v>
      </c>
      <c r="AP13">
        <v>39013</v>
      </c>
      <c r="AQ13">
        <v>0.9</v>
      </c>
      <c r="AR13">
        <v>1748</v>
      </c>
      <c r="AS13">
        <v>931</v>
      </c>
      <c r="AT13">
        <v>86</v>
      </c>
      <c r="AU13">
        <v>85228</v>
      </c>
      <c r="AV13">
        <v>2</v>
      </c>
    </row>
    <row r="14" spans="1:48">
      <c r="A14" t="s">
        <v>479</v>
      </c>
      <c r="B14" t="s">
        <v>480</v>
      </c>
      <c r="C14">
        <v>0.84488099999999999</v>
      </c>
      <c r="D14">
        <v>1339</v>
      </c>
      <c r="E14">
        <v>1</v>
      </c>
      <c r="F14">
        <v>100</v>
      </c>
      <c r="G14">
        <v>106</v>
      </c>
      <c r="H14">
        <v>0</v>
      </c>
      <c r="I14">
        <v>1592</v>
      </c>
      <c r="J14">
        <v>8991</v>
      </c>
      <c r="K14">
        <v>79</v>
      </c>
      <c r="L14">
        <v>756079</v>
      </c>
      <c r="M14">
        <v>85.3</v>
      </c>
      <c r="N14">
        <v>1041</v>
      </c>
      <c r="O14">
        <v>1001</v>
      </c>
      <c r="P14">
        <v>90</v>
      </c>
      <c r="Q14">
        <v>95898</v>
      </c>
      <c r="R14">
        <v>10.8</v>
      </c>
      <c r="S14">
        <v>1150</v>
      </c>
      <c r="T14">
        <v>349</v>
      </c>
      <c r="U14">
        <v>50</v>
      </c>
      <c r="V14">
        <v>18575</v>
      </c>
      <c r="W14">
        <v>2.1</v>
      </c>
      <c r="X14">
        <v>1298</v>
      </c>
      <c r="Y14">
        <v>1</v>
      </c>
      <c r="Z14">
        <v>50</v>
      </c>
      <c r="AA14">
        <v>53</v>
      </c>
      <c r="AB14">
        <v>0</v>
      </c>
      <c r="AC14">
        <v>1400</v>
      </c>
      <c r="AD14">
        <v>1</v>
      </c>
      <c r="AE14">
        <v>50</v>
      </c>
      <c r="AF14">
        <v>53</v>
      </c>
      <c r="AG14">
        <v>0</v>
      </c>
      <c r="AH14">
        <v>1544</v>
      </c>
      <c r="AI14">
        <v>89</v>
      </c>
      <c r="AJ14">
        <v>50</v>
      </c>
      <c r="AK14">
        <v>4737</v>
      </c>
      <c r="AL14">
        <v>0.5</v>
      </c>
      <c r="AM14">
        <v>1598</v>
      </c>
      <c r="AN14">
        <v>167</v>
      </c>
      <c r="AO14">
        <v>50</v>
      </c>
      <c r="AP14">
        <v>8888</v>
      </c>
      <c r="AQ14">
        <v>1</v>
      </c>
      <c r="AR14">
        <v>1748</v>
      </c>
      <c r="AS14">
        <v>11</v>
      </c>
      <c r="AT14">
        <v>198</v>
      </c>
      <c r="AU14">
        <v>2318</v>
      </c>
      <c r="AV14">
        <v>0.3</v>
      </c>
    </row>
    <row r="15" spans="1:48" s="3" customFormat="1">
      <c r="A15" s="3" t="s">
        <v>481</v>
      </c>
      <c r="B15" s="3" t="s">
        <v>482</v>
      </c>
      <c r="C15" s="3">
        <v>0.99273299999999998</v>
      </c>
      <c r="D15" s="3">
        <v>1337</v>
      </c>
      <c r="E15" s="3">
        <v>5027</v>
      </c>
      <c r="F15" s="3">
        <v>100</v>
      </c>
      <c r="G15" s="3">
        <v>535108</v>
      </c>
      <c r="H15" s="3">
        <v>36.9</v>
      </c>
      <c r="I15" s="3">
        <v>1594</v>
      </c>
      <c r="J15" s="3">
        <v>10675</v>
      </c>
      <c r="K15" s="3">
        <v>73</v>
      </c>
      <c r="L15" s="3">
        <v>829513</v>
      </c>
      <c r="M15" s="3">
        <v>57.2</v>
      </c>
      <c r="N15" s="3">
        <v>1013</v>
      </c>
      <c r="O15" s="3">
        <v>1</v>
      </c>
      <c r="P15" s="3">
        <v>50</v>
      </c>
      <c r="Q15" s="3">
        <v>53</v>
      </c>
      <c r="R15" s="3">
        <v>0</v>
      </c>
      <c r="S15" s="3">
        <v>1154</v>
      </c>
      <c r="T15" s="3">
        <v>1</v>
      </c>
      <c r="U15" s="3">
        <v>50</v>
      </c>
      <c r="V15" s="3">
        <v>53</v>
      </c>
      <c r="W15" s="3">
        <v>0</v>
      </c>
      <c r="X15" s="3">
        <v>1268</v>
      </c>
      <c r="Y15" s="3">
        <v>49</v>
      </c>
      <c r="Z15" s="3">
        <v>50</v>
      </c>
      <c r="AA15" s="3">
        <v>2608</v>
      </c>
      <c r="AB15" s="3">
        <v>0.2</v>
      </c>
      <c r="AC15" s="3">
        <v>1400</v>
      </c>
      <c r="AD15" s="3">
        <v>585</v>
      </c>
      <c r="AE15" s="3">
        <v>50</v>
      </c>
      <c r="AF15" s="3">
        <v>31136</v>
      </c>
      <c r="AG15" s="3">
        <v>2.1</v>
      </c>
      <c r="AH15" s="3">
        <v>1526</v>
      </c>
      <c r="AI15" s="3">
        <v>959</v>
      </c>
      <c r="AJ15" s="3">
        <v>50</v>
      </c>
      <c r="AK15" s="3">
        <v>51041</v>
      </c>
      <c r="AL15" s="3">
        <v>3.5</v>
      </c>
      <c r="AM15" s="3">
        <v>1598</v>
      </c>
      <c r="AN15" s="3">
        <v>1</v>
      </c>
      <c r="AO15" s="3">
        <v>50</v>
      </c>
      <c r="AP15" s="3">
        <v>53</v>
      </c>
      <c r="AQ15" s="3">
        <v>0</v>
      </c>
      <c r="AR15" s="3">
        <v>1700</v>
      </c>
      <c r="AS15" s="3">
        <v>1</v>
      </c>
      <c r="AT15" s="3">
        <v>50</v>
      </c>
      <c r="AU15" s="3">
        <v>53</v>
      </c>
      <c r="AV15" s="3">
        <v>0</v>
      </c>
    </row>
    <row r="16" spans="1:48" s="3" customFormat="1">
      <c r="A16" s="3" t="s">
        <v>483</v>
      </c>
      <c r="B16" s="3" t="s">
        <v>484</v>
      </c>
      <c r="C16" s="3">
        <v>0.98883500000000002</v>
      </c>
      <c r="D16" s="3">
        <v>1351</v>
      </c>
      <c r="E16" s="3">
        <v>849</v>
      </c>
      <c r="F16" s="3">
        <v>100</v>
      </c>
      <c r="G16" s="3">
        <v>90373</v>
      </c>
      <c r="H16" s="3">
        <v>16</v>
      </c>
      <c r="I16" s="3">
        <v>1592</v>
      </c>
      <c r="J16" s="3">
        <v>4653</v>
      </c>
      <c r="K16" s="3">
        <v>89</v>
      </c>
      <c r="L16" s="3">
        <v>440814</v>
      </c>
      <c r="M16" s="3">
        <v>78.2</v>
      </c>
      <c r="N16" s="3">
        <v>1041</v>
      </c>
      <c r="O16" s="3">
        <v>1</v>
      </c>
      <c r="P16" s="3">
        <v>50</v>
      </c>
      <c r="Q16" s="3">
        <v>53</v>
      </c>
      <c r="R16" s="3">
        <v>0</v>
      </c>
      <c r="S16" s="3">
        <v>1156</v>
      </c>
      <c r="T16" s="3">
        <v>1</v>
      </c>
      <c r="U16" s="3">
        <v>50</v>
      </c>
      <c r="V16" s="3">
        <v>53</v>
      </c>
      <c r="W16" s="3">
        <v>0</v>
      </c>
      <c r="X16" s="3">
        <v>1298</v>
      </c>
      <c r="Y16" s="3">
        <v>1</v>
      </c>
      <c r="Z16" s="3">
        <v>50</v>
      </c>
      <c r="AA16" s="3">
        <v>53</v>
      </c>
      <c r="AB16" s="3">
        <v>0</v>
      </c>
      <c r="AC16" s="3">
        <v>1400</v>
      </c>
      <c r="AD16" s="3">
        <v>1</v>
      </c>
      <c r="AE16" s="3">
        <v>50</v>
      </c>
      <c r="AF16" s="3">
        <v>53</v>
      </c>
      <c r="AG16" s="3">
        <v>0</v>
      </c>
      <c r="AH16" s="3">
        <v>1526</v>
      </c>
      <c r="AI16" s="3">
        <v>173</v>
      </c>
      <c r="AJ16" s="3">
        <v>50</v>
      </c>
      <c r="AK16" s="3">
        <v>9208</v>
      </c>
      <c r="AL16" s="3">
        <v>1.6</v>
      </c>
      <c r="AM16" s="3">
        <v>1590</v>
      </c>
      <c r="AN16" s="3">
        <v>71</v>
      </c>
      <c r="AO16" s="3">
        <v>50</v>
      </c>
      <c r="AP16" s="3">
        <v>3779</v>
      </c>
      <c r="AQ16" s="3">
        <v>0.7</v>
      </c>
      <c r="AR16" s="3">
        <v>1700</v>
      </c>
      <c r="AS16" s="3">
        <v>365</v>
      </c>
      <c r="AT16" s="3">
        <v>50</v>
      </c>
      <c r="AU16" s="3">
        <v>19427</v>
      </c>
      <c r="AV16" s="3">
        <v>3.4</v>
      </c>
    </row>
    <row r="17" spans="1:48">
      <c r="A17" t="s">
        <v>485</v>
      </c>
      <c r="B17" t="s">
        <v>486</v>
      </c>
      <c r="C17">
        <v>0.95297100000000001</v>
      </c>
      <c r="D17">
        <v>1365</v>
      </c>
      <c r="E17">
        <v>1497</v>
      </c>
      <c r="F17">
        <v>194</v>
      </c>
      <c r="G17">
        <v>309140</v>
      </c>
      <c r="H17">
        <v>44.7</v>
      </c>
      <c r="I17">
        <v>1590</v>
      </c>
      <c r="J17">
        <v>1915</v>
      </c>
      <c r="K17">
        <v>121</v>
      </c>
      <c r="L17">
        <v>246653</v>
      </c>
      <c r="M17">
        <v>35.6</v>
      </c>
      <c r="N17">
        <v>1073</v>
      </c>
      <c r="O17">
        <v>81</v>
      </c>
      <c r="P17">
        <v>156</v>
      </c>
      <c r="Q17">
        <v>13451</v>
      </c>
      <c r="R17">
        <v>1.9</v>
      </c>
      <c r="S17">
        <v>1178</v>
      </c>
      <c r="T17">
        <v>307</v>
      </c>
      <c r="U17">
        <v>84</v>
      </c>
      <c r="V17">
        <v>27450</v>
      </c>
      <c r="W17">
        <v>4</v>
      </c>
      <c r="X17">
        <v>1250</v>
      </c>
      <c r="Y17">
        <v>21</v>
      </c>
      <c r="Z17">
        <v>50</v>
      </c>
      <c r="AA17">
        <v>1118</v>
      </c>
      <c r="AB17">
        <v>0.2</v>
      </c>
      <c r="AC17">
        <v>1458</v>
      </c>
      <c r="AD17">
        <v>185</v>
      </c>
      <c r="AE17">
        <v>52</v>
      </c>
      <c r="AF17">
        <v>10240</v>
      </c>
      <c r="AG17">
        <v>1.5</v>
      </c>
      <c r="AH17">
        <v>1490</v>
      </c>
      <c r="AI17">
        <v>205</v>
      </c>
      <c r="AJ17">
        <v>50</v>
      </c>
      <c r="AK17">
        <v>10911</v>
      </c>
      <c r="AL17">
        <v>1.6</v>
      </c>
      <c r="AM17">
        <v>1598</v>
      </c>
      <c r="AN17">
        <v>115</v>
      </c>
      <c r="AO17">
        <v>50</v>
      </c>
      <c r="AP17">
        <v>6121</v>
      </c>
      <c r="AQ17">
        <v>0.9</v>
      </c>
      <c r="AR17">
        <v>1744</v>
      </c>
      <c r="AS17">
        <v>483</v>
      </c>
      <c r="AT17">
        <v>130</v>
      </c>
      <c r="AU17">
        <v>66838</v>
      </c>
      <c r="AV17">
        <v>9.6999999999999993</v>
      </c>
    </row>
    <row r="18" spans="1:48">
      <c r="A18" t="s">
        <v>487</v>
      </c>
      <c r="B18" t="s">
        <v>488</v>
      </c>
      <c r="C18">
        <v>0.97692199999999996</v>
      </c>
      <c r="D18">
        <v>1365</v>
      </c>
      <c r="E18">
        <v>2705</v>
      </c>
      <c r="F18">
        <v>194</v>
      </c>
      <c r="G18">
        <v>558600</v>
      </c>
      <c r="H18">
        <v>48.1</v>
      </c>
      <c r="I18">
        <v>1590</v>
      </c>
      <c r="J18">
        <v>2991</v>
      </c>
      <c r="K18">
        <v>121</v>
      </c>
      <c r="L18">
        <v>385242</v>
      </c>
      <c r="M18">
        <v>33.200000000000003</v>
      </c>
      <c r="N18">
        <v>1073</v>
      </c>
      <c r="O18">
        <v>163</v>
      </c>
      <c r="P18">
        <v>126</v>
      </c>
      <c r="Q18">
        <v>21862</v>
      </c>
      <c r="R18">
        <v>1.9</v>
      </c>
      <c r="S18">
        <v>1176</v>
      </c>
      <c r="T18">
        <v>549</v>
      </c>
      <c r="U18">
        <v>98</v>
      </c>
      <c r="V18">
        <v>57270</v>
      </c>
      <c r="W18">
        <v>4.9000000000000004</v>
      </c>
      <c r="X18">
        <v>1258</v>
      </c>
      <c r="Y18">
        <v>43</v>
      </c>
      <c r="Z18">
        <v>50</v>
      </c>
      <c r="AA18">
        <v>2289</v>
      </c>
      <c r="AB18">
        <v>0.2</v>
      </c>
      <c r="AC18">
        <v>1458</v>
      </c>
      <c r="AD18">
        <v>169</v>
      </c>
      <c r="AE18">
        <v>50</v>
      </c>
      <c r="AF18">
        <v>8995</v>
      </c>
      <c r="AG18">
        <v>0.8</v>
      </c>
      <c r="AH18">
        <v>1488</v>
      </c>
      <c r="AI18">
        <v>361</v>
      </c>
      <c r="AJ18">
        <v>50</v>
      </c>
      <c r="AK18">
        <v>19214</v>
      </c>
      <c r="AL18">
        <v>1.7</v>
      </c>
      <c r="AM18">
        <v>1598</v>
      </c>
      <c r="AN18">
        <v>325</v>
      </c>
      <c r="AO18">
        <v>50</v>
      </c>
      <c r="AP18">
        <v>17298</v>
      </c>
      <c r="AQ18">
        <v>1.5</v>
      </c>
      <c r="AR18">
        <v>1746</v>
      </c>
      <c r="AS18">
        <v>627</v>
      </c>
      <c r="AT18">
        <v>134</v>
      </c>
      <c r="AU18">
        <v>89434</v>
      </c>
      <c r="AV18">
        <v>7.7</v>
      </c>
    </row>
    <row r="19" spans="1:48">
      <c r="A19" t="s">
        <v>489</v>
      </c>
      <c r="B19" t="s">
        <v>490</v>
      </c>
      <c r="C19">
        <v>0.994448</v>
      </c>
      <c r="D19">
        <v>1369</v>
      </c>
      <c r="E19">
        <v>10247</v>
      </c>
      <c r="F19">
        <v>162</v>
      </c>
      <c r="G19">
        <v>1767030</v>
      </c>
      <c r="H19">
        <v>41.8</v>
      </c>
      <c r="I19">
        <v>1590</v>
      </c>
      <c r="J19">
        <v>18471</v>
      </c>
      <c r="K19">
        <v>97</v>
      </c>
      <c r="L19">
        <v>1907192</v>
      </c>
      <c r="M19">
        <v>45.1</v>
      </c>
      <c r="N19">
        <v>1061</v>
      </c>
      <c r="O19">
        <v>981</v>
      </c>
      <c r="P19">
        <v>110</v>
      </c>
      <c r="Q19">
        <v>114867</v>
      </c>
      <c r="R19">
        <v>2.7</v>
      </c>
      <c r="S19">
        <v>1162</v>
      </c>
      <c r="T19">
        <v>529</v>
      </c>
      <c r="U19">
        <v>50</v>
      </c>
      <c r="V19">
        <v>28155</v>
      </c>
      <c r="W19">
        <v>0.7</v>
      </c>
      <c r="X19">
        <v>1298</v>
      </c>
      <c r="Y19">
        <v>315</v>
      </c>
      <c r="Z19">
        <v>74</v>
      </c>
      <c r="AA19">
        <v>24813</v>
      </c>
      <c r="AB19">
        <v>0.6</v>
      </c>
      <c r="AC19">
        <v>1458</v>
      </c>
      <c r="AD19">
        <v>1293</v>
      </c>
      <c r="AE19">
        <v>54</v>
      </c>
      <c r="AF19">
        <v>74323</v>
      </c>
      <c r="AG19">
        <v>1.8</v>
      </c>
      <c r="AH19">
        <v>1502</v>
      </c>
      <c r="AI19">
        <v>3549</v>
      </c>
      <c r="AJ19">
        <v>58</v>
      </c>
      <c r="AK19">
        <v>219112</v>
      </c>
      <c r="AL19">
        <v>5.2</v>
      </c>
      <c r="AM19">
        <v>1598</v>
      </c>
      <c r="AN19">
        <v>761</v>
      </c>
      <c r="AO19">
        <v>50</v>
      </c>
      <c r="AP19">
        <v>40503</v>
      </c>
      <c r="AQ19">
        <v>1</v>
      </c>
      <c r="AR19">
        <v>1712</v>
      </c>
      <c r="AS19">
        <v>897</v>
      </c>
      <c r="AT19">
        <v>56</v>
      </c>
      <c r="AU19">
        <v>53470</v>
      </c>
      <c r="AV19">
        <v>1.3</v>
      </c>
    </row>
    <row r="20" spans="1:48">
      <c r="A20" t="s">
        <v>491</v>
      </c>
      <c r="B20" t="s">
        <v>492</v>
      </c>
      <c r="C20">
        <v>-1.0667850000000001</v>
      </c>
      <c r="D20">
        <v>1369</v>
      </c>
      <c r="E20">
        <v>1</v>
      </c>
      <c r="F20">
        <v>100</v>
      </c>
      <c r="G20">
        <v>106</v>
      </c>
      <c r="H20">
        <v>22</v>
      </c>
      <c r="I20">
        <v>1596</v>
      </c>
      <c r="J20">
        <v>5</v>
      </c>
      <c r="K20">
        <v>1</v>
      </c>
      <c r="L20">
        <v>5</v>
      </c>
      <c r="M20">
        <v>1.1000000000000001</v>
      </c>
      <c r="N20">
        <v>1037</v>
      </c>
      <c r="O20">
        <v>1</v>
      </c>
      <c r="P20">
        <v>50</v>
      </c>
      <c r="Q20">
        <v>53</v>
      </c>
      <c r="R20">
        <v>11</v>
      </c>
      <c r="S20">
        <v>1150</v>
      </c>
      <c r="T20">
        <v>1</v>
      </c>
      <c r="U20">
        <v>50</v>
      </c>
      <c r="V20">
        <v>53</v>
      </c>
      <c r="W20">
        <v>11</v>
      </c>
      <c r="X20">
        <v>1298</v>
      </c>
      <c r="Y20">
        <v>1</v>
      </c>
      <c r="Z20">
        <v>50</v>
      </c>
      <c r="AA20">
        <v>53</v>
      </c>
      <c r="AB20">
        <v>11</v>
      </c>
      <c r="AC20">
        <v>1400</v>
      </c>
      <c r="AD20">
        <v>1</v>
      </c>
      <c r="AE20">
        <v>50</v>
      </c>
      <c r="AF20">
        <v>53</v>
      </c>
      <c r="AG20">
        <v>11</v>
      </c>
      <c r="AH20">
        <v>1548</v>
      </c>
      <c r="AI20">
        <v>1</v>
      </c>
      <c r="AJ20">
        <v>50</v>
      </c>
      <c r="AK20">
        <v>53</v>
      </c>
      <c r="AL20">
        <v>11</v>
      </c>
      <c r="AM20">
        <v>1570</v>
      </c>
      <c r="AN20">
        <v>1</v>
      </c>
      <c r="AO20">
        <v>50</v>
      </c>
      <c r="AP20">
        <v>53</v>
      </c>
      <c r="AQ20">
        <v>11</v>
      </c>
      <c r="AR20">
        <v>1748</v>
      </c>
      <c r="AS20">
        <v>1</v>
      </c>
      <c r="AT20">
        <v>50</v>
      </c>
      <c r="AU20">
        <v>53</v>
      </c>
      <c r="AV20">
        <v>11</v>
      </c>
    </row>
    <row r="21" spans="1:48">
      <c r="A21" t="s">
        <v>493</v>
      </c>
      <c r="B21" t="s">
        <v>494</v>
      </c>
      <c r="C21">
        <v>0.99261600000000005</v>
      </c>
      <c r="D21">
        <v>1367</v>
      </c>
      <c r="E21">
        <v>16387</v>
      </c>
      <c r="F21">
        <v>198</v>
      </c>
      <c r="G21">
        <v>3453797</v>
      </c>
      <c r="H21">
        <v>51.8</v>
      </c>
      <c r="I21">
        <v>1592</v>
      </c>
      <c r="J21">
        <v>18397</v>
      </c>
      <c r="K21">
        <v>121</v>
      </c>
      <c r="L21">
        <v>2369543</v>
      </c>
      <c r="M21">
        <v>35.5</v>
      </c>
      <c r="N21">
        <v>1073</v>
      </c>
      <c r="O21">
        <v>929</v>
      </c>
      <c r="P21">
        <v>116</v>
      </c>
      <c r="Q21">
        <v>114711</v>
      </c>
      <c r="R21">
        <v>1.7</v>
      </c>
      <c r="S21">
        <v>1170</v>
      </c>
      <c r="T21">
        <v>2687</v>
      </c>
      <c r="U21">
        <v>102</v>
      </c>
      <c r="V21">
        <v>291743</v>
      </c>
      <c r="W21">
        <v>4.4000000000000004</v>
      </c>
      <c r="X21">
        <v>1250</v>
      </c>
      <c r="Y21">
        <v>305</v>
      </c>
      <c r="Z21">
        <v>50</v>
      </c>
      <c r="AA21">
        <v>16233</v>
      </c>
      <c r="AB21">
        <v>0.2</v>
      </c>
      <c r="AC21">
        <v>1458</v>
      </c>
      <c r="AD21">
        <v>563</v>
      </c>
      <c r="AE21">
        <v>50</v>
      </c>
      <c r="AF21">
        <v>29965</v>
      </c>
      <c r="AG21">
        <v>0.4</v>
      </c>
      <c r="AH21">
        <v>1492</v>
      </c>
      <c r="AI21">
        <v>2161</v>
      </c>
      <c r="AJ21">
        <v>50</v>
      </c>
      <c r="AK21">
        <v>115016</v>
      </c>
      <c r="AL21">
        <v>1.7</v>
      </c>
      <c r="AM21">
        <v>1598</v>
      </c>
      <c r="AN21">
        <v>1201</v>
      </c>
      <c r="AO21">
        <v>50</v>
      </c>
      <c r="AP21">
        <v>63921</v>
      </c>
      <c r="AQ21">
        <v>1</v>
      </c>
      <c r="AR21">
        <v>1738</v>
      </c>
      <c r="AS21">
        <v>2135</v>
      </c>
      <c r="AT21">
        <v>94</v>
      </c>
      <c r="AU21">
        <v>213628</v>
      </c>
      <c r="AV21">
        <v>3.2</v>
      </c>
    </row>
    <row r="22" spans="1:48">
      <c r="A22" t="s">
        <v>495</v>
      </c>
      <c r="B22" t="s">
        <v>496</v>
      </c>
      <c r="C22">
        <v>0.99200299999999997</v>
      </c>
      <c r="D22">
        <v>1365</v>
      </c>
      <c r="E22">
        <v>12531</v>
      </c>
      <c r="F22">
        <v>198</v>
      </c>
      <c r="G22">
        <v>2641090</v>
      </c>
      <c r="H22">
        <v>52.4</v>
      </c>
      <c r="I22">
        <v>1590</v>
      </c>
      <c r="J22">
        <v>13129</v>
      </c>
      <c r="K22">
        <v>121</v>
      </c>
      <c r="L22">
        <v>1691022</v>
      </c>
      <c r="M22">
        <v>33.6</v>
      </c>
      <c r="N22">
        <v>1073</v>
      </c>
      <c r="O22">
        <v>973</v>
      </c>
      <c r="P22">
        <v>134</v>
      </c>
      <c r="Q22">
        <v>138787</v>
      </c>
      <c r="R22">
        <v>2.8</v>
      </c>
      <c r="S22">
        <v>1178</v>
      </c>
      <c r="T22">
        <v>2205</v>
      </c>
      <c r="U22">
        <v>116</v>
      </c>
      <c r="V22">
        <v>272269</v>
      </c>
      <c r="W22">
        <v>5.4</v>
      </c>
      <c r="X22">
        <v>1262</v>
      </c>
      <c r="Y22">
        <v>167</v>
      </c>
      <c r="Z22">
        <v>54</v>
      </c>
      <c r="AA22">
        <v>9599</v>
      </c>
      <c r="AB22">
        <v>0.2</v>
      </c>
      <c r="AC22">
        <v>1458</v>
      </c>
      <c r="AD22">
        <v>41</v>
      </c>
      <c r="AE22">
        <v>50</v>
      </c>
      <c r="AF22">
        <v>2182</v>
      </c>
      <c r="AG22">
        <v>0</v>
      </c>
      <c r="AH22">
        <v>1492</v>
      </c>
      <c r="AI22">
        <v>1925</v>
      </c>
      <c r="AJ22">
        <v>52</v>
      </c>
      <c r="AK22">
        <v>106553</v>
      </c>
      <c r="AL22">
        <v>2.1</v>
      </c>
      <c r="AM22">
        <v>1598</v>
      </c>
      <c r="AN22">
        <v>1101</v>
      </c>
      <c r="AO22">
        <v>50</v>
      </c>
      <c r="AP22">
        <v>58599</v>
      </c>
      <c r="AQ22">
        <v>1.2</v>
      </c>
      <c r="AR22">
        <v>1740</v>
      </c>
      <c r="AS22">
        <v>1189</v>
      </c>
      <c r="AT22">
        <v>92</v>
      </c>
      <c r="AU22">
        <v>116440</v>
      </c>
      <c r="AV22">
        <v>2.2999999999999998</v>
      </c>
    </row>
    <row r="23" spans="1:48">
      <c r="A23" t="s">
        <v>497</v>
      </c>
      <c r="B23" t="s">
        <v>498</v>
      </c>
      <c r="C23">
        <v>0.99522600000000006</v>
      </c>
      <c r="D23">
        <v>1365</v>
      </c>
      <c r="E23">
        <v>18667</v>
      </c>
      <c r="F23">
        <v>198</v>
      </c>
      <c r="G23">
        <v>3934340</v>
      </c>
      <c r="H23">
        <v>46</v>
      </c>
      <c r="I23">
        <v>1588</v>
      </c>
      <c r="J23">
        <v>24559</v>
      </c>
      <c r="K23">
        <v>117</v>
      </c>
      <c r="L23">
        <v>3058643</v>
      </c>
      <c r="M23">
        <v>35.799999999999997</v>
      </c>
      <c r="N23">
        <v>1073</v>
      </c>
      <c r="O23">
        <v>1905</v>
      </c>
      <c r="P23">
        <v>144</v>
      </c>
      <c r="Q23">
        <v>292005</v>
      </c>
      <c r="R23">
        <v>3.4</v>
      </c>
      <c r="S23">
        <v>1186</v>
      </c>
      <c r="T23">
        <v>4431</v>
      </c>
      <c r="U23">
        <v>116</v>
      </c>
      <c r="V23">
        <v>547132</v>
      </c>
      <c r="W23">
        <v>6.4</v>
      </c>
      <c r="X23">
        <v>1258</v>
      </c>
      <c r="Y23">
        <v>695</v>
      </c>
      <c r="Z23">
        <v>50</v>
      </c>
      <c r="AA23">
        <v>36990</v>
      </c>
      <c r="AB23">
        <v>0.4</v>
      </c>
      <c r="AC23">
        <v>1458</v>
      </c>
      <c r="AD23">
        <v>2341</v>
      </c>
      <c r="AE23">
        <v>54</v>
      </c>
      <c r="AF23">
        <v>134564</v>
      </c>
      <c r="AG23">
        <v>1.6</v>
      </c>
      <c r="AH23">
        <v>1498</v>
      </c>
      <c r="AI23">
        <v>3153</v>
      </c>
      <c r="AJ23">
        <v>52</v>
      </c>
      <c r="AK23">
        <v>174526</v>
      </c>
      <c r="AL23">
        <v>2</v>
      </c>
      <c r="AM23">
        <v>1586</v>
      </c>
      <c r="AN23">
        <v>1619</v>
      </c>
      <c r="AO23">
        <v>50</v>
      </c>
      <c r="AP23">
        <v>86169</v>
      </c>
      <c r="AQ23">
        <v>1</v>
      </c>
      <c r="AR23">
        <v>1734</v>
      </c>
      <c r="AS23">
        <v>2675</v>
      </c>
      <c r="AT23">
        <v>100</v>
      </c>
      <c r="AU23">
        <v>284745</v>
      </c>
      <c r="AV23">
        <v>3.3</v>
      </c>
    </row>
    <row r="24" spans="1:48">
      <c r="A24" t="s">
        <v>499</v>
      </c>
      <c r="B24" t="s">
        <v>500</v>
      </c>
      <c r="C24">
        <v>0.99392999999999998</v>
      </c>
      <c r="D24">
        <v>1365</v>
      </c>
      <c r="E24">
        <v>13687</v>
      </c>
      <c r="F24">
        <v>198</v>
      </c>
      <c r="G24">
        <v>2884733</v>
      </c>
      <c r="H24">
        <v>46</v>
      </c>
      <c r="I24">
        <v>1590</v>
      </c>
      <c r="J24">
        <v>19173</v>
      </c>
      <c r="K24">
        <v>111</v>
      </c>
      <c r="L24">
        <v>2265402</v>
      </c>
      <c r="M24">
        <v>36.200000000000003</v>
      </c>
      <c r="N24">
        <v>1073</v>
      </c>
      <c r="O24">
        <v>1273</v>
      </c>
      <c r="P24">
        <v>148</v>
      </c>
      <c r="Q24">
        <v>200550</v>
      </c>
      <c r="R24">
        <v>3.2</v>
      </c>
      <c r="S24">
        <v>1186</v>
      </c>
      <c r="T24">
        <v>2873</v>
      </c>
      <c r="U24">
        <v>120</v>
      </c>
      <c r="V24">
        <v>366986</v>
      </c>
      <c r="W24">
        <v>5.9</v>
      </c>
      <c r="X24">
        <v>1252</v>
      </c>
      <c r="Y24">
        <v>251</v>
      </c>
      <c r="Z24">
        <v>50</v>
      </c>
      <c r="AA24">
        <v>13359</v>
      </c>
      <c r="AB24">
        <v>0.2</v>
      </c>
      <c r="AC24">
        <v>1454</v>
      </c>
      <c r="AD24">
        <v>1191</v>
      </c>
      <c r="AE24">
        <v>54</v>
      </c>
      <c r="AF24">
        <v>68460</v>
      </c>
      <c r="AG24">
        <v>1.1000000000000001</v>
      </c>
      <c r="AH24">
        <v>1492</v>
      </c>
      <c r="AI24">
        <v>2579</v>
      </c>
      <c r="AJ24">
        <v>54</v>
      </c>
      <c r="AK24">
        <v>148244</v>
      </c>
      <c r="AL24">
        <v>2.4</v>
      </c>
      <c r="AM24">
        <v>1598</v>
      </c>
      <c r="AN24">
        <v>709</v>
      </c>
      <c r="AO24">
        <v>50</v>
      </c>
      <c r="AP24">
        <v>37735</v>
      </c>
      <c r="AQ24">
        <v>0.6</v>
      </c>
      <c r="AR24">
        <v>1732</v>
      </c>
      <c r="AS24">
        <v>2157</v>
      </c>
      <c r="AT24">
        <v>122</v>
      </c>
      <c r="AU24">
        <v>280119</v>
      </c>
      <c r="AV24">
        <v>4.5</v>
      </c>
    </row>
    <row r="25" spans="1:48">
      <c r="A25" t="s">
        <v>501</v>
      </c>
      <c r="B25" t="s">
        <v>502</v>
      </c>
      <c r="C25">
        <v>0.99512699999999998</v>
      </c>
      <c r="D25">
        <v>1365</v>
      </c>
      <c r="E25">
        <v>9103</v>
      </c>
      <c r="F25">
        <v>196</v>
      </c>
      <c r="G25">
        <v>1899209</v>
      </c>
      <c r="H25">
        <v>45.8</v>
      </c>
      <c r="I25">
        <v>1590</v>
      </c>
      <c r="J25">
        <v>13687</v>
      </c>
      <c r="K25">
        <v>119</v>
      </c>
      <c r="L25">
        <v>1733754</v>
      </c>
      <c r="M25">
        <v>41.8</v>
      </c>
      <c r="N25">
        <v>1073</v>
      </c>
      <c r="O25">
        <v>445</v>
      </c>
      <c r="P25">
        <v>122</v>
      </c>
      <c r="Q25">
        <v>57790</v>
      </c>
      <c r="R25">
        <v>1.4</v>
      </c>
      <c r="S25">
        <v>1180</v>
      </c>
      <c r="T25">
        <v>1567</v>
      </c>
      <c r="U25">
        <v>102</v>
      </c>
      <c r="V25">
        <v>170138</v>
      </c>
      <c r="W25">
        <v>4.0999999999999996</v>
      </c>
      <c r="X25">
        <v>1250</v>
      </c>
      <c r="Y25">
        <v>53</v>
      </c>
      <c r="Z25">
        <v>50</v>
      </c>
      <c r="AA25">
        <v>2821</v>
      </c>
      <c r="AB25">
        <v>0.1</v>
      </c>
      <c r="AC25">
        <v>1450</v>
      </c>
      <c r="AD25">
        <v>1177</v>
      </c>
      <c r="AE25">
        <v>56</v>
      </c>
      <c r="AF25">
        <v>70161</v>
      </c>
      <c r="AG25">
        <v>1.7</v>
      </c>
      <c r="AH25">
        <v>1492</v>
      </c>
      <c r="AI25">
        <v>1369</v>
      </c>
      <c r="AJ25">
        <v>50</v>
      </c>
      <c r="AK25">
        <v>72863</v>
      </c>
      <c r="AL25">
        <v>1.8</v>
      </c>
      <c r="AM25">
        <v>1598</v>
      </c>
      <c r="AN25">
        <v>737</v>
      </c>
      <c r="AO25">
        <v>50</v>
      </c>
      <c r="AP25">
        <v>39226</v>
      </c>
      <c r="AQ25">
        <v>0.9</v>
      </c>
      <c r="AR25">
        <v>1732</v>
      </c>
      <c r="AS25">
        <v>1233</v>
      </c>
      <c r="AT25">
        <v>80</v>
      </c>
      <c r="AU25">
        <v>104999</v>
      </c>
      <c r="AV25">
        <v>2.5</v>
      </c>
    </row>
    <row r="26" spans="1:48">
      <c r="A26" t="s">
        <v>503</v>
      </c>
      <c r="B26" t="s">
        <v>504</v>
      </c>
      <c r="C26">
        <v>0.982931</v>
      </c>
      <c r="D26">
        <v>1365</v>
      </c>
      <c r="E26">
        <v>14449</v>
      </c>
      <c r="F26">
        <v>198</v>
      </c>
      <c r="G26">
        <v>3045336</v>
      </c>
      <c r="H26">
        <v>47.4</v>
      </c>
      <c r="I26">
        <v>1590</v>
      </c>
      <c r="J26">
        <v>17231</v>
      </c>
      <c r="K26">
        <v>129</v>
      </c>
      <c r="L26">
        <v>2366096</v>
      </c>
      <c r="M26">
        <v>36.799999999999997</v>
      </c>
      <c r="N26">
        <v>1073</v>
      </c>
      <c r="O26">
        <v>945</v>
      </c>
      <c r="P26">
        <v>142</v>
      </c>
      <c r="Q26">
        <v>142841</v>
      </c>
      <c r="R26">
        <v>2.2000000000000002</v>
      </c>
      <c r="S26">
        <v>1176</v>
      </c>
      <c r="T26">
        <v>3005</v>
      </c>
      <c r="U26">
        <v>100</v>
      </c>
      <c r="V26">
        <v>319872</v>
      </c>
      <c r="W26">
        <v>5</v>
      </c>
      <c r="X26">
        <v>1262</v>
      </c>
      <c r="Y26">
        <v>337</v>
      </c>
      <c r="Z26">
        <v>50</v>
      </c>
      <c r="AA26">
        <v>17936</v>
      </c>
      <c r="AB26">
        <v>0.3</v>
      </c>
      <c r="AC26">
        <v>1456</v>
      </c>
      <c r="AD26">
        <v>1541</v>
      </c>
      <c r="AE26">
        <v>50</v>
      </c>
      <c r="AF26">
        <v>82017</v>
      </c>
      <c r="AG26">
        <v>1.3</v>
      </c>
      <c r="AH26">
        <v>1492</v>
      </c>
      <c r="AI26">
        <v>2673</v>
      </c>
      <c r="AJ26">
        <v>52</v>
      </c>
      <c r="AK26">
        <v>147957</v>
      </c>
      <c r="AL26">
        <v>2.2999999999999998</v>
      </c>
      <c r="AM26">
        <v>1590</v>
      </c>
      <c r="AN26">
        <v>923</v>
      </c>
      <c r="AO26">
        <v>50</v>
      </c>
      <c r="AP26">
        <v>49125</v>
      </c>
      <c r="AQ26">
        <v>0.8</v>
      </c>
      <c r="AR26">
        <v>1748</v>
      </c>
      <c r="AS26">
        <v>2463</v>
      </c>
      <c r="AT26">
        <v>98</v>
      </c>
      <c r="AU26">
        <v>256935</v>
      </c>
      <c r="AV26">
        <v>4</v>
      </c>
    </row>
    <row r="27" spans="1:48">
      <c r="A27" t="s">
        <v>505</v>
      </c>
      <c r="B27" t="s">
        <v>506</v>
      </c>
      <c r="C27">
        <v>0.94414900000000002</v>
      </c>
      <c r="D27">
        <v>1349</v>
      </c>
      <c r="E27">
        <v>403</v>
      </c>
      <c r="F27">
        <v>110</v>
      </c>
      <c r="G27">
        <v>47188</v>
      </c>
      <c r="H27">
        <v>37.9</v>
      </c>
      <c r="I27">
        <v>1598</v>
      </c>
      <c r="J27">
        <v>795</v>
      </c>
      <c r="K27">
        <v>73</v>
      </c>
      <c r="L27">
        <v>61776</v>
      </c>
      <c r="M27">
        <v>49.7</v>
      </c>
      <c r="N27">
        <v>999</v>
      </c>
      <c r="O27">
        <v>45</v>
      </c>
      <c r="P27">
        <v>198</v>
      </c>
      <c r="Q27">
        <v>9484</v>
      </c>
      <c r="R27">
        <v>7.6</v>
      </c>
      <c r="S27">
        <v>1198</v>
      </c>
      <c r="T27">
        <v>19</v>
      </c>
      <c r="U27">
        <v>96</v>
      </c>
      <c r="V27">
        <v>1942</v>
      </c>
      <c r="W27">
        <v>1.6</v>
      </c>
      <c r="X27">
        <v>1258</v>
      </c>
      <c r="Y27">
        <v>19</v>
      </c>
      <c r="Z27">
        <v>50</v>
      </c>
      <c r="AA27">
        <v>1011</v>
      </c>
      <c r="AB27">
        <v>0.8</v>
      </c>
      <c r="AC27">
        <v>1400</v>
      </c>
      <c r="AD27">
        <v>45</v>
      </c>
      <c r="AE27">
        <v>52</v>
      </c>
      <c r="AF27">
        <v>2491</v>
      </c>
      <c r="AG27">
        <v>2</v>
      </c>
      <c r="AH27">
        <v>1542</v>
      </c>
      <c r="AI27">
        <v>7</v>
      </c>
      <c r="AJ27">
        <v>50</v>
      </c>
      <c r="AK27">
        <v>373</v>
      </c>
      <c r="AL27">
        <v>0.3</v>
      </c>
      <c r="AM27">
        <v>1598</v>
      </c>
      <c r="AN27">
        <v>1</v>
      </c>
      <c r="AO27">
        <v>88</v>
      </c>
      <c r="AP27">
        <v>94</v>
      </c>
      <c r="AQ27">
        <v>0.1</v>
      </c>
      <c r="AR27">
        <v>1700</v>
      </c>
      <c r="AS27">
        <v>1</v>
      </c>
      <c r="AT27">
        <v>50</v>
      </c>
      <c r="AU27">
        <v>53</v>
      </c>
      <c r="AV27">
        <v>0</v>
      </c>
    </row>
    <row r="28" spans="1:48">
      <c r="A28" t="s">
        <v>507</v>
      </c>
      <c r="B28" t="s">
        <v>508</v>
      </c>
      <c r="C28">
        <v>0.98710299999999995</v>
      </c>
      <c r="D28">
        <v>1365</v>
      </c>
      <c r="E28">
        <v>3003</v>
      </c>
      <c r="F28">
        <v>198</v>
      </c>
      <c r="G28">
        <v>632926</v>
      </c>
      <c r="H28">
        <v>52</v>
      </c>
      <c r="I28">
        <v>1592</v>
      </c>
      <c r="J28">
        <v>3201</v>
      </c>
      <c r="K28">
        <v>111</v>
      </c>
      <c r="L28">
        <v>378217</v>
      </c>
      <c r="M28">
        <v>31.1</v>
      </c>
      <c r="N28">
        <v>1073</v>
      </c>
      <c r="O28">
        <v>345</v>
      </c>
      <c r="P28">
        <v>168</v>
      </c>
      <c r="Q28">
        <v>61697</v>
      </c>
      <c r="R28">
        <v>5.0999999999999996</v>
      </c>
      <c r="S28">
        <v>1188</v>
      </c>
      <c r="T28">
        <v>503</v>
      </c>
      <c r="U28">
        <v>116</v>
      </c>
      <c r="V28">
        <v>62110</v>
      </c>
      <c r="W28">
        <v>5.0999999999999996</v>
      </c>
      <c r="X28">
        <v>1298</v>
      </c>
      <c r="Y28">
        <v>43</v>
      </c>
      <c r="Z28">
        <v>50</v>
      </c>
      <c r="AA28">
        <v>2289</v>
      </c>
      <c r="AB28">
        <v>0.2</v>
      </c>
      <c r="AC28">
        <v>1458</v>
      </c>
      <c r="AD28">
        <v>33</v>
      </c>
      <c r="AE28">
        <v>50</v>
      </c>
      <c r="AF28">
        <v>1756</v>
      </c>
      <c r="AG28">
        <v>0.1</v>
      </c>
      <c r="AH28">
        <v>1500</v>
      </c>
      <c r="AI28">
        <v>643</v>
      </c>
      <c r="AJ28">
        <v>52</v>
      </c>
      <c r="AK28">
        <v>35592</v>
      </c>
      <c r="AL28">
        <v>2.9</v>
      </c>
      <c r="AM28">
        <v>1598</v>
      </c>
      <c r="AN28">
        <v>103</v>
      </c>
      <c r="AO28">
        <v>50</v>
      </c>
      <c r="AP28">
        <v>5482</v>
      </c>
      <c r="AQ28">
        <v>0.5</v>
      </c>
      <c r="AR28">
        <v>1734</v>
      </c>
      <c r="AS28">
        <v>327</v>
      </c>
      <c r="AT28">
        <v>108</v>
      </c>
      <c r="AU28">
        <v>37593</v>
      </c>
      <c r="AV28">
        <v>3.1</v>
      </c>
    </row>
    <row r="29" spans="1:48">
      <c r="A29" t="s">
        <v>509</v>
      </c>
      <c r="B29" t="s">
        <v>510</v>
      </c>
      <c r="C29">
        <v>0.95974800000000005</v>
      </c>
      <c r="D29">
        <v>1351</v>
      </c>
      <c r="E29">
        <v>1221</v>
      </c>
      <c r="F29">
        <v>106</v>
      </c>
      <c r="G29">
        <v>137770</v>
      </c>
      <c r="H29">
        <v>44.7</v>
      </c>
      <c r="I29">
        <v>1594</v>
      </c>
      <c r="J29">
        <v>2109</v>
      </c>
      <c r="K29">
        <v>63</v>
      </c>
      <c r="L29">
        <v>141433</v>
      </c>
      <c r="M29">
        <v>45.9</v>
      </c>
      <c r="N29">
        <v>1073</v>
      </c>
      <c r="O29">
        <v>35</v>
      </c>
      <c r="P29">
        <v>50</v>
      </c>
      <c r="Q29">
        <v>1863</v>
      </c>
      <c r="R29">
        <v>0.6</v>
      </c>
      <c r="S29">
        <v>1150</v>
      </c>
      <c r="T29">
        <v>1</v>
      </c>
      <c r="U29">
        <v>50</v>
      </c>
      <c r="V29">
        <v>53</v>
      </c>
      <c r="W29">
        <v>0</v>
      </c>
      <c r="X29">
        <v>1294</v>
      </c>
      <c r="Y29">
        <v>241</v>
      </c>
      <c r="Z29">
        <v>60</v>
      </c>
      <c r="AA29">
        <v>15392</v>
      </c>
      <c r="AB29">
        <v>5</v>
      </c>
      <c r="AC29">
        <v>1404</v>
      </c>
      <c r="AD29">
        <v>9</v>
      </c>
      <c r="AE29">
        <v>50</v>
      </c>
      <c r="AF29">
        <v>479</v>
      </c>
      <c r="AG29">
        <v>0.2</v>
      </c>
      <c r="AH29">
        <v>1534</v>
      </c>
      <c r="AI29">
        <v>205</v>
      </c>
      <c r="AJ29">
        <v>50</v>
      </c>
      <c r="AK29">
        <v>10911</v>
      </c>
      <c r="AL29">
        <v>3.5</v>
      </c>
      <c r="AM29">
        <v>1598</v>
      </c>
      <c r="AN29">
        <v>1</v>
      </c>
      <c r="AO29">
        <v>50</v>
      </c>
      <c r="AP29">
        <v>53</v>
      </c>
      <c r="AQ29">
        <v>0</v>
      </c>
      <c r="AR29">
        <v>1700</v>
      </c>
      <c r="AS29">
        <v>1</v>
      </c>
      <c r="AT29">
        <v>50</v>
      </c>
      <c r="AU29">
        <v>53</v>
      </c>
      <c r="AV29">
        <v>0</v>
      </c>
    </row>
    <row r="30" spans="1:48">
      <c r="A30" t="s">
        <v>511</v>
      </c>
      <c r="B30" t="s">
        <v>512</v>
      </c>
      <c r="C30">
        <v>0.98283200000000004</v>
      </c>
      <c r="D30">
        <v>1365</v>
      </c>
      <c r="E30">
        <v>977</v>
      </c>
      <c r="F30">
        <v>196</v>
      </c>
      <c r="G30">
        <v>203837</v>
      </c>
      <c r="H30">
        <v>50.7</v>
      </c>
      <c r="I30">
        <v>1594</v>
      </c>
      <c r="J30">
        <v>1167</v>
      </c>
      <c r="K30">
        <v>113</v>
      </c>
      <c r="L30">
        <v>140372</v>
      </c>
      <c r="M30">
        <v>34.9</v>
      </c>
      <c r="N30">
        <v>1069</v>
      </c>
      <c r="O30">
        <v>97</v>
      </c>
      <c r="P30">
        <v>198</v>
      </c>
      <c r="Q30">
        <v>20444</v>
      </c>
      <c r="R30">
        <v>5.0999999999999996</v>
      </c>
      <c r="S30">
        <v>1190</v>
      </c>
      <c r="T30">
        <v>131</v>
      </c>
      <c r="U30">
        <v>94</v>
      </c>
      <c r="V30">
        <v>13108</v>
      </c>
      <c r="W30">
        <v>3.3</v>
      </c>
      <c r="X30">
        <v>1250</v>
      </c>
      <c r="Y30">
        <v>1</v>
      </c>
      <c r="Z30">
        <v>50</v>
      </c>
      <c r="AA30">
        <v>53</v>
      </c>
      <c r="AB30">
        <v>0</v>
      </c>
      <c r="AC30">
        <v>1458</v>
      </c>
      <c r="AD30">
        <v>33</v>
      </c>
      <c r="AE30">
        <v>58</v>
      </c>
      <c r="AF30">
        <v>2037</v>
      </c>
      <c r="AG30">
        <v>0.5</v>
      </c>
      <c r="AH30">
        <v>1494</v>
      </c>
      <c r="AI30">
        <v>145</v>
      </c>
      <c r="AJ30">
        <v>50</v>
      </c>
      <c r="AK30">
        <v>7717</v>
      </c>
      <c r="AL30">
        <v>1.9</v>
      </c>
      <c r="AM30">
        <v>1598</v>
      </c>
      <c r="AN30">
        <v>21</v>
      </c>
      <c r="AO30">
        <v>50</v>
      </c>
      <c r="AP30">
        <v>1118</v>
      </c>
      <c r="AQ30">
        <v>0.3</v>
      </c>
      <c r="AR30">
        <v>1728</v>
      </c>
      <c r="AS30">
        <v>131</v>
      </c>
      <c r="AT30">
        <v>94</v>
      </c>
      <c r="AU30">
        <v>13108</v>
      </c>
      <c r="AV30">
        <v>3.3</v>
      </c>
    </row>
    <row r="31" spans="1:48">
      <c r="A31" t="s">
        <v>513</v>
      </c>
      <c r="B31" t="s">
        <v>514</v>
      </c>
      <c r="C31">
        <v>0.91106600000000004</v>
      </c>
      <c r="D31">
        <v>1365</v>
      </c>
      <c r="E31">
        <v>685</v>
      </c>
      <c r="F31">
        <v>190</v>
      </c>
      <c r="G31">
        <v>138540</v>
      </c>
      <c r="H31">
        <v>59.6</v>
      </c>
      <c r="I31">
        <v>1594</v>
      </c>
      <c r="J31">
        <v>877</v>
      </c>
      <c r="K31">
        <v>83</v>
      </c>
      <c r="L31">
        <v>77484</v>
      </c>
      <c r="M31">
        <v>33.4</v>
      </c>
      <c r="N31">
        <v>975</v>
      </c>
      <c r="O31">
        <v>21</v>
      </c>
      <c r="P31">
        <v>198</v>
      </c>
      <c r="Q31">
        <v>4426</v>
      </c>
      <c r="R31">
        <v>1.9</v>
      </c>
      <c r="S31">
        <v>1182</v>
      </c>
      <c r="T31">
        <v>65</v>
      </c>
      <c r="U31">
        <v>100</v>
      </c>
      <c r="V31">
        <v>6919</v>
      </c>
      <c r="W31">
        <v>3</v>
      </c>
      <c r="X31">
        <v>1250</v>
      </c>
      <c r="Y31">
        <v>1</v>
      </c>
      <c r="Z31">
        <v>50</v>
      </c>
      <c r="AA31">
        <v>53</v>
      </c>
      <c r="AB31">
        <v>0</v>
      </c>
      <c r="AC31">
        <v>1400</v>
      </c>
      <c r="AD31">
        <v>1</v>
      </c>
      <c r="AE31">
        <v>198</v>
      </c>
      <c r="AF31">
        <v>211</v>
      </c>
      <c r="AG31">
        <v>0.1</v>
      </c>
      <c r="AH31">
        <v>1508</v>
      </c>
      <c r="AI31">
        <v>85</v>
      </c>
      <c r="AJ31">
        <v>50</v>
      </c>
      <c r="AK31">
        <v>4524</v>
      </c>
      <c r="AL31">
        <v>1.9</v>
      </c>
      <c r="AM31">
        <v>1598</v>
      </c>
      <c r="AN31">
        <v>1</v>
      </c>
      <c r="AO31">
        <v>50</v>
      </c>
      <c r="AP31">
        <v>53</v>
      </c>
      <c r="AQ31">
        <v>0</v>
      </c>
      <c r="AR31">
        <v>1700</v>
      </c>
      <c r="AS31">
        <v>1</v>
      </c>
      <c r="AT31">
        <v>50</v>
      </c>
      <c r="AU31">
        <v>53</v>
      </c>
      <c r="AV31">
        <v>0</v>
      </c>
    </row>
    <row r="32" spans="1:48">
      <c r="A32" t="s">
        <v>515</v>
      </c>
      <c r="B32" t="s">
        <v>516</v>
      </c>
      <c r="C32">
        <v>0.99655800000000005</v>
      </c>
      <c r="D32">
        <v>1365</v>
      </c>
      <c r="E32">
        <v>18997</v>
      </c>
      <c r="F32">
        <v>198</v>
      </c>
      <c r="G32">
        <v>4003893</v>
      </c>
      <c r="H32">
        <v>48.4</v>
      </c>
      <c r="I32">
        <v>1586</v>
      </c>
      <c r="J32">
        <v>20949</v>
      </c>
      <c r="K32">
        <v>127</v>
      </c>
      <c r="L32">
        <v>2832039</v>
      </c>
      <c r="M32">
        <v>34.200000000000003</v>
      </c>
      <c r="N32">
        <v>1073</v>
      </c>
      <c r="O32">
        <v>1653</v>
      </c>
      <c r="P32">
        <v>128</v>
      </c>
      <c r="Q32">
        <v>225224</v>
      </c>
      <c r="R32">
        <v>2.7</v>
      </c>
      <c r="S32">
        <v>1182</v>
      </c>
      <c r="T32">
        <v>4447</v>
      </c>
      <c r="U32">
        <v>118</v>
      </c>
      <c r="V32">
        <v>558575</v>
      </c>
      <c r="W32">
        <v>6.8</v>
      </c>
      <c r="X32">
        <v>1262</v>
      </c>
      <c r="Y32">
        <v>539</v>
      </c>
      <c r="Z32">
        <v>50</v>
      </c>
      <c r="AA32">
        <v>28687</v>
      </c>
      <c r="AB32">
        <v>0.3</v>
      </c>
      <c r="AC32">
        <v>1458</v>
      </c>
      <c r="AD32">
        <v>2005</v>
      </c>
      <c r="AE32">
        <v>50</v>
      </c>
      <c r="AF32">
        <v>106713</v>
      </c>
      <c r="AG32">
        <v>1.3</v>
      </c>
      <c r="AH32">
        <v>1496</v>
      </c>
      <c r="AI32">
        <v>3047</v>
      </c>
      <c r="AJ32">
        <v>52</v>
      </c>
      <c r="AK32">
        <v>168658</v>
      </c>
      <c r="AL32">
        <v>2</v>
      </c>
      <c r="AM32">
        <v>1594</v>
      </c>
      <c r="AN32">
        <v>2051</v>
      </c>
      <c r="AO32">
        <v>50</v>
      </c>
      <c r="AP32">
        <v>109161</v>
      </c>
      <c r="AQ32">
        <v>1.3</v>
      </c>
      <c r="AR32">
        <v>1748</v>
      </c>
      <c r="AS32">
        <v>1789</v>
      </c>
      <c r="AT32">
        <v>124</v>
      </c>
      <c r="AU32">
        <v>236137</v>
      </c>
      <c r="AV32">
        <v>2.9</v>
      </c>
    </row>
    <row r="33" spans="1:48">
      <c r="A33" t="s">
        <v>517</v>
      </c>
      <c r="B33" t="s">
        <v>518</v>
      </c>
      <c r="C33">
        <v>0.99322699999999997</v>
      </c>
      <c r="D33">
        <v>1365</v>
      </c>
      <c r="E33">
        <v>9369</v>
      </c>
      <c r="F33">
        <v>198</v>
      </c>
      <c r="G33">
        <v>1974652</v>
      </c>
      <c r="H33">
        <v>44.9</v>
      </c>
      <c r="I33">
        <v>1586</v>
      </c>
      <c r="J33">
        <v>11221</v>
      </c>
      <c r="K33">
        <v>139</v>
      </c>
      <c r="L33">
        <v>1660269</v>
      </c>
      <c r="M33">
        <v>37.700000000000003</v>
      </c>
      <c r="N33">
        <v>1073</v>
      </c>
      <c r="O33">
        <v>1051</v>
      </c>
      <c r="P33">
        <v>158</v>
      </c>
      <c r="Q33">
        <v>176763</v>
      </c>
      <c r="R33">
        <v>4</v>
      </c>
      <c r="S33">
        <v>1190</v>
      </c>
      <c r="T33">
        <v>2249</v>
      </c>
      <c r="U33">
        <v>118</v>
      </c>
      <c r="V33">
        <v>282490</v>
      </c>
      <c r="W33">
        <v>6.4</v>
      </c>
      <c r="X33">
        <v>1256</v>
      </c>
      <c r="Y33">
        <v>119</v>
      </c>
      <c r="Z33">
        <v>50</v>
      </c>
      <c r="AA33">
        <v>6334</v>
      </c>
      <c r="AB33">
        <v>0.1</v>
      </c>
      <c r="AC33">
        <v>1450</v>
      </c>
      <c r="AD33">
        <v>993</v>
      </c>
      <c r="AE33">
        <v>50</v>
      </c>
      <c r="AF33">
        <v>52851</v>
      </c>
      <c r="AG33">
        <v>1.2</v>
      </c>
      <c r="AH33">
        <v>1488</v>
      </c>
      <c r="AI33">
        <v>1093</v>
      </c>
      <c r="AJ33">
        <v>50</v>
      </c>
      <c r="AK33">
        <v>58173</v>
      </c>
      <c r="AL33">
        <v>1.3</v>
      </c>
      <c r="AM33">
        <v>1588</v>
      </c>
      <c r="AN33">
        <v>841</v>
      </c>
      <c r="AO33">
        <v>50</v>
      </c>
      <c r="AP33">
        <v>44761</v>
      </c>
      <c r="AQ33">
        <v>1</v>
      </c>
      <c r="AR33">
        <v>1748</v>
      </c>
      <c r="AS33">
        <v>1105</v>
      </c>
      <c r="AT33">
        <v>124</v>
      </c>
      <c r="AU33">
        <v>145853</v>
      </c>
      <c r="AV33">
        <v>3.3</v>
      </c>
    </row>
    <row r="34" spans="1:48">
      <c r="A34" t="s">
        <v>519</v>
      </c>
      <c r="B34" t="s">
        <v>520</v>
      </c>
      <c r="C34">
        <v>0.99385999999999997</v>
      </c>
      <c r="D34">
        <v>1367</v>
      </c>
      <c r="E34">
        <v>5807</v>
      </c>
      <c r="F34">
        <v>184</v>
      </c>
      <c r="G34">
        <v>1137370</v>
      </c>
      <c r="H34">
        <v>46.6</v>
      </c>
      <c r="I34">
        <v>1586</v>
      </c>
      <c r="J34">
        <v>9345</v>
      </c>
      <c r="K34">
        <v>103</v>
      </c>
      <c r="L34">
        <v>1024587</v>
      </c>
      <c r="M34">
        <v>41.9</v>
      </c>
      <c r="N34">
        <v>1051</v>
      </c>
      <c r="O34">
        <v>143</v>
      </c>
      <c r="P34">
        <v>198</v>
      </c>
      <c r="Q34">
        <v>30139</v>
      </c>
      <c r="R34">
        <v>1.2</v>
      </c>
      <c r="S34">
        <v>1198</v>
      </c>
      <c r="T34">
        <v>53</v>
      </c>
      <c r="U34">
        <v>60</v>
      </c>
      <c r="V34">
        <v>3385</v>
      </c>
      <c r="W34">
        <v>0.1</v>
      </c>
      <c r="X34">
        <v>1250</v>
      </c>
      <c r="Y34">
        <v>41</v>
      </c>
      <c r="Z34">
        <v>50</v>
      </c>
      <c r="AA34">
        <v>2182</v>
      </c>
      <c r="AB34">
        <v>0.1</v>
      </c>
      <c r="AC34">
        <v>1456</v>
      </c>
      <c r="AD34">
        <v>1025</v>
      </c>
      <c r="AE34">
        <v>68</v>
      </c>
      <c r="AF34">
        <v>74193</v>
      </c>
      <c r="AG34">
        <v>3</v>
      </c>
      <c r="AH34">
        <v>1506</v>
      </c>
      <c r="AI34">
        <v>1757</v>
      </c>
      <c r="AJ34">
        <v>64</v>
      </c>
      <c r="AK34">
        <v>119697</v>
      </c>
      <c r="AL34">
        <v>4.9000000000000004</v>
      </c>
      <c r="AM34">
        <v>1598</v>
      </c>
      <c r="AN34">
        <v>705</v>
      </c>
      <c r="AO34">
        <v>50</v>
      </c>
      <c r="AP34">
        <v>37522</v>
      </c>
      <c r="AQ34">
        <v>1.5</v>
      </c>
      <c r="AR34">
        <v>1700</v>
      </c>
      <c r="AS34">
        <v>263</v>
      </c>
      <c r="AT34">
        <v>50</v>
      </c>
      <c r="AU34">
        <v>13998</v>
      </c>
      <c r="AV34">
        <v>0.6</v>
      </c>
    </row>
    <row r="35" spans="1:48">
      <c r="A35" t="s">
        <v>521</v>
      </c>
      <c r="B35" t="s">
        <v>522</v>
      </c>
      <c r="C35">
        <v>0.99020399999999997</v>
      </c>
      <c r="D35">
        <v>1367</v>
      </c>
      <c r="E35">
        <v>1997</v>
      </c>
      <c r="F35">
        <v>156</v>
      </c>
      <c r="G35">
        <v>331616</v>
      </c>
      <c r="H35">
        <v>48.1</v>
      </c>
      <c r="I35">
        <v>1594</v>
      </c>
      <c r="J35">
        <v>2871</v>
      </c>
      <c r="K35">
        <v>99</v>
      </c>
      <c r="L35">
        <v>302552</v>
      </c>
      <c r="M35">
        <v>43.9</v>
      </c>
      <c r="N35">
        <v>975</v>
      </c>
      <c r="O35">
        <v>15</v>
      </c>
      <c r="P35">
        <v>50</v>
      </c>
      <c r="Q35">
        <v>798</v>
      </c>
      <c r="R35">
        <v>0.1</v>
      </c>
      <c r="S35">
        <v>1166</v>
      </c>
      <c r="T35">
        <v>51</v>
      </c>
      <c r="U35">
        <v>118</v>
      </c>
      <c r="V35">
        <v>6406</v>
      </c>
      <c r="W35">
        <v>0.9</v>
      </c>
      <c r="X35">
        <v>1256</v>
      </c>
      <c r="Y35">
        <v>65</v>
      </c>
      <c r="Z35">
        <v>50</v>
      </c>
      <c r="AA35">
        <v>3460</v>
      </c>
      <c r="AB35">
        <v>0.5</v>
      </c>
      <c r="AC35">
        <v>1458</v>
      </c>
      <c r="AD35">
        <v>95</v>
      </c>
      <c r="AE35">
        <v>50</v>
      </c>
      <c r="AF35">
        <v>5056</v>
      </c>
      <c r="AG35">
        <v>0.7</v>
      </c>
      <c r="AH35">
        <v>1502</v>
      </c>
      <c r="AI35">
        <v>487</v>
      </c>
      <c r="AJ35">
        <v>54</v>
      </c>
      <c r="AK35">
        <v>27993</v>
      </c>
      <c r="AL35">
        <v>4.0999999999999996</v>
      </c>
      <c r="AM35">
        <v>1598</v>
      </c>
      <c r="AN35">
        <v>73</v>
      </c>
      <c r="AO35">
        <v>50</v>
      </c>
      <c r="AP35">
        <v>3885</v>
      </c>
      <c r="AQ35">
        <v>0.6</v>
      </c>
      <c r="AR35">
        <v>1714</v>
      </c>
      <c r="AS35">
        <v>147</v>
      </c>
      <c r="AT35">
        <v>50</v>
      </c>
      <c r="AU35">
        <v>7824</v>
      </c>
      <c r="AV35">
        <v>1.1000000000000001</v>
      </c>
    </row>
    <row r="36" spans="1:48">
      <c r="A36" t="s">
        <v>523</v>
      </c>
      <c r="B36" t="s">
        <v>524</v>
      </c>
      <c r="C36">
        <v>0.95896199999999998</v>
      </c>
      <c r="D36">
        <v>1363</v>
      </c>
      <c r="E36">
        <v>1753</v>
      </c>
      <c r="F36">
        <v>150</v>
      </c>
      <c r="G36">
        <v>279902</v>
      </c>
      <c r="H36">
        <v>41.9</v>
      </c>
      <c r="I36">
        <v>1592</v>
      </c>
      <c r="J36">
        <v>3853</v>
      </c>
      <c r="K36">
        <v>75</v>
      </c>
      <c r="L36">
        <v>307604</v>
      </c>
      <c r="M36">
        <v>46</v>
      </c>
      <c r="N36">
        <v>975</v>
      </c>
      <c r="O36">
        <v>1</v>
      </c>
      <c r="P36">
        <v>50</v>
      </c>
      <c r="Q36">
        <v>53</v>
      </c>
      <c r="R36">
        <v>0</v>
      </c>
      <c r="S36">
        <v>1150</v>
      </c>
      <c r="T36">
        <v>39</v>
      </c>
      <c r="U36">
        <v>50</v>
      </c>
      <c r="V36">
        <v>2076</v>
      </c>
      <c r="W36">
        <v>0.3</v>
      </c>
      <c r="X36">
        <v>1298</v>
      </c>
      <c r="Y36">
        <v>87</v>
      </c>
      <c r="Z36">
        <v>66</v>
      </c>
      <c r="AA36">
        <v>6112</v>
      </c>
      <c r="AB36">
        <v>0.9</v>
      </c>
      <c r="AC36">
        <v>1458</v>
      </c>
      <c r="AD36">
        <v>71</v>
      </c>
      <c r="AE36">
        <v>50</v>
      </c>
      <c r="AF36">
        <v>3779</v>
      </c>
      <c r="AG36">
        <v>0.6</v>
      </c>
      <c r="AH36">
        <v>1510</v>
      </c>
      <c r="AI36">
        <v>893</v>
      </c>
      <c r="AJ36">
        <v>62</v>
      </c>
      <c r="AK36">
        <v>58935</v>
      </c>
      <c r="AL36">
        <v>8.8000000000000007</v>
      </c>
      <c r="AM36">
        <v>1598</v>
      </c>
      <c r="AN36">
        <v>1</v>
      </c>
      <c r="AO36">
        <v>162</v>
      </c>
      <c r="AP36">
        <v>172</v>
      </c>
      <c r="AQ36">
        <v>0</v>
      </c>
      <c r="AR36">
        <v>1700</v>
      </c>
      <c r="AS36">
        <v>131</v>
      </c>
      <c r="AT36">
        <v>68</v>
      </c>
      <c r="AU36">
        <v>9482</v>
      </c>
      <c r="AV36">
        <v>1.4</v>
      </c>
    </row>
    <row r="37" spans="1:48">
      <c r="A37" t="s">
        <v>525</v>
      </c>
      <c r="B37" t="s">
        <v>526</v>
      </c>
      <c r="C37">
        <v>0.973472</v>
      </c>
      <c r="D37">
        <v>1365</v>
      </c>
      <c r="E37">
        <v>3421</v>
      </c>
      <c r="F37">
        <v>198</v>
      </c>
      <c r="G37">
        <v>721025</v>
      </c>
      <c r="H37">
        <v>50.4</v>
      </c>
      <c r="I37">
        <v>1590</v>
      </c>
      <c r="J37">
        <v>4083</v>
      </c>
      <c r="K37">
        <v>111</v>
      </c>
      <c r="L37">
        <v>482430</v>
      </c>
      <c r="M37">
        <v>33.700000000000003</v>
      </c>
      <c r="N37">
        <v>1073</v>
      </c>
      <c r="O37">
        <v>257</v>
      </c>
      <c r="P37">
        <v>140</v>
      </c>
      <c r="Q37">
        <v>38300</v>
      </c>
      <c r="R37">
        <v>2.7</v>
      </c>
      <c r="S37">
        <v>1184</v>
      </c>
      <c r="T37">
        <v>709</v>
      </c>
      <c r="U37">
        <v>112</v>
      </c>
      <c r="V37">
        <v>84527</v>
      </c>
      <c r="W37">
        <v>5.9</v>
      </c>
      <c r="X37">
        <v>1270</v>
      </c>
      <c r="Y37">
        <v>103</v>
      </c>
      <c r="Z37">
        <v>58</v>
      </c>
      <c r="AA37">
        <v>6359</v>
      </c>
      <c r="AB37">
        <v>0.4</v>
      </c>
      <c r="AC37">
        <v>1458</v>
      </c>
      <c r="AD37">
        <v>45</v>
      </c>
      <c r="AE37">
        <v>50</v>
      </c>
      <c r="AF37">
        <v>2395</v>
      </c>
      <c r="AG37">
        <v>0.2</v>
      </c>
      <c r="AH37">
        <v>1492</v>
      </c>
      <c r="AI37">
        <v>651</v>
      </c>
      <c r="AJ37">
        <v>54</v>
      </c>
      <c r="AK37">
        <v>37420</v>
      </c>
      <c r="AL37">
        <v>2.6</v>
      </c>
      <c r="AM37">
        <v>1598</v>
      </c>
      <c r="AN37">
        <v>269</v>
      </c>
      <c r="AO37">
        <v>50</v>
      </c>
      <c r="AP37">
        <v>14317</v>
      </c>
      <c r="AQ37">
        <v>1</v>
      </c>
      <c r="AR37">
        <v>1738</v>
      </c>
      <c r="AS37">
        <v>401</v>
      </c>
      <c r="AT37">
        <v>102</v>
      </c>
      <c r="AU37">
        <v>43539</v>
      </c>
      <c r="AV37">
        <v>3</v>
      </c>
    </row>
    <row r="38" spans="1:48">
      <c r="A38" t="s">
        <v>527</v>
      </c>
      <c r="B38" t="s">
        <v>528</v>
      </c>
      <c r="C38">
        <v>0.83045000000000002</v>
      </c>
      <c r="D38">
        <v>1357</v>
      </c>
      <c r="E38">
        <v>1197</v>
      </c>
      <c r="F38">
        <v>164</v>
      </c>
      <c r="G38">
        <v>208963</v>
      </c>
      <c r="H38">
        <v>51.7</v>
      </c>
      <c r="I38">
        <v>1592</v>
      </c>
      <c r="J38">
        <v>2071</v>
      </c>
      <c r="K38">
        <v>61</v>
      </c>
      <c r="L38">
        <v>134475</v>
      </c>
      <c r="M38">
        <v>33.299999999999997</v>
      </c>
      <c r="N38">
        <v>1013</v>
      </c>
      <c r="O38">
        <v>97</v>
      </c>
      <c r="P38">
        <v>190</v>
      </c>
      <c r="Q38">
        <v>19618</v>
      </c>
      <c r="R38">
        <v>4.9000000000000004</v>
      </c>
      <c r="S38">
        <v>1164</v>
      </c>
      <c r="T38">
        <v>81</v>
      </c>
      <c r="U38">
        <v>92</v>
      </c>
      <c r="V38">
        <v>7932</v>
      </c>
      <c r="W38">
        <v>2</v>
      </c>
      <c r="X38">
        <v>1298</v>
      </c>
      <c r="Y38">
        <v>75</v>
      </c>
      <c r="Z38">
        <v>88</v>
      </c>
      <c r="AA38">
        <v>7025</v>
      </c>
      <c r="AB38">
        <v>1.7</v>
      </c>
      <c r="AC38">
        <v>1458</v>
      </c>
      <c r="AD38">
        <v>1</v>
      </c>
      <c r="AE38">
        <v>50</v>
      </c>
      <c r="AF38">
        <v>53</v>
      </c>
      <c r="AG38">
        <v>0</v>
      </c>
      <c r="AH38">
        <v>1528</v>
      </c>
      <c r="AI38">
        <v>395</v>
      </c>
      <c r="AJ38">
        <v>56</v>
      </c>
      <c r="AK38">
        <v>23546</v>
      </c>
      <c r="AL38">
        <v>5.8</v>
      </c>
      <c r="AM38">
        <v>1598</v>
      </c>
      <c r="AN38">
        <v>45</v>
      </c>
      <c r="AO38">
        <v>50</v>
      </c>
      <c r="AP38">
        <v>2395</v>
      </c>
      <c r="AQ38">
        <v>0.6</v>
      </c>
      <c r="AR38">
        <v>1700</v>
      </c>
      <c r="AS38">
        <v>1</v>
      </c>
      <c r="AT38">
        <v>50</v>
      </c>
      <c r="AU38">
        <v>53</v>
      </c>
      <c r="AV38">
        <v>0</v>
      </c>
    </row>
    <row r="39" spans="1:48">
      <c r="A39" t="s">
        <v>529</v>
      </c>
      <c r="B39" t="s">
        <v>530</v>
      </c>
      <c r="C39">
        <v>0.99371799999999999</v>
      </c>
      <c r="D39">
        <v>1365</v>
      </c>
      <c r="E39">
        <v>10737</v>
      </c>
      <c r="F39">
        <v>198</v>
      </c>
      <c r="G39">
        <v>2262978</v>
      </c>
      <c r="H39">
        <v>45.3</v>
      </c>
      <c r="I39">
        <v>1584</v>
      </c>
      <c r="J39">
        <v>12885</v>
      </c>
      <c r="K39">
        <v>137</v>
      </c>
      <c r="L39">
        <v>1879045</v>
      </c>
      <c r="M39">
        <v>37.6</v>
      </c>
      <c r="N39">
        <v>1073</v>
      </c>
      <c r="O39">
        <v>1031</v>
      </c>
      <c r="P39">
        <v>144</v>
      </c>
      <c r="Q39">
        <v>158035</v>
      </c>
      <c r="R39">
        <v>3.2</v>
      </c>
      <c r="S39">
        <v>1186</v>
      </c>
      <c r="T39">
        <v>2453</v>
      </c>
      <c r="U39">
        <v>118</v>
      </c>
      <c r="V39">
        <v>308114</v>
      </c>
      <c r="W39">
        <v>6.2</v>
      </c>
      <c r="X39">
        <v>1252</v>
      </c>
      <c r="Y39">
        <v>243</v>
      </c>
      <c r="Z39">
        <v>50</v>
      </c>
      <c r="AA39">
        <v>12933</v>
      </c>
      <c r="AB39">
        <v>0.3</v>
      </c>
      <c r="AC39">
        <v>1452</v>
      </c>
      <c r="AD39">
        <v>1001</v>
      </c>
      <c r="AE39">
        <v>50</v>
      </c>
      <c r="AF39">
        <v>53277</v>
      </c>
      <c r="AG39">
        <v>1.1000000000000001</v>
      </c>
      <c r="AH39">
        <v>1488</v>
      </c>
      <c r="AI39">
        <v>903</v>
      </c>
      <c r="AJ39">
        <v>50</v>
      </c>
      <c r="AK39">
        <v>48061</v>
      </c>
      <c r="AL39">
        <v>1</v>
      </c>
      <c r="AM39">
        <v>1588</v>
      </c>
      <c r="AN39">
        <v>1673</v>
      </c>
      <c r="AO39">
        <v>50</v>
      </c>
      <c r="AP39">
        <v>89043</v>
      </c>
      <c r="AQ39">
        <v>1.8</v>
      </c>
      <c r="AR39">
        <v>1748</v>
      </c>
      <c r="AS39">
        <v>1143</v>
      </c>
      <c r="AT39">
        <v>150</v>
      </c>
      <c r="AU39">
        <v>182503</v>
      </c>
      <c r="AV39">
        <v>3.7</v>
      </c>
    </row>
    <row r="40" spans="1:48">
      <c r="A40" t="s">
        <v>531</v>
      </c>
      <c r="B40" t="s">
        <v>532</v>
      </c>
      <c r="C40">
        <v>0.99641900000000005</v>
      </c>
      <c r="D40">
        <v>1369</v>
      </c>
      <c r="E40">
        <v>5219</v>
      </c>
      <c r="F40">
        <v>164</v>
      </c>
      <c r="G40">
        <v>911094</v>
      </c>
      <c r="H40">
        <v>39.1</v>
      </c>
      <c r="I40">
        <v>1588</v>
      </c>
      <c r="J40">
        <v>10851</v>
      </c>
      <c r="K40">
        <v>95</v>
      </c>
      <c r="L40">
        <v>1097301</v>
      </c>
      <c r="M40">
        <v>47.1</v>
      </c>
      <c r="N40">
        <v>1023</v>
      </c>
      <c r="O40">
        <v>147</v>
      </c>
      <c r="P40">
        <v>78</v>
      </c>
      <c r="Q40">
        <v>12205</v>
      </c>
      <c r="R40">
        <v>0.5</v>
      </c>
      <c r="S40">
        <v>1150</v>
      </c>
      <c r="T40">
        <v>143</v>
      </c>
      <c r="U40">
        <v>60</v>
      </c>
      <c r="V40">
        <v>9133</v>
      </c>
      <c r="W40">
        <v>0.4</v>
      </c>
      <c r="X40">
        <v>1252</v>
      </c>
      <c r="Y40">
        <v>57</v>
      </c>
      <c r="Z40">
        <v>50</v>
      </c>
      <c r="AA40">
        <v>3034</v>
      </c>
      <c r="AB40">
        <v>0.1</v>
      </c>
      <c r="AC40">
        <v>1458</v>
      </c>
      <c r="AD40">
        <v>1129</v>
      </c>
      <c r="AE40">
        <v>78</v>
      </c>
      <c r="AF40">
        <v>93739</v>
      </c>
      <c r="AG40">
        <v>4</v>
      </c>
      <c r="AH40">
        <v>1512</v>
      </c>
      <c r="AI40">
        <v>2045</v>
      </c>
      <c r="AJ40">
        <v>66</v>
      </c>
      <c r="AK40">
        <v>143671</v>
      </c>
      <c r="AL40">
        <v>6.2</v>
      </c>
      <c r="AM40">
        <v>1594</v>
      </c>
      <c r="AN40">
        <v>831</v>
      </c>
      <c r="AO40">
        <v>50</v>
      </c>
      <c r="AP40">
        <v>44229</v>
      </c>
      <c r="AQ40">
        <v>1.9</v>
      </c>
      <c r="AR40">
        <v>1700</v>
      </c>
      <c r="AS40">
        <v>325</v>
      </c>
      <c r="AT40">
        <v>50</v>
      </c>
      <c r="AU40">
        <v>17298</v>
      </c>
      <c r="AV40">
        <v>0.7</v>
      </c>
    </row>
    <row r="41" spans="1:48">
      <c r="A41" t="s">
        <v>533</v>
      </c>
      <c r="B41" t="s">
        <v>534</v>
      </c>
      <c r="C41">
        <v>0.98813099999999998</v>
      </c>
      <c r="D41">
        <v>1365</v>
      </c>
      <c r="E41">
        <v>2523</v>
      </c>
      <c r="F41">
        <v>198</v>
      </c>
      <c r="G41">
        <v>531759</v>
      </c>
      <c r="H41">
        <v>50.8</v>
      </c>
      <c r="I41">
        <v>1592</v>
      </c>
      <c r="J41">
        <v>3013</v>
      </c>
      <c r="K41">
        <v>101</v>
      </c>
      <c r="L41">
        <v>323931</v>
      </c>
      <c r="M41">
        <v>30.9</v>
      </c>
      <c r="N41">
        <v>1071</v>
      </c>
      <c r="O41">
        <v>245</v>
      </c>
      <c r="P41">
        <v>178</v>
      </c>
      <c r="Q41">
        <v>46421</v>
      </c>
      <c r="R41">
        <v>4.4000000000000004</v>
      </c>
      <c r="S41">
        <v>1190</v>
      </c>
      <c r="T41">
        <v>521</v>
      </c>
      <c r="U41">
        <v>116</v>
      </c>
      <c r="V41">
        <v>64332</v>
      </c>
      <c r="W41">
        <v>6.1</v>
      </c>
      <c r="X41">
        <v>1274</v>
      </c>
      <c r="Y41">
        <v>57</v>
      </c>
      <c r="Z41">
        <v>52</v>
      </c>
      <c r="AA41">
        <v>3155</v>
      </c>
      <c r="AB41">
        <v>0.3</v>
      </c>
      <c r="AC41">
        <v>1458</v>
      </c>
      <c r="AD41">
        <v>39</v>
      </c>
      <c r="AE41">
        <v>50</v>
      </c>
      <c r="AF41">
        <v>2076</v>
      </c>
      <c r="AG41">
        <v>0.2</v>
      </c>
      <c r="AH41">
        <v>1500</v>
      </c>
      <c r="AI41">
        <v>657</v>
      </c>
      <c r="AJ41">
        <v>54</v>
      </c>
      <c r="AK41">
        <v>37765</v>
      </c>
      <c r="AL41">
        <v>3.6</v>
      </c>
      <c r="AM41">
        <v>1596</v>
      </c>
      <c r="AN41">
        <v>67</v>
      </c>
      <c r="AO41">
        <v>50</v>
      </c>
      <c r="AP41">
        <v>3566</v>
      </c>
      <c r="AQ41">
        <v>0.3</v>
      </c>
      <c r="AR41">
        <v>1734</v>
      </c>
      <c r="AS41">
        <v>275</v>
      </c>
      <c r="AT41">
        <v>116</v>
      </c>
      <c r="AU41">
        <v>33956</v>
      </c>
      <c r="AV41">
        <v>3.2</v>
      </c>
    </row>
    <row r="42" spans="1:48">
      <c r="A42" t="s">
        <v>535</v>
      </c>
      <c r="B42" t="s">
        <v>536</v>
      </c>
      <c r="C42">
        <v>0.989402</v>
      </c>
      <c r="D42">
        <v>1365</v>
      </c>
      <c r="E42">
        <v>3109</v>
      </c>
      <c r="F42">
        <v>196</v>
      </c>
      <c r="G42">
        <v>648648</v>
      </c>
      <c r="H42">
        <v>50.6</v>
      </c>
      <c r="I42">
        <v>1590</v>
      </c>
      <c r="J42">
        <v>3425</v>
      </c>
      <c r="K42">
        <v>121</v>
      </c>
      <c r="L42">
        <v>441142</v>
      </c>
      <c r="M42">
        <v>34.4</v>
      </c>
      <c r="N42">
        <v>1073</v>
      </c>
      <c r="O42">
        <v>249</v>
      </c>
      <c r="P42">
        <v>152</v>
      </c>
      <c r="Q42">
        <v>40288</v>
      </c>
      <c r="R42">
        <v>3.1</v>
      </c>
      <c r="S42">
        <v>1186</v>
      </c>
      <c r="T42">
        <v>517</v>
      </c>
      <c r="U42">
        <v>114</v>
      </c>
      <c r="V42">
        <v>62738</v>
      </c>
      <c r="W42">
        <v>4.9000000000000004</v>
      </c>
      <c r="X42">
        <v>1252</v>
      </c>
      <c r="Y42">
        <v>7</v>
      </c>
      <c r="Z42">
        <v>50</v>
      </c>
      <c r="AA42">
        <v>373</v>
      </c>
      <c r="AB42">
        <v>0</v>
      </c>
      <c r="AC42">
        <v>1458</v>
      </c>
      <c r="AD42">
        <v>97</v>
      </c>
      <c r="AE42">
        <v>50</v>
      </c>
      <c r="AF42">
        <v>5163</v>
      </c>
      <c r="AG42">
        <v>0.4</v>
      </c>
      <c r="AH42">
        <v>1490</v>
      </c>
      <c r="AI42">
        <v>339</v>
      </c>
      <c r="AJ42">
        <v>50</v>
      </c>
      <c r="AK42">
        <v>18043</v>
      </c>
      <c r="AL42">
        <v>1.4</v>
      </c>
      <c r="AM42">
        <v>1598</v>
      </c>
      <c r="AN42">
        <v>195</v>
      </c>
      <c r="AO42">
        <v>50</v>
      </c>
      <c r="AP42">
        <v>10379</v>
      </c>
      <c r="AQ42">
        <v>0.8</v>
      </c>
      <c r="AR42">
        <v>1736</v>
      </c>
      <c r="AS42">
        <v>483</v>
      </c>
      <c r="AT42">
        <v>106</v>
      </c>
      <c r="AU42">
        <v>54499</v>
      </c>
      <c r="AV42">
        <v>4.3</v>
      </c>
    </row>
    <row r="43" spans="1:48">
      <c r="A43" t="s">
        <v>537</v>
      </c>
      <c r="B43" t="s">
        <v>538</v>
      </c>
      <c r="C43">
        <v>0.99268900000000004</v>
      </c>
      <c r="D43">
        <v>1365</v>
      </c>
      <c r="E43">
        <v>9685</v>
      </c>
      <c r="F43">
        <v>198</v>
      </c>
      <c r="G43">
        <v>2041254</v>
      </c>
      <c r="H43">
        <v>45.2</v>
      </c>
      <c r="I43">
        <v>1586</v>
      </c>
      <c r="J43">
        <v>12119</v>
      </c>
      <c r="K43">
        <v>139</v>
      </c>
      <c r="L43">
        <v>1793138</v>
      </c>
      <c r="M43">
        <v>39.700000000000003</v>
      </c>
      <c r="N43">
        <v>1073</v>
      </c>
      <c r="O43">
        <v>879</v>
      </c>
      <c r="P43">
        <v>136</v>
      </c>
      <c r="Q43">
        <v>127251</v>
      </c>
      <c r="R43">
        <v>2.8</v>
      </c>
      <c r="S43">
        <v>1182</v>
      </c>
      <c r="T43">
        <v>2249</v>
      </c>
      <c r="U43">
        <v>114</v>
      </c>
      <c r="V43">
        <v>272914</v>
      </c>
      <c r="W43">
        <v>6</v>
      </c>
      <c r="X43">
        <v>1254</v>
      </c>
      <c r="Y43">
        <v>373</v>
      </c>
      <c r="Z43">
        <v>50</v>
      </c>
      <c r="AA43">
        <v>19852</v>
      </c>
      <c r="AB43">
        <v>0.4</v>
      </c>
      <c r="AC43">
        <v>1450</v>
      </c>
      <c r="AD43">
        <v>1003</v>
      </c>
      <c r="AE43">
        <v>50</v>
      </c>
      <c r="AF43">
        <v>53383</v>
      </c>
      <c r="AG43">
        <v>1.2</v>
      </c>
      <c r="AH43">
        <v>1486</v>
      </c>
      <c r="AI43">
        <v>889</v>
      </c>
      <c r="AJ43">
        <v>50</v>
      </c>
      <c r="AK43">
        <v>47316</v>
      </c>
      <c r="AL43">
        <v>1</v>
      </c>
      <c r="AM43">
        <v>1584</v>
      </c>
      <c r="AN43">
        <v>1171</v>
      </c>
      <c r="AO43">
        <v>50</v>
      </c>
      <c r="AP43">
        <v>62325</v>
      </c>
      <c r="AQ43">
        <v>1.4</v>
      </c>
      <c r="AR43">
        <v>1748</v>
      </c>
      <c r="AS43">
        <v>933</v>
      </c>
      <c r="AT43">
        <v>98</v>
      </c>
      <c r="AU43">
        <v>97328</v>
      </c>
      <c r="AV43">
        <v>2.2000000000000002</v>
      </c>
    </row>
    <row r="44" spans="1:48">
      <c r="A44" t="s">
        <v>539</v>
      </c>
      <c r="B44" t="s">
        <v>540</v>
      </c>
      <c r="C44">
        <v>0.99276200000000003</v>
      </c>
      <c r="D44">
        <v>1365</v>
      </c>
      <c r="E44">
        <v>9963</v>
      </c>
      <c r="F44">
        <v>198</v>
      </c>
      <c r="G44">
        <v>2099846</v>
      </c>
      <c r="H44">
        <v>46</v>
      </c>
      <c r="I44">
        <v>1586</v>
      </c>
      <c r="J44">
        <v>12351</v>
      </c>
      <c r="K44">
        <v>129</v>
      </c>
      <c r="L44">
        <v>1695993</v>
      </c>
      <c r="M44">
        <v>37.200000000000003</v>
      </c>
      <c r="N44">
        <v>1073</v>
      </c>
      <c r="O44">
        <v>817</v>
      </c>
      <c r="P44">
        <v>140</v>
      </c>
      <c r="Q44">
        <v>121754</v>
      </c>
      <c r="R44">
        <v>2.7</v>
      </c>
      <c r="S44">
        <v>1186</v>
      </c>
      <c r="T44">
        <v>2397</v>
      </c>
      <c r="U44">
        <v>114</v>
      </c>
      <c r="V44">
        <v>290874</v>
      </c>
      <c r="W44">
        <v>6.4</v>
      </c>
      <c r="X44">
        <v>1256</v>
      </c>
      <c r="Y44">
        <v>233</v>
      </c>
      <c r="Z44">
        <v>50</v>
      </c>
      <c r="AA44">
        <v>12401</v>
      </c>
      <c r="AB44">
        <v>0.3</v>
      </c>
      <c r="AC44">
        <v>1452</v>
      </c>
      <c r="AD44">
        <v>1103</v>
      </c>
      <c r="AE44">
        <v>50</v>
      </c>
      <c r="AF44">
        <v>58705</v>
      </c>
      <c r="AG44">
        <v>1.3</v>
      </c>
      <c r="AH44">
        <v>1490</v>
      </c>
      <c r="AI44">
        <v>1481</v>
      </c>
      <c r="AJ44">
        <v>50</v>
      </c>
      <c r="AK44">
        <v>78824</v>
      </c>
      <c r="AL44">
        <v>1.7</v>
      </c>
      <c r="AM44">
        <v>1592</v>
      </c>
      <c r="AN44">
        <v>1069</v>
      </c>
      <c r="AO44">
        <v>50</v>
      </c>
      <c r="AP44">
        <v>56896</v>
      </c>
      <c r="AQ44">
        <v>1.2</v>
      </c>
      <c r="AR44">
        <v>1748</v>
      </c>
      <c r="AS44">
        <v>1271</v>
      </c>
      <c r="AT44">
        <v>110</v>
      </c>
      <c r="AU44">
        <v>148823</v>
      </c>
      <c r="AV44">
        <v>3.3</v>
      </c>
    </row>
    <row r="45" spans="1:48">
      <c r="A45" t="s">
        <v>541</v>
      </c>
      <c r="B45" t="s">
        <v>542</v>
      </c>
      <c r="C45">
        <v>0.98802599999999996</v>
      </c>
      <c r="D45">
        <v>1369</v>
      </c>
      <c r="E45">
        <v>4931</v>
      </c>
      <c r="F45">
        <v>164</v>
      </c>
      <c r="G45">
        <v>860817</v>
      </c>
      <c r="H45">
        <v>40.4</v>
      </c>
      <c r="I45">
        <v>1586</v>
      </c>
      <c r="J45">
        <v>9709</v>
      </c>
      <c r="K45">
        <v>95</v>
      </c>
      <c r="L45">
        <v>981816</v>
      </c>
      <c r="M45">
        <v>46.1</v>
      </c>
      <c r="N45">
        <v>1053</v>
      </c>
      <c r="O45">
        <v>1</v>
      </c>
      <c r="P45">
        <v>50</v>
      </c>
      <c r="Q45">
        <v>53</v>
      </c>
      <c r="R45">
        <v>0</v>
      </c>
      <c r="S45">
        <v>1198</v>
      </c>
      <c r="T45">
        <v>1</v>
      </c>
      <c r="U45">
        <v>50</v>
      </c>
      <c r="V45">
        <v>53</v>
      </c>
      <c r="W45">
        <v>0</v>
      </c>
      <c r="X45">
        <v>1264</v>
      </c>
      <c r="Y45">
        <v>101</v>
      </c>
      <c r="Z45">
        <v>50</v>
      </c>
      <c r="AA45">
        <v>5376</v>
      </c>
      <c r="AB45">
        <v>0.3</v>
      </c>
      <c r="AC45">
        <v>1458</v>
      </c>
      <c r="AD45">
        <v>957</v>
      </c>
      <c r="AE45">
        <v>80</v>
      </c>
      <c r="AF45">
        <v>81496</v>
      </c>
      <c r="AG45">
        <v>3.8</v>
      </c>
      <c r="AH45">
        <v>1512</v>
      </c>
      <c r="AI45">
        <v>1783</v>
      </c>
      <c r="AJ45">
        <v>76</v>
      </c>
      <c r="AK45">
        <v>144244</v>
      </c>
      <c r="AL45">
        <v>6.8</v>
      </c>
      <c r="AM45">
        <v>1598</v>
      </c>
      <c r="AN45">
        <v>983</v>
      </c>
      <c r="AO45">
        <v>50</v>
      </c>
      <c r="AP45">
        <v>52319</v>
      </c>
      <c r="AQ45">
        <v>2.5</v>
      </c>
      <c r="AR45">
        <v>1700</v>
      </c>
      <c r="AS45">
        <v>91</v>
      </c>
      <c r="AT45">
        <v>50</v>
      </c>
      <c r="AU45">
        <v>4843</v>
      </c>
      <c r="AV45">
        <v>0.2</v>
      </c>
    </row>
    <row r="46" spans="1:48">
      <c r="A46" t="s">
        <v>543</v>
      </c>
      <c r="B46" t="s">
        <v>544</v>
      </c>
      <c r="C46">
        <v>0.991815</v>
      </c>
      <c r="D46">
        <v>1365</v>
      </c>
      <c r="E46">
        <v>7453</v>
      </c>
      <c r="F46">
        <v>196</v>
      </c>
      <c r="G46">
        <v>1554961</v>
      </c>
      <c r="H46">
        <v>49.5</v>
      </c>
      <c r="I46">
        <v>1586</v>
      </c>
      <c r="J46">
        <v>7589</v>
      </c>
      <c r="K46">
        <v>127</v>
      </c>
      <c r="L46">
        <v>1025937</v>
      </c>
      <c r="M46">
        <v>32.700000000000003</v>
      </c>
      <c r="N46">
        <v>1073</v>
      </c>
      <c r="O46">
        <v>825</v>
      </c>
      <c r="P46">
        <v>164</v>
      </c>
      <c r="Q46">
        <v>144022</v>
      </c>
      <c r="R46">
        <v>4.5999999999999996</v>
      </c>
      <c r="S46">
        <v>1190</v>
      </c>
      <c r="T46">
        <v>1637</v>
      </c>
      <c r="U46">
        <v>122</v>
      </c>
      <c r="V46">
        <v>212589</v>
      </c>
      <c r="W46">
        <v>6.8</v>
      </c>
      <c r="X46">
        <v>1282</v>
      </c>
      <c r="Y46">
        <v>227</v>
      </c>
      <c r="Z46">
        <v>52</v>
      </c>
      <c r="AA46">
        <v>12565</v>
      </c>
      <c r="AB46">
        <v>0.4</v>
      </c>
      <c r="AC46">
        <v>1458</v>
      </c>
      <c r="AD46">
        <v>375</v>
      </c>
      <c r="AE46">
        <v>50</v>
      </c>
      <c r="AF46">
        <v>19959</v>
      </c>
      <c r="AG46">
        <v>0.6</v>
      </c>
      <c r="AH46">
        <v>1494</v>
      </c>
      <c r="AI46">
        <v>1129</v>
      </c>
      <c r="AJ46">
        <v>52</v>
      </c>
      <c r="AK46">
        <v>62493</v>
      </c>
      <c r="AL46">
        <v>2</v>
      </c>
      <c r="AM46">
        <v>1584</v>
      </c>
      <c r="AN46">
        <v>573</v>
      </c>
      <c r="AO46">
        <v>50</v>
      </c>
      <c r="AP46">
        <v>30497</v>
      </c>
      <c r="AQ46">
        <v>1</v>
      </c>
      <c r="AR46">
        <v>1748</v>
      </c>
      <c r="AS46">
        <v>629</v>
      </c>
      <c r="AT46">
        <v>116</v>
      </c>
      <c r="AU46">
        <v>77668</v>
      </c>
      <c r="AV46">
        <v>2.5</v>
      </c>
    </row>
    <row r="47" spans="1:48">
      <c r="A47" t="s">
        <v>545</v>
      </c>
      <c r="B47" t="s">
        <v>546</v>
      </c>
      <c r="C47">
        <v>0.99271100000000001</v>
      </c>
      <c r="D47">
        <v>1365</v>
      </c>
      <c r="E47">
        <v>8185</v>
      </c>
      <c r="F47">
        <v>196</v>
      </c>
      <c r="G47">
        <v>1707682</v>
      </c>
      <c r="H47">
        <v>49.6</v>
      </c>
      <c r="I47">
        <v>1586</v>
      </c>
      <c r="J47">
        <v>8277</v>
      </c>
      <c r="K47">
        <v>129</v>
      </c>
      <c r="L47">
        <v>1136567</v>
      </c>
      <c r="M47">
        <v>33</v>
      </c>
      <c r="N47">
        <v>1073</v>
      </c>
      <c r="O47">
        <v>859</v>
      </c>
      <c r="P47">
        <v>156</v>
      </c>
      <c r="Q47">
        <v>142643</v>
      </c>
      <c r="R47">
        <v>4.0999999999999996</v>
      </c>
      <c r="S47">
        <v>1184</v>
      </c>
      <c r="T47">
        <v>1737</v>
      </c>
      <c r="U47">
        <v>126</v>
      </c>
      <c r="V47">
        <v>232971</v>
      </c>
      <c r="W47">
        <v>6.8</v>
      </c>
      <c r="X47">
        <v>1272</v>
      </c>
      <c r="Y47">
        <v>193</v>
      </c>
      <c r="Z47">
        <v>60</v>
      </c>
      <c r="AA47">
        <v>12327</v>
      </c>
      <c r="AB47">
        <v>0.4</v>
      </c>
      <c r="AC47">
        <v>1458</v>
      </c>
      <c r="AD47">
        <v>365</v>
      </c>
      <c r="AE47">
        <v>50</v>
      </c>
      <c r="AF47">
        <v>19427</v>
      </c>
      <c r="AG47">
        <v>0.6</v>
      </c>
      <c r="AH47">
        <v>1494</v>
      </c>
      <c r="AI47">
        <v>1281</v>
      </c>
      <c r="AJ47">
        <v>56</v>
      </c>
      <c r="AK47">
        <v>76361</v>
      </c>
      <c r="AL47">
        <v>2.2000000000000002</v>
      </c>
      <c r="AM47">
        <v>1588</v>
      </c>
      <c r="AN47">
        <v>823</v>
      </c>
      <c r="AO47">
        <v>50</v>
      </c>
      <c r="AP47">
        <v>43803</v>
      </c>
      <c r="AQ47">
        <v>1.3</v>
      </c>
      <c r="AR47">
        <v>1748</v>
      </c>
      <c r="AS47">
        <v>613</v>
      </c>
      <c r="AT47">
        <v>112</v>
      </c>
      <c r="AU47">
        <v>73082</v>
      </c>
      <c r="AV47">
        <v>2.1</v>
      </c>
    </row>
    <row r="48" spans="1:48">
      <c r="A48" t="s">
        <v>547</v>
      </c>
      <c r="B48" t="s">
        <v>548</v>
      </c>
      <c r="C48">
        <v>0.98696899999999999</v>
      </c>
      <c r="D48">
        <v>1365</v>
      </c>
      <c r="E48">
        <v>7485</v>
      </c>
      <c r="F48">
        <v>198</v>
      </c>
      <c r="G48">
        <v>1577572</v>
      </c>
      <c r="H48">
        <v>49.8</v>
      </c>
      <c r="I48">
        <v>1588</v>
      </c>
      <c r="J48">
        <v>7689</v>
      </c>
      <c r="K48">
        <v>139</v>
      </c>
      <c r="L48">
        <v>1137672</v>
      </c>
      <c r="M48">
        <v>35.9</v>
      </c>
      <c r="N48">
        <v>1073</v>
      </c>
      <c r="O48">
        <v>727</v>
      </c>
      <c r="P48">
        <v>144</v>
      </c>
      <c r="Q48">
        <v>111437</v>
      </c>
      <c r="R48">
        <v>3.5</v>
      </c>
      <c r="S48">
        <v>1186</v>
      </c>
      <c r="T48">
        <v>1611</v>
      </c>
      <c r="U48">
        <v>122</v>
      </c>
      <c r="V48">
        <v>209212</v>
      </c>
      <c r="W48">
        <v>6.6</v>
      </c>
      <c r="X48">
        <v>1284</v>
      </c>
      <c r="Y48">
        <v>151</v>
      </c>
      <c r="Z48">
        <v>50</v>
      </c>
      <c r="AA48">
        <v>8037</v>
      </c>
      <c r="AB48">
        <v>0.3</v>
      </c>
      <c r="AC48">
        <v>1458</v>
      </c>
      <c r="AD48">
        <v>191</v>
      </c>
      <c r="AE48">
        <v>50</v>
      </c>
      <c r="AF48">
        <v>10166</v>
      </c>
      <c r="AG48">
        <v>0.3</v>
      </c>
      <c r="AH48">
        <v>1490</v>
      </c>
      <c r="AI48">
        <v>891</v>
      </c>
      <c r="AJ48">
        <v>54</v>
      </c>
      <c r="AK48">
        <v>51216</v>
      </c>
      <c r="AL48">
        <v>1.6</v>
      </c>
      <c r="AM48">
        <v>1582</v>
      </c>
      <c r="AN48">
        <v>381</v>
      </c>
      <c r="AO48">
        <v>50</v>
      </c>
      <c r="AP48">
        <v>20278</v>
      </c>
      <c r="AQ48">
        <v>0.6</v>
      </c>
      <c r="AR48">
        <v>1748</v>
      </c>
      <c r="AS48">
        <v>519</v>
      </c>
      <c r="AT48">
        <v>80</v>
      </c>
      <c r="AU48">
        <v>44197</v>
      </c>
      <c r="AV48">
        <v>1.4</v>
      </c>
    </row>
    <row r="49" spans="1:48">
      <c r="A49" t="s">
        <v>549</v>
      </c>
      <c r="B49" t="s">
        <v>550</v>
      </c>
      <c r="C49">
        <v>0.99475599999999997</v>
      </c>
      <c r="D49">
        <v>1365</v>
      </c>
      <c r="E49">
        <v>6159</v>
      </c>
      <c r="F49">
        <v>198</v>
      </c>
      <c r="G49">
        <v>1298098</v>
      </c>
      <c r="H49">
        <v>50.6</v>
      </c>
      <c r="I49">
        <v>1584</v>
      </c>
      <c r="J49">
        <v>6143</v>
      </c>
      <c r="K49">
        <v>125</v>
      </c>
      <c r="L49">
        <v>817378</v>
      </c>
      <c r="M49">
        <v>31.8</v>
      </c>
      <c r="N49">
        <v>1073</v>
      </c>
      <c r="O49">
        <v>645</v>
      </c>
      <c r="P49">
        <v>150</v>
      </c>
      <c r="Q49">
        <v>102987</v>
      </c>
      <c r="R49">
        <v>4</v>
      </c>
      <c r="S49">
        <v>1186</v>
      </c>
      <c r="T49">
        <v>1273</v>
      </c>
      <c r="U49">
        <v>124</v>
      </c>
      <c r="V49">
        <v>168028</v>
      </c>
      <c r="W49">
        <v>6.5</v>
      </c>
      <c r="X49">
        <v>1280</v>
      </c>
      <c r="Y49">
        <v>183</v>
      </c>
      <c r="Z49">
        <v>56</v>
      </c>
      <c r="AA49">
        <v>10909</v>
      </c>
      <c r="AB49">
        <v>0.4</v>
      </c>
      <c r="AC49">
        <v>1458</v>
      </c>
      <c r="AD49">
        <v>321</v>
      </c>
      <c r="AE49">
        <v>50</v>
      </c>
      <c r="AF49">
        <v>17085</v>
      </c>
      <c r="AG49">
        <v>0.7</v>
      </c>
      <c r="AH49">
        <v>1494</v>
      </c>
      <c r="AI49">
        <v>1055</v>
      </c>
      <c r="AJ49">
        <v>54</v>
      </c>
      <c r="AK49">
        <v>60643</v>
      </c>
      <c r="AL49">
        <v>2.4</v>
      </c>
      <c r="AM49">
        <v>1584</v>
      </c>
      <c r="AN49">
        <v>575</v>
      </c>
      <c r="AO49">
        <v>50</v>
      </c>
      <c r="AP49">
        <v>30603</v>
      </c>
      <c r="AQ49">
        <v>1.2</v>
      </c>
      <c r="AR49">
        <v>1748</v>
      </c>
      <c r="AS49">
        <v>483</v>
      </c>
      <c r="AT49">
        <v>120</v>
      </c>
      <c r="AU49">
        <v>61697</v>
      </c>
      <c r="AV49">
        <v>2.4</v>
      </c>
    </row>
    <row r="50" spans="1:48">
      <c r="A50" t="s">
        <v>551</v>
      </c>
      <c r="B50" t="s">
        <v>552</v>
      </c>
      <c r="C50">
        <v>0.99379300000000004</v>
      </c>
      <c r="D50">
        <v>1365</v>
      </c>
      <c r="E50">
        <v>6911</v>
      </c>
      <c r="F50">
        <v>196</v>
      </c>
      <c r="G50">
        <v>1441880</v>
      </c>
      <c r="H50">
        <v>50.2</v>
      </c>
      <c r="I50">
        <v>1584</v>
      </c>
      <c r="J50">
        <v>6969</v>
      </c>
      <c r="K50">
        <v>125</v>
      </c>
      <c r="L50">
        <v>927284</v>
      </c>
      <c r="M50">
        <v>32.299999999999997</v>
      </c>
      <c r="N50">
        <v>1073</v>
      </c>
      <c r="O50">
        <v>641</v>
      </c>
      <c r="P50">
        <v>142</v>
      </c>
      <c r="Q50">
        <v>96890</v>
      </c>
      <c r="R50">
        <v>3.4</v>
      </c>
      <c r="S50">
        <v>1186</v>
      </c>
      <c r="T50">
        <v>1485</v>
      </c>
      <c r="U50">
        <v>124</v>
      </c>
      <c r="V50">
        <v>196011</v>
      </c>
      <c r="W50">
        <v>6.8</v>
      </c>
      <c r="X50">
        <v>1274</v>
      </c>
      <c r="Y50">
        <v>179</v>
      </c>
      <c r="Z50">
        <v>50</v>
      </c>
      <c r="AA50">
        <v>9527</v>
      </c>
      <c r="AB50">
        <v>0.3</v>
      </c>
      <c r="AC50">
        <v>1458</v>
      </c>
      <c r="AD50">
        <v>425</v>
      </c>
      <c r="AE50">
        <v>50</v>
      </c>
      <c r="AF50">
        <v>22620</v>
      </c>
      <c r="AG50">
        <v>0.8</v>
      </c>
      <c r="AH50">
        <v>1494</v>
      </c>
      <c r="AI50">
        <v>1063</v>
      </c>
      <c r="AJ50">
        <v>52</v>
      </c>
      <c r="AK50">
        <v>58839</v>
      </c>
      <c r="AL50">
        <v>2</v>
      </c>
      <c r="AM50">
        <v>1590</v>
      </c>
      <c r="AN50">
        <v>671</v>
      </c>
      <c r="AO50">
        <v>50</v>
      </c>
      <c r="AP50">
        <v>35713</v>
      </c>
      <c r="AQ50">
        <v>1.2</v>
      </c>
      <c r="AR50">
        <v>1748</v>
      </c>
      <c r="AS50">
        <v>579</v>
      </c>
      <c r="AT50">
        <v>134</v>
      </c>
      <c r="AU50">
        <v>82588</v>
      </c>
      <c r="AV50">
        <v>2.9</v>
      </c>
    </row>
    <row r="51" spans="1:48">
      <c r="A51" t="s">
        <v>553</v>
      </c>
      <c r="B51" t="s">
        <v>554</v>
      </c>
      <c r="C51">
        <v>0.98898299999999995</v>
      </c>
      <c r="D51">
        <v>1369</v>
      </c>
      <c r="E51">
        <v>5205</v>
      </c>
      <c r="F51">
        <v>164</v>
      </c>
      <c r="G51">
        <v>908650</v>
      </c>
      <c r="H51">
        <v>38.6</v>
      </c>
      <c r="I51">
        <v>1590</v>
      </c>
      <c r="J51">
        <v>10489</v>
      </c>
      <c r="K51">
        <v>107</v>
      </c>
      <c r="L51">
        <v>1194676</v>
      </c>
      <c r="M51">
        <v>50.8</v>
      </c>
      <c r="N51">
        <v>1043</v>
      </c>
      <c r="O51">
        <v>493</v>
      </c>
      <c r="P51">
        <v>62</v>
      </c>
      <c r="Q51">
        <v>32536</v>
      </c>
      <c r="R51">
        <v>1.4</v>
      </c>
      <c r="S51">
        <v>1174</v>
      </c>
      <c r="T51">
        <v>57</v>
      </c>
      <c r="U51">
        <v>50</v>
      </c>
      <c r="V51">
        <v>3034</v>
      </c>
      <c r="W51">
        <v>0.1</v>
      </c>
      <c r="X51">
        <v>1258</v>
      </c>
      <c r="Y51">
        <v>25</v>
      </c>
      <c r="Z51">
        <v>50</v>
      </c>
      <c r="AA51">
        <v>1331</v>
      </c>
      <c r="AB51">
        <v>0.1</v>
      </c>
      <c r="AC51">
        <v>1458</v>
      </c>
      <c r="AD51">
        <v>1117</v>
      </c>
      <c r="AE51">
        <v>64</v>
      </c>
      <c r="AF51">
        <v>76097</v>
      </c>
      <c r="AG51">
        <v>3.2</v>
      </c>
      <c r="AH51">
        <v>1502</v>
      </c>
      <c r="AI51">
        <v>1665</v>
      </c>
      <c r="AJ51">
        <v>58</v>
      </c>
      <c r="AK51">
        <v>102796</v>
      </c>
      <c r="AL51">
        <v>4.4000000000000004</v>
      </c>
      <c r="AM51">
        <v>1584</v>
      </c>
      <c r="AN51">
        <v>459</v>
      </c>
      <c r="AO51">
        <v>50</v>
      </c>
      <c r="AP51">
        <v>24430</v>
      </c>
      <c r="AQ51">
        <v>1</v>
      </c>
      <c r="AR51">
        <v>1716</v>
      </c>
      <c r="AS51">
        <v>151</v>
      </c>
      <c r="AT51">
        <v>50</v>
      </c>
      <c r="AU51">
        <v>8037</v>
      </c>
      <c r="AV51">
        <v>0.3</v>
      </c>
    </row>
    <row r="52" spans="1:48">
      <c r="A52" t="s">
        <v>555</v>
      </c>
      <c r="B52" t="s">
        <v>556</v>
      </c>
      <c r="C52">
        <v>0.96871200000000002</v>
      </c>
      <c r="D52">
        <v>1365</v>
      </c>
      <c r="E52">
        <v>1221</v>
      </c>
      <c r="F52">
        <v>196</v>
      </c>
      <c r="G52">
        <v>254744</v>
      </c>
      <c r="H52">
        <v>46.9</v>
      </c>
      <c r="I52">
        <v>1594</v>
      </c>
      <c r="J52">
        <v>1853</v>
      </c>
      <c r="K52">
        <v>103</v>
      </c>
      <c r="L52">
        <v>203163</v>
      </c>
      <c r="M52">
        <v>37.4</v>
      </c>
      <c r="N52">
        <v>1049</v>
      </c>
      <c r="O52">
        <v>99</v>
      </c>
      <c r="P52">
        <v>198</v>
      </c>
      <c r="Q52">
        <v>20866</v>
      </c>
      <c r="R52">
        <v>3.8</v>
      </c>
      <c r="S52">
        <v>1172</v>
      </c>
      <c r="T52">
        <v>165</v>
      </c>
      <c r="U52">
        <v>68</v>
      </c>
      <c r="V52">
        <v>11943</v>
      </c>
      <c r="W52">
        <v>2.2000000000000002</v>
      </c>
      <c r="X52">
        <v>1250</v>
      </c>
      <c r="Y52">
        <v>1</v>
      </c>
      <c r="Z52">
        <v>50</v>
      </c>
      <c r="AA52">
        <v>53</v>
      </c>
      <c r="AB52">
        <v>0</v>
      </c>
      <c r="AC52">
        <v>1458</v>
      </c>
      <c r="AD52">
        <v>139</v>
      </c>
      <c r="AE52">
        <v>64</v>
      </c>
      <c r="AF52">
        <v>9469</v>
      </c>
      <c r="AG52">
        <v>1.7</v>
      </c>
      <c r="AH52">
        <v>1494</v>
      </c>
      <c r="AI52">
        <v>249</v>
      </c>
      <c r="AJ52">
        <v>50</v>
      </c>
      <c r="AK52">
        <v>13253</v>
      </c>
      <c r="AL52">
        <v>2.4</v>
      </c>
      <c r="AM52">
        <v>1598</v>
      </c>
      <c r="AN52">
        <v>19</v>
      </c>
      <c r="AO52">
        <v>50</v>
      </c>
      <c r="AP52">
        <v>1011</v>
      </c>
      <c r="AQ52">
        <v>0.2</v>
      </c>
      <c r="AR52">
        <v>1724</v>
      </c>
      <c r="AS52">
        <v>283</v>
      </c>
      <c r="AT52">
        <v>96</v>
      </c>
      <c r="AU52">
        <v>28919</v>
      </c>
      <c r="AV52">
        <v>5.3</v>
      </c>
    </row>
    <row r="53" spans="1:48">
      <c r="A53" t="s">
        <v>557</v>
      </c>
      <c r="B53" t="s">
        <v>558</v>
      </c>
      <c r="C53">
        <v>0.98928000000000005</v>
      </c>
      <c r="D53">
        <v>1365</v>
      </c>
      <c r="E53">
        <v>12823</v>
      </c>
      <c r="F53">
        <v>198</v>
      </c>
      <c r="G53">
        <v>2702633</v>
      </c>
      <c r="H53">
        <v>44.1</v>
      </c>
      <c r="I53">
        <v>1588</v>
      </c>
      <c r="J53">
        <v>17131</v>
      </c>
      <c r="K53">
        <v>139</v>
      </c>
      <c r="L53">
        <v>2534718</v>
      </c>
      <c r="M53">
        <v>41.3</v>
      </c>
      <c r="N53">
        <v>1073</v>
      </c>
      <c r="O53">
        <v>1195</v>
      </c>
      <c r="P53">
        <v>144</v>
      </c>
      <c r="Q53">
        <v>183173</v>
      </c>
      <c r="R53">
        <v>3</v>
      </c>
      <c r="S53">
        <v>1184</v>
      </c>
      <c r="T53">
        <v>2945</v>
      </c>
      <c r="U53">
        <v>114</v>
      </c>
      <c r="V53">
        <v>357374</v>
      </c>
      <c r="W53">
        <v>5.8</v>
      </c>
      <c r="X53">
        <v>1250</v>
      </c>
      <c r="Y53">
        <v>345</v>
      </c>
      <c r="Z53">
        <v>50</v>
      </c>
      <c r="AA53">
        <v>18362</v>
      </c>
      <c r="AB53">
        <v>0.3</v>
      </c>
      <c r="AC53">
        <v>1450</v>
      </c>
      <c r="AD53">
        <v>1475</v>
      </c>
      <c r="AE53">
        <v>50</v>
      </c>
      <c r="AF53">
        <v>78504</v>
      </c>
      <c r="AG53">
        <v>1.3</v>
      </c>
      <c r="AH53">
        <v>1490</v>
      </c>
      <c r="AI53">
        <v>1511</v>
      </c>
      <c r="AJ53">
        <v>52</v>
      </c>
      <c r="AK53">
        <v>83637</v>
      </c>
      <c r="AL53">
        <v>1.4</v>
      </c>
      <c r="AM53">
        <v>1578</v>
      </c>
      <c r="AN53">
        <v>997</v>
      </c>
      <c r="AO53">
        <v>50</v>
      </c>
      <c r="AP53">
        <v>53064</v>
      </c>
      <c r="AQ53">
        <v>0.9</v>
      </c>
      <c r="AR53">
        <v>1748</v>
      </c>
      <c r="AS53">
        <v>1163</v>
      </c>
      <c r="AT53">
        <v>98</v>
      </c>
      <c r="AU53">
        <v>121322</v>
      </c>
      <c r="AV53">
        <v>2</v>
      </c>
    </row>
    <row r="54" spans="1:48">
      <c r="A54" t="s">
        <v>559</v>
      </c>
      <c r="B54" t="s">
        <v>560</v>
      </c>
      <c r="C54">
        <v>0.96522200000000002</v>
      </c>
      <c r="D54">
        <v>1359</v>
      </c>
      <c r="E54">
        <v>2279</v>
      </c>
      <c r="F54">
        <v>100</v>
      </c>
      <c r="G54">
        <v>242592</v>
      </c>
      <c r="H54">
        <v>28.8</v>
      </c>
      <c r="I54">
        <v>1592</v>
      </c>
      <c r="J54">
        <v>6827</v>
      </c>
      <c r="K54">
        <v>69</v>
      </c>
      <c r="L54">
        <v>501431</v>
      </c>
      <c r="M54">
        <v>59.6</v>
      </c>
      <c r="N54">
        <v>975</v>
      </c>
      <c r="O54">
        <v>1</v>
      </c>
      <c r="P54">
        <v>50</v>
      </c>
      <c r="Q54">
        <v>53</v>
      </c>
      <c r="R54">
        <v>0</v>
      </c>
      <c r="S54">
        <v>1150</v>
      </c>
      <c r="T54">
        <v>1</v>
      </c>
      <c r="U54">
        <v>50</v>
      </c>
      <c r="V54">
        <v>53</v>
      </c>
      <c r="W54">
        <v>0</v>
      </c>
      <c r="X54">
        <v>1298</v>
      </c>
      <c r="Y54">
        <v>65</v>
      </c>
      <c r="Z54">
        <v>50</v>
      </c>
      <c r="AA54">
        <v>3460</v>
      </c>
      <c r="AB54">
        <v>0.4</v>
      </c>
      <c r="AC54">
        <v>1458</v>
      </c>
      <c r="AD54">
        <v>87</v>
      </c>
      <c r="AE54">
        <v>174</v>
      </c>
      <c r="AF54">
        <v>16114</v>
      </c>
      <c r="AG54">
        <v>1.9</v>
      </c>
      <c r="AH54">
        <v>1532</v>
      </c>
      <c r="AI54">
        <v>1213</v>
      </c>
      <c r="AJ54">
        <v>54</v>
      </c>
      <c r="AK54">
        <v>69725</v>
      </c>
      <c r="AL54">
        <v>8.3000000000000007</v>
      </c>
      <c r="AM54">
        <v>1598</v>
      </c>
      <c r="AN54">
        <v>141</v>
      </c>
      <c r="AO54">
        <v>50</v>
      </c>
      <c r="AP54">
        <v>7504</v>
      </c>
      <c r="AQ54">
        <v>0.9</v>
      </c>
      <c r="AR54">
        <v>1748</v>
      </c>
      <c r="AS54">
        <v>1</v>
      </c>
      <c r="AT54">
        <v>198</v>
      </c>
      <c r="AU54">
        <v>211</v>
      </c>
      <c r="AV54">
        <v>0</v>
      </c>
    </row>
    <row r="55" spans="1:48">
      <c r="A55" t="s">
        <v>561</v>
      </c>
      <c r="B55" t="s">
        <v>562</v>
      </c>
      <c r="C55">
        <v>0.96090200000000003</v>
      </c>
      <c r="D55">
        <v>1365</v>
      </c>
      <c r="E55">
        <v>949</v>
      </c>
      <c r="F55">
        <v>192</v>
      </c>
      <c r="G55">
        <v>193954</v>
      </c>
      <c r="H55">
        <v>44.2</v>
      </c>
      <c r="I55">
        <v>1594</v>
      </c>
      <c r="J55">
        <v>1625</v>
      </c>
      <c r="K55">
        <v>91</v>
      </c>
      <c r="L55">
        <v>157408</v>
      </c>
      <c r="M55">
        <v>35.9</v>
      </c>
      <c r="N55">
        <v>1029</v>
      </c>
      <c r="O55">
        <v>221</v>
      </c>
      <c r="P55">
        <v>198</v>
      </c>
      <c r="Q55">
        <v>46579</v>
      </c>
      <c r="R55">
        <v>10.6</v>
      </c>
      <c r="S55">
        <v>1172</v>
      </c>
      <c r="T55">
        <v>227</v>
      </c>
      <c r="U55">
        <v>70</v>
      </c>
      <c r="V55">
        <v>16914</v>
      </c>
      <c r="W55">
        <v>3.9</v>
      </c>
      <c r="X55">
        <v>1250</v>
      </c>
      <c r="Y55">
        <v>5</v>
      </c>
      <c r="Z55">
        <v>50</v>
      </c>
      <c r="AA55">
        <v>266</v>
      </c>
      <c r="AB55">
        <v>0.1</v>
      </c>
      <c r="AC55">
        <v>1458</v>
      </c>
      <c r="AD55">
        <v>61</v>
      </c>
      <c r="AE55">
        <v>58</v>
      </c>
      <c r="AF55">
        <v>3766</v>
      </c>
      <c r="AG55">
        <v>0.9</v>
      </c>
      <c r="AH55">
        <v>1496</v>
      </c>
      <c r="AI55">
        <v>173</v>
      </c>
      <c r="AJ55">
        <v>52</v>
      </c>
      <c r="AK55">
        <v>9576</v>
      </c>
      <c r="AL55">
        <v>2.2000000000000002</v>
      </c>
      <c r="AM55">
        <v>1598</v>
      </c>
      <c r="AN55">
        <v>35</v>
      </c>
      <c r="AO55">
        <v>50</v>
      </c>
      <c r="AP55">
        <v>1863</v>
      </c>
      <c r="AQ55">
        <v>0.4</v>
      </c>
      <c r="AR55">
        <v>1700</v>
      </c>
      <c r="AS55">
        <v>135</v>
      </c>
      <c r="AT55">
        <v>58</v>
      </c>
      <c r="AU55">
        <v>8335</v>
      </c>
      <c r="AV55">
        <v>1.9</v>
      </c>
    </row>
    <row r="56" spans="1:48">
      <c r="A56" t="s">
        <v>563</v>
      </c>
      <c r="B56" t="s">
        <v>558</v>
      </c>
      <c r="C56">
        <v>0.98928000000000005</v>
      </c>
      <c r="D56">
        <v>1365</v>
      </c>
      <c r="E56">
        <v>12823</v>
      </c>
      <c r="F56">
        <v>198</v>
      </c>
      <c r="G56">
        <v>2702633</v>
      </c>
      <c r="H56">
        <v>44.1</v>
      </c>
      <c r="I56">
        <v>1588</v>
      </c>
      <c r="J56">
        <v>17131</v>
      </c>
      <c r="K56">
        <v>139</v>
      </c>
      <c r="L56">
        <v>2534718</v>
      </c>
      <c r="M56">
        <v>41.3</v>
      </c>
      <c r="N56">
        <v>1073</v>
      </c>
      <c r="O56">
        <v>1195</v>
      </c>
      <c r="P56">
        <v>144</v>
      </c>
      <c r="Q56">
        <v>183173</v>
      </c>
      <c r="R56">
        <v>3</v>
      </c>
      <c r="S56">
        <v>1184</v>
      </c>
      <c r="T56">
        <v>2945</v>
      </c>
      <c r="U56">
        <v>114</v>
      </c>
      <c r="V56">
        <v>357374</v>
      </c>
      <c r="W56">
        <v>5.8</v>
      </c>
      <c r="X56">
        <v>1250</v>
      </c>
      <c r="Y56">
        <v>345</v>
      </c>
      <c r="Z56">
        <v>50</v>
      </c>
      <c r="AA56">
        <v>18362</v>
      </c>
      <c r="AB56">
        <v>0.3</v>
      </c>
      <c r="AC56">
        <v>1450</v>
      </c>
      <c r="AD56">
        <v>1475</v>
      </c>
      <c r="AE56">
        <v>50</v>
      </c>
      <c r="AF56">
        <v>78504</v>
      </c>
      <c r="AG56">
        <v>1.3</v>
      </c>
      <c r="AH56">
        <v>1490</v>
      </c>
      <c r="AI56">
        <v>1511</v>
      </c>
      <c r="AJ56">
        <v>52</v>
      </c>
      <c r="AK56">
        <v>83637</v>
      </c>
      <c r="AL56">
        <v>1.4</v>
      </c>
      <c r="AM56">
        <v>1578</v>
      </c>
      <c r="AN56">
        <v>997</v>
      </c>
      <c r="AO56">
        <v>50</v>
      </c>
      <c r="AP56">
        <v>53064</v>
      </c>
      <c r="AQ56">
        <v>0.9</v>
      </c>
      <c r="AR56">
        <v>1748</v>
      </c>
      <c r="AS56">
        <v>1163</v>
      </c>
      <c r="AT56">
        <v>98</v>
      </c>
      <c r="AU56">
        <v>121322</v>
      </c>
      <c r="AV56">
        <v>2</v>
      </c>
    </row>
    <row r="57" spans="1:48">
      <c r="A57" t="s">
        <v>564</v>
      </c>
      <c r="B57" t="s">
        <v>565</v>
      </c>
      <c r="C57">
        <v>0.99145899999999998</v>
      </c>
      <c r="D57">
        <v>1369</v>
      </c>
      <c r="E57">
        <v>7277</v>
      </c>
      <c r="F57">
        <v>188</v>
      </c>
      <c r="G57">
        <v>1456272</v>
      </c>
      <c r="H57">
        <v>43.9</v>
      </c>
      <c r="I57">
        <v>1588</v>
      </c>
      <c r="J57">
        <v>14065</v>
      </c>
      <c r="K57">
        <v>97</v>
      </c>
      <c r="L57">
        <v>1452258</v>
      </c>
      <c r="M57">
        <v>43.8</v>
      </c>
      <c r="N57">
        <v>1069</v>
      </c>
      <c r="O57">
        <v>31</v>
      </c>
      <c r="P57">
        <v>50</v>
      </c>
      <c r="Q57">
        <v>1650</v>
      </c>
      <c r="R57">
        <v>0</v>
      </c>
      <c r="S57">
        <v>1166</v>
      </c>
      <c r="T57">
        <v>283</v>
      </c>
      <c r="U57">
        <v>50</v>
      </c>
      <c r="V57">
        <v>15062</v>
      </c>
      <c r="W57">
        <v>0.5</v>
      </c>
      <c r="X57">
        <v>1250</v>
      </c>
      <c r="Y57">
        <v>1</v>
      </c>
      <c r="Z57">
        <v>50</v>
      </c>
      <c r="AA57">
        <v>53</v>
      </c>
      <c r="AB57">
        <v>0</v>
      </c>
      <c r="AC57">
        <v>1452</v>
      </c>
      <c r="AD57">
        <v>1247</v>
      </c>
      <c r="AE57">
        <v>76</v>
      </c>
      <c r="AF57">
        <v>100882</v>
      </c>
      <c r="AG57">
        <v>3</v>
      </c>
      <c r="AH57">
        <v>1516</v>
      </c>
      <c r="AI57">
        <v>2903</v>
      </c>
      <c r="AJ57">
        <v>76</v>
      </c>
      <c r="AK57">
        <v>234851</v>
      </c>
      <c r="AL57">
        <v>7.1</v>
      </c>
      <c r="AM57">
        <v>1596</v>
      </c>
      <c r="AN57">
        <v>765</v>
      </c>
      <c r="AO57">
        <v>50</v>
      </c>
      <c r="AP57">
        <v>40716</v>
      </c>
      <c r="AQ57">
        <v>1.2</v>
      </c>
      <c r="AR57">
        <v>1700</v>
      </c>
      <c r="AS57">
        <v>323</v>
      </c>
      <c r="AT57">
        <v>50</v>
      </c>
      <c r="AU57">
        <v>17191</v>
      </c>
      <c r="AV57">
        <v>0.5</v>
      </c>
    </row>
    <row r="58" spans="1:48">
      <c r="A58" t="s">
        <v>566</v>
      </c>
      <c r="B58" t="s">
        <v>567</v>
      </c>
      <c r="C58">
        <v>0.98568199999999995</v>
      </c>
      <c r="D58">
        <v>1365</v>
      </c>
      <c r="E58">
        <v>6349</v>
      </c>
      <c r="F58">
        <v>196</v>
      </c>
      <c r="G58">
        <v>1324627</v>
      </c>
      <c r="H58">
        <v>53.1</v>
      </c>
      <c r="I58">
        <v>1586</v>
      </c>
      <c r="J58">
        <v>6349</v>
      </c>
      <c r="K58">
        <v>125</v>
      </c>
      <c r="L58">
        <v>844788</v>
      </c>
      <c r="M58">
        <v>33.799999999999997</v>
      </c>
      <c r="N58">
        <v>1073</v>
      </c>
      <c r="O58">
        <v>481</v>
      </c>
      <c r="P58">
        <v>130</v>
      </c>
      <c r="Q58">
        <v>66561</v>
      </c>
      <c r="R58">
        <v>2.7</v>
      </c>
      <c r="S58">
        <v>1172</v>
      </c>
      <c r="T58">
        <v>1105</v>
      </c>
      <c r="U58">
        <v>102</v>
      </c>
      <c r="V58">
        <v>119976</v>
      </c>
      <c r="W58">
        <v>4.8</v>
      </c>
      <c r="X58">
        <v>1250</v>
      </c>
      <c r="Y58">
        <v>35</v>
      </c>
      <c r="Z58">
        <v>50</v>
      </c>
      <c r="AA58">
        <v>1863</v>
      </c>
      <c r="AB58">
        <v>0.1</v>
      </c>
      <c r="AC58">
        <v>1458</v>
      </c>
      <c r="AD58">
        <v>147</v>
      </c>
      <c r="AE58">
        <v>50</v>
      </c>
      <c r="AF58">
        <v>7824</v>
      </c>
      <c r="AG58">
        <v>0.3</v>
      </c>
      <c r="AH58">
        <v>1494</v>
      </c>
      <c r="AI58">
        <v>701</v>
      </c>
      <c r="AJ58">
        <v>50</v>
      </c>
      <c r="AK58">
        <v>37310</v>
      </c>
      <c r="AL58">
        <v>1.5</v>
      </c>
      <c r="AM58">
        <v>1580</v>
      </c>
      <c r="AN58">
        <v>745</v>
      </c>
      <c r="AO58">
        <v>50</v>
      </c>
      <c r="AP58">
        <v>39651</v>
      </c>
      <c r="AQ58">
        <v>1.6</v>
      </c>
      <c r="AR58">
        <v>1746</v>
      </c>
      <c r="AS58">
        <v>577</v>
      </c>
      <c r="AT58">
        <v>88</v>
      </c>
      <c r="AU58">
        <v>54049</v>
      </c>
      <c r="AV58">
        <v>2.2000000000000002</v>
      </c>
    </row>
    <row r="59" spans="1:48">
      <c r="A59" t="s">
        <v>568</v>
      </c>
      <c r="B59" t="s">
        <v>569</v>
      </c>
      <c r="C59">
        <v>0.99388399999999999</v>
      </c>
      <c r="D59">
        <v>1365</v>
      </c>
      <c r="E59">
        <v>24173</v>
      </c>
      <c r="F59">
        <v>198</v>
      </c>
      <c r="G59">
        <v>5094810</v>
      </c>
      <c r="H59">
        <v>45.5</v>
      </c>
      <c r="I59">
        <v>1584</v>
      </c>
      <c r="J59">
        <v>31529</v>
      </c>
      <c r="K59">
        <v>137</v>
      </c>
      <c r="L59">
        <v>4597937</v>
      </c>
      <c r="M59">
        <v>41</v>
      </c>
      <c r="N59">
        <v>1073</v>
      </c>
      <c r="O59">
        <v>1565</v>
      </c>
      <c r="P59">
        <v>130</v>
      </c>
      <c r="Q59">
        <v>216566</v>
      </c>
      <c r="R59">
        <v>1.9</v>
      </c>
      <c r="S59">
        <v>1176</v>
      </c>
      <c r="T59">
        <v>4545</v>
      </c>
      <c r="U59">
        <v>104</v>
      </c>
      <c r="V59">
        <v>503152</v>
      </c>
      <c r="W59">
        <v>4.5</v>
      </c>
      <c r="X59">
        <v>1250</v>
      </c>
      <c r="Y59">
        <v>587</v>
      </c>
      <c r="Z59">
        <v>50</v>
      </c>
      <c r="AA59">
        <v>31242</v>
      </c>
      <c r="AB59">
        <v>0.3</v>
      </c>
      <c r="AC59">
        <v>1448</v>
      </c>
      <c r="AD59">
        <v>2723</v>
      </c>
      <c r="AE59">
        <v>50</v>
      </c>
      <c r="AF59">
        <v>144927</v>
      </c>
      <c r="AG59">
        <v>1.3</v>
      </c>
      <c r="AH59">
        <v>1486</v>
      </c>
      <c r="AI59">
        <v>2769</v>
      </c>
      <c r="AJ59">
        <v>50</v>
      </c>
      <c r="AK59">
        <v>147375</v>
      </c>
      <c r="AL59">
        <v>1.3</v>
      </c>
      <c r="AM59">
        <v>1588</v>
      </c>
      <c r="AN59">
        <v>3519</v>
      </c>
      <c r="AO59">
        <v>50</v>
      </c>
      <c r="AP59">
        <v>187293</v>
      </c>
      <c r="AQ59">
        <v>1.7</v>
      </c>
      <c r="AR59">
        <v>1748</v>
      </c>
      <c r="AS59">
        <v>2705</v>
      </c>
      <c r="AT59">
        <v>98</v>
      </c>
      <c r="AU59">
        <v>282180</v>
      </c>
      <c r="AV59">
        <v>2.5</v>
      </c>
    </row>
    <row r="60" spans="1:48">
      <c r="A60" t="s">
        <v>570</v>
      </c>
      <c r="B60" t="s">
        <v>95</v>
      </c>
      <c r="C60">
        <v>0.98743199999999998</v>
      </c>
      <c r="D60">
        <v>1365</v>
      </c>
      <c r="E60">
        <v>9195</v>
      </c>
      <c r="F60">
        <v>198</v>
      </c>
      <c r="G60">
        <v>1937979</v>
      </c>
      <c r="H60">
        <v>48.8</v>
      </c>
      <c r="I60">
        <v>1588</v>
      </c>
      <c r="J60">
        <v>10147</v>
      </c>
      <c r="K60">
        <v>129</v>
      </c>
      <c r="L60">
        <v>1393348</v>
      </c>
      <c r="M60">
        <v>35.1</v>
      </c>
      <c r="N60">
        <v>1073</v>
      </c>
      <c r="O60">
        <v>913</v>
      </c>
      <c r="P60">
        <v>146</v>
      </c>
      <c r="Q60">
        <v>141891</v>
      </c>
      <c r="R60">
        <v>3.6</v>
      </c>
      <c r="S60">
        <v>1186</v>
      </c>
      <c r="T60">
        <v>1999</v>
      </c>
      <c r="U60">
        <v>124</v>
      </c>
      <c r="V60">
        <v>263856</v>
      </c>
      <c r="W60">
        <v>6.6</v>
      </c>
      <c r="X60">
        <v>1282</v>
      </c>
      <c r="Y60">
        <v>205</v>
      </c>
      <c r="Z60">
        <v>60</v>
      </c>
      <c r="AA60">
        <v>13093</v>
      </c>
      <c r="AB60">
        <v>0.3</v>
      </c>
      <c r="AC60">
        <v>1458</v>
      </c>
      <c r="AD60">
        <v>247</v>
      </c>
      <c r="AE60">
        <v>50</v>
      </c>
      <c r="AF60">
        <v>13146</v>
      </c>
      <c r="AG60">
        <v>0.3</v>
      </c>
      <c r="AH60">
        <v>1490</v>
      </c>
      <c r="AI60">
        <v>1431</v>
      </c>
      <c r="AJ60">
        <v>56</v>
      </c>
      <c r="AK60">
        <v>85302</v>
      </c>
      <c r="AL60">
        <v>2.1</v>
      </c>
      <c r="AM60">
        <v>1578</v>
      </c>
      <c r="AN60">
        <v>467</v>
      </c>
      <c r="AO60">
        <v>50</v>
      </c>
      <c r="AP60">
        <v>24855</v>
      </c>
      <c r="AQ60">
        <v>0.6</v>
      </c>
      <c r="AR60">
        <v>1748</v>
      </c>
      <c r="AS60">
        <v>803</v>
      </c>
      <c r="AT60">
        <v>112</v>
      </c>
      <c r="AU60">
        <v>95734</v>
      </c>
      <c r="AV60">
        <v>2.4</v>
      </c>
    </row>
    <row r="61" spans="1:48">
      <c r="A61" t="s">
        <v>571</v>
      </c>
      <c r="B61" t="s">
        <v>572</v>
      </c>
      <c r="C61">
        <v>0.99181200000000003</v>
      </c>
      <c r="D61">
        <v>1365</v>
      </c>
      <c r="E61">
        <v>12461</v>
      </c>
      <c r="F61">
        <v>198</v>
      </c>
      <c r="G61">
        <v>2626336</v>
      </c>
      <c r="H61">
        <v>45.2</v>
      </c>
      <c r="I61">
        <v>1590</v>
      </c>
      <c r="J61">
        <v>18133</v>
      </c>
      <c r="K61">
        <v>111</v>
      </c>
      <c r="L61">
        <v>2142520</v>
      </c>
      <c r="M61">
        <v>36.9</v>
      </c>
      <c r="N61">
        <v>1073</v>
      </c>
      <c r="O61">
        <v>1049</v>
      </c>
      <c r="P61">
        <v>144</v>
      </c>
      <c r="Q61">
        <v>160794</v>
      </c>
      <c r="R61">
        <v>2.8</v>
      </c>
      <c r="S61">
        <v>1182</v>
      </c>
      <c r="T61">
        <v>2725</v>
      </c>
      <c r="U61">
        <v>110</v>
      </c>
      <c r="V61">
        <v>319074</v>
      </c>
      <c r="W61">
        <v>5.5</v>
      </c>
      <c r="X61">
        <v>1250</v>
      </c>
      <c r="Y61">
        <v>433</v>
      </c>
      <c r="Z61">
        <v>50</v>
      </c>
      <c r="AA61">
        <v>23046</v>
      </c>
      <c r="AB61">
        <v>0.4</v>
      </c>
      <c r="AC61">
        <v>1448</v>
      </c>
      <c r="AD61">
        <v>1497</v>
      </c>
      <c r="AE61">
        <v>56</v>
      </c>
      <c r="AF61">
        <v>89236</v>
      </c>
      <c r="AG61">
        <v>1.5</v>
      </c>
      <c r="AH61">
        <v>1492</v>
      </c>
      <c r="AI61">
        <v>2603</v>
      </c>
      <c r="AJ61">
        <v>52</v>
      </c>
      <c r="AK61">
        <v>144082</v>
      </c>
      <c r="AL61">
        <v>2.5</v>
      </c>
      <c r="AM61">
        <v>1596</v>
      </c>
      <c r="AN61">
        <v>965</v>
      </c>
      <c r="AO61">
        <v>50</v>
      </c>
      <c r="AP61">
        <v>51361</v>
      </c>
      <c r="AQ61">
        <v>0.9</v>
      </c>
      <c r="AR61">
        <v>1734</v>
      </c>
      <c r="AS61">
        <v>2043</v>
      </c>
      <c r="AT61">
        <v>116</v>
      </c>
      <c r="AU61">
        <v>252266</v>
      </c>
      <c r="AV61">
        <v>4.3</v>
      </c>
    </row>
    <row r="62" spans="1:48">
      <c r="A62" t="s">
        <v>573</v>
      </c>
      <c r="B62" t="s">
        <v>574</v>
      </c>
      <c r="C62">
        <v>0.99311199999999999</v>
      </c>
      <c r="D62">
        <v>1369</v>
      </c>
      <c r="E62">
        <v>4933</v>
      </c>
      <c r="F62">
        <v>124</v>
      </c>
      <c r="G62">
        <v>651126</v>
      </c>
      <c r="H62">
        <v>26.8</v>
      </c>
      <c r="I62">
        <v>1592</v>
      </c>
      <c r="J62">
        <v>15133</v>
      </c>
      <c r="K62">
        <v>89</v>
      </c>
      <c r="L62">
        <v>1433664</v>
      </c>
      <c r="M62">
        <v>59</v>
      </c>
      <c r="N62">
        <v>1073</v>
      </c>
      <c r="O62">
        <v>339</v>
      </c>
      <c r="P62">
        <v>60</v>
      </c>
      <c r="Q62">
        <v>21651</v>
      </c>
      <c r="R62">
        <v>0.9</v>
      </c>
      <c r="S62">
        <v>1150</v>
      </c>
      <c r="T62">
        <v>59</v>
      </c>
      <c r="U62">
        <v>50</v>
      </c>
      <c r="V62">
        <v>3140</v>
      </c>
      <c r="W62">
        <v>0.1</v>
      </c>
      <c r="X62">
        <v>1282</v>
      </c>
      <c r="Y62">
        <v>93</v>
      </c>
      <c r="Z62">
        <v>50</v>
      </c>
      <c r="AA62">
        <v>4950</v>
      </c>
      <c r="AB62">
        <v>0.2</v>
      </c>
      <c r="AC62">
        <v>1450</v>
      </c>
      <c r="AD62">
        <v>1735</v>
      </c>
      <c r="AE62">
        <v>82</v>
      </c>
      <c r="AF62">
        <v>151442</v>
      </c>
      <c r="AG62">
        <v>6.2</v>
      </c>
      <c r="AH62">
        <v>1506</v>
      </c>
      <c r="AI62">
        <v>1771</v>
      </c>
      <c r="AJ62">
        <v>50</v>
      </c>
      <c r="AK62">
        <v>94259</v>
      </c>
      <c r="AL62">
        <v>3.9</v>
      </c>
      <c r="AM62">
        <v>1596</v>
      </c>
      <c r="AN62">
        <v>337</v>
      </c>
      <c r="AO62">
        <v>50</v>
      </c>
      <c r="AP62">
        <v>17936</v>
      </c>
      <c r="AQ62">
        <v>0.7</v>
      </c>
      <c r="AR62">
        <v>1708</v>
      </c>
      <c r="AS62">
        <v>971</v>
      </c>
      <c r="AT62">
        <v>50</v>
      </c>
      <c r="AU62">
        <v>51680</v>
      </c>
      <c r="AV62">
        <v>2.1</v>
      </c>
    </row>
    <row r="63" spans="1:48">
      <c r="A63" t="s">
        <v>575</v>
      </c>
      <c r="B63" t="s">
        <v>123</v>
      </c>
      <c r="C63">
        <v>0.99118799999999996</v>
      </c>
      <c r="D63">
        <v>1365</v>
      </c>
      <c r="E63">
        <v>11891</v>
      </c>
      <c r="F63">
        <v>198</v>
      </c>
      <c r="G63">
        <v>2506200</v>
      </c>
      <c r="H63">
        <v>44.1</v>
      </c>
      <c r="I63">
        <v>1588</v>
      </c>
      <c r="J63">
        <v>15815</v>
      </c>
      <c r="K63">
        <v>129</v>
      </c>
      <c r="L63">
        <v>2171656</v>
      </c>
      <c r="M63">
        <v>38.200000000000003</v>
      </c>
      <c r="N63">
        <v>1073</v>
      </c>
      <c r="O63">
        <v>1271</v>
      </c>
      <c r="P63">
        <v>148</v>
      </c>
      <c r="Q63">
        <v>200235</v>
      </c>
      <c r="R63">
        <v>3.5</v>
      </c>
      <c r="S63">
        <v>1186</v>
      </c>
      <c r="T63">
        <v>2877</v>
      </c>
      <c r="U63">
        <v>116</v>
      </c>
      <c r="V63">
        <v>355247</v>
      </c>
      <c r="W63">
        <v>6.3</v>
      </c>
      <c r="X63">
        <v>1256</v>
      </c>
      <c r="Y63">
        <v>253</v>
      </c>
      <c r="Z63">
        <v>50</v>
      </c>
      <c r="AA63">
        <v>13466</v>
      </c>
      <c r="AB63">
        <v>0.2</v>
      </c>
      <c r="AC63">
        <v>1452</v>
      </c>
      <c r="AD63">
        <v>1387</v>
      </c>
      <c r="AE63">
        <v>50</v>
      </c>
      <c r="AF63">
        <v>73821</v>
      </c>
      <c r="AG63">
        <v>1.3</v>
      </c>
      <c r="AH63">
        <v>1490</v>
      </c>
      <c r="AI63">
        <v>1579</v>
      </c>
      <c r="AJ63">
        <v>50</v>
      </c>
      <c r="AK63">
        <v>84040</v>
      </c>
      <c r="AL63">
        <v>1.5</v>
      </c>
      <c r="AM63">
        <v>1588</v>
      </c>
      <c r="AN63">
        <v>1293</v>
      </c>
      <c r="AO63">
        <v>50</v>
      </c>
      <c r="AP63">
        <v>68818</v>
      </c>
      <c r="AQ63">
        <v>1.2</v>
      </c>
      <c r="AR63">
        <v>1748</v>
      </c>
      <c r="AS63">
        <v>1739</v>
      </c>
      <c r="AT63">
        <v>112</v>
      </c>
      <c r="AU63">
        <v>207324</v>
      </c>
      <c r="AV63">
        <v>3.6</v>
      </c>
    </row>
    <row r="64" spans="1:48">
      <c r="A64" t="s">
        <v>576</v>
      </c>
      <c r="B64" t="s">
        <v>577</v>
      </c>
      <c r="C64">
        <v>0.98105699999999996</v>
      </c>
      <c r="D64">
        <v>1363</v>
      </c>
      <c r="E64">
        <v>885</v>
      </c>
      <c r="F64">
        <v>198</v>
      </c>
      <c r="G64">
        <v>186527</v>
      </c>
      <c r="H64">
        <v>48.1</v>
      </c>
      <c r="I64">
        <v>1590</v>
      </c>
      <c r="J64">
        <v>1177</v>
      </c>
      <c r="K64">
        <v>111</v>
      </c>
      <c r="L64">
        <v>139069</v>
      </c>
      <c r="M64">
        <v>35.799999999999997</v>
      </c>
      <c r="N64">
        <v>1073</v>
      </c>
      <c r="O64">
        <v>77</v>
      </c>
      <c r="P64">
        <v>146</v>
      </c>
      <c r="Q64">
        <v>11967</v>
      </c>
      <c r="R64">
        <v>3.1</v>
      </c>
      <c r="S64">
        <v>1190</v>
      </c>
      <c r="T64">
        <v>185</v>
      </c>
      <c r="U64">
        <v>98</v>
      </c>
      <c r="V64">
        <v>19299</v>
      </c>
      <c r="W64">
        <v>5</v>
      </c>
      <c r="X64">
        <v>1252</v>
      </c>
      <c r="Y64">
        <v>1</v>
      </c>
      <c r="Z64">
        <v>50</v>
      </c>
      <c r="AA64">
        <v>53</v>
      </c>
      <c r="AB64">
        <v>0</v>
      </c>
      <c r="AC64">
        <v>1458</v>
      </c>
      <c r="AD64">
        <v>67</v>
      </c>
      <c r="AE64">
        <v>62</v>
      </c>
      <c r="AF64">
        <v>4422</v>
      </c>
      <c r="AG64">
        <v>1.1000000000000001</v>
      </c>
      <c r="AH64">
        <v>1492</v>
      </c>
      <c r="AI64">
        <v>161</v>
      </c>
      <c r="AJ64">
        <v>50</v>
      </c>
      <c r="AK64">
        <v>8569</v>
      </c>
      <c r="AL64">
        <v>2.2000000000000002</v>
      </c>
      <c r="AM64">
        <v>1596</v>
      </c>
      <c r="AN64">
        <v>51</v>
      </c>
      <c r="AO64">
        <v>50</v>
      </c>
      <c r="AP64">
        <v>2714</v>
      </c>
      <c r="AQ64">
        <v>0.7</v>
      </c>
      <c r="AR64">
        <v>1730</v>
      </c>
      <c r="AS64">
        <v>149</v>
      </c>
      <c r="AT64">
        <v>98</v>
      </c>
      <c r="AU64">
        <v>15543</v>
      </c>
      <c r="AV64">
        <v>4</v>
      </c>
    </row>
    <row r="65" spans="1:48">
      <c r="A65" t="s">
        <v>578</v>
      </c>
      <c r="B65" t="s">
        <v>577</v>
      </c>
      <c r="C65">
        <v>0.98105699999999996</v>
      </c>
      <c r="D65">
        <v>1363</v>
      </c>
      <c r="E65">
        <v>885</v>
      </c>
      <c r="F65">
        <v>198</v>
      </c>
      <c r="G65">
        <v>186527</v>
      </c>
      <c r="H65">
        <v>48.1</v>
      </c>
      <c r="I65">
        <v>1590</v>
      </c>
      <c r="J65">
        <v>1177</v>
      </c>
      <c r="K65">
        <v>111</v>
      </c>
      <c r="L65">
        <v>139069</v>
      </c>
      <c r="M65">
        <v>35.799999999999997</v>
      </c>
      <c r="N65">
        <v>1073</v>
      </c>
      <c r="O65">
        <v>77</v>
      </c>
      <c r="P65">
        <v>146</v>
      </c>
      <c r="Q65">
        <v>11967</v>
      </c>
      <c r="R65">
        <v>3.1</v>
      </c>
      <c r="S65">
        <v>1190</v>
      </c>
      <c r="T65">
        <v>185</v>
      </c>
      <c r="U65">
        <v>98</v>
      </c>
      <c r="V65">
        <v>19299</v>
      </c>
      <c r="W65">
        <v>5</v>
      </c>
      <c r="X65">
        <v>1252</v>
      </c>
      <c r="Y65">
        <v>1</v>
      </c>
      <c r="Z65">
        <v>50</v>
      </c>
      <c r="AA65">
        <v>53</v>
      </c>
      <c r="AB65">
        <v>0</v>
      </c>
      <c r="AC65">
        <v>1458</v>
      </c>
      <c r="AD65">
        <v>67</v>
      </c>
      <c r="AE65">
        <v>62</v>
      </c>
      <c r="AF65">
        <v>4422</v>
      </c>
      <c r="AG65">
        <v>1.1000000000000001</v>
      </c>
      <c r="AH65">
        <v>1492</v>
      </c>
      <c r="AI65">
        <v>161</v>
      </c>
      <c r="AJ65">
        <v>50</v>
      </c>
      <c r="AK65">
        <v>8569</v>
      </c>
      <c r="AL65">
        <v>2.2000000000000002</v>
      </c>
      <c r="AM65">
        <v>1596</v>
      </c>
      <c r="AN65">
        <v>51</v>
      </c>
      <c r="AO65">
        <v>50</v>
      </c>
      <c r="AP65">
        <v>2714</v>
      </c>
      <c r="AQ65">
        <v>0.7</v>
      </c>
      <c r="AR65">
        <v>1730</v>
      </c>
      <c r="AS65">
        <v>149</v>
      </c>
      <c r="AT65">
        <v>98</v>
      </c>
      <c r="AU65">
        <v>15543</v>
      </c>
      <c r="AV65">
        <v>4</v>
      </c>
    </row>
    <row r="66" spans="1:48">
      <c r="A66" t="s">
        <v>579</v>
      </c>
      <c r="B66" t="s">
        <v>580</v>
      </c>
      <c r="C66">
        <v>0.98827299999999996</v>
      </c>
      <c r="D66">
        <v>1365</v>
      </c>
      <c r="E66">
        <v>8643</v>
      </c>
      <c r="F66">
        <v>196</v>
      </c>
      <c r="G66">
        <v>1803237</v>
      </c>
      <c r="H66">
        <v>48.3</v>
      </c>
      <c r="I66">
        <v>1590</v>
      </c>
      <c r="J66">
        <v>12697</v>
      </c>
      <c r="K66">
        <v>111</v>
      </c>
      <c r="L66">
        <v>1500225</v>
      </c>
      <c r="M66">
        <v>40.200000000000003</v>
      </c>
      <c r="N66">
        <v>1029</v>
      </c>
      <c r="O66">
        <v>1</v>
      </c>
      <c r="P66">
        <v>50</v>
      </c>
      <c r="Q66">
        <v>53</v>
      </c>
      <c r="R66">
        <v>0</v>
      </c>
      <c r="S66">
        <v>1168</v>
      </c>
      <c r="T66">
        <v>1321</v>
      </c>
      <c r="U66">
        <v>74</v>
      </c>
      <c r="V66">
        <v>104056</v>
      </c>
      <c r="W66">
        <v>2.8</v>
      </c>
      <c r="X66">
        <v>1250</v>
      </c>
      <c r="Y66">
        <v>1</v>
      </c>
      <c r="Z66">
        <v>50</v>
      </c>
      <c r="AA66">
        <v>53</v>
      </c>
      <c r="AB66">
        <v>0</v>
      </c>
      <c r="AC66">
        <v>1454</v>
      </c>
      <c r="AD66">
        <v>1133</v>
      </c>
      <c r="AE66">
        <v>60</v>
      </c>
      <c r="AF66">
        <v>72362</v>
      </c>
      <c r="AG66">
        <v>1.9</v>
      </c>
      <c r="AH66">
        <v>1492</v>
      </c>
      <c r="AI66">
        <v>1723</v>
      </c>
      <c r="AJ66">
        <v>50</v>
      </c>
      <c r="AK66">
        <v>91704</v>
      </c>
      <c r="AL66">
        <v>2.5</v>
      </c>
      <c r="AM66">
        <v>1598</v>
      </c>
      <c r="AN66">
        <v>749</v>
      </c>
      <c r="AO66">
        <v>50</v>
      </c>
      <c r="AP66">
        <v>39864</v>
      </c>
      <c r="AQ66">
        <v>1.1000000000000001</v>
      </c>
      <c r="AR66">
        <v>1730</v>
      </c>
      <c r="AS66">
        <v>1425</v>
      </c>
      <c r="AT66">
        <v>82</v>
      </c>
      <c r="AU66">
        <v>124383</v>
      </c>
      <c r="AV66">
        <v>3.3</v>
      </c>
    </row>
    <row r="67" spans="1:48">
      <c r="A67" t="s">
        <v>581</v>
      </c>
      <c r="B67" t="s">
        <v>582</v>
      </c>
      <c r="C67">
        <v>0.95407399999999998</v>
      </c>
      <c r="D67">
        <v>1367</v>
      </c>
      <c r="E67">
        <v>1179</v>
      </c>
      <c r="F67">
        <v>186</v>
      </c>
      <c r="G67">
        <v>233431</v>
      </c>
      <c r="H67">
        <v>55.9</v>
      </c>
      <c r="I67">
        <v>1594</v>
      </c>
      <c r="J67">
        <v>1769</v>
      </c>
      <c r="K67">
        <v>81</v>
      </c>
      <c r="L67">
        <v>152526</v>
      </c>
      <c r="M67">
        <v>36.5</v>
      </c>
      <c r="N67">
        <v>1039</v>
      </c>
      <c r="O67">
        <v>39</v>
      </c>
      <c r="P67">
        <v>198</v>
      </c>
      <c r="Q67">
        <v>8220</v>
      </c>
      <c r="R67">
        <v>2</v>
      </c>
      <c r="S67">
        <v>1166</v>
      </c>
      <c r="T67">
        <v>107</v>
      </c>
      <c r="U67">
        <v>64</v>
      </c>
      <c r="V67">
        <v>7289</v>
      </c>
      <c r="W67">
        <v>1.7</v>
      </c>
      <c r="X67">
        <v>1298</v>
      </c>
      <c r="Y67">
        <v>13</v>
      </c>
      <c r="Z67">
        <v>62</v>
      </c>
      <c r="AA67">
        <v>858</v>
      </c>
      <c r="AB67">
        <v>0.2</v>
      </c>
      <c r="AC67">
        <v>1458</v>
      </c>
      <c r="AD67">
        <v>1</v>
      </c>
      <c r="AE67">
        <v>50</v>
      </c>
      <c r="AF67">
        <v>53</v>
      </c>
      <c r="AG67">
        <v>0</v>
      </c>
      <c r="AH67">
        <v>1510</v>
      </c>
      <c r="AI67">
        <v>263</v>
      </c>
      <c r="AJ67">
        <v>50</v>
      </c>
      <c r="AK67">
        <v>13998</v>
      </c>
      <c r="AL67">
        <v>3.4</v>
      </c>
      <c r="AM67">
        <v>1598</v>
      </c>
      <c r="AN67">
        <v>25</v>
      </c>
      <c r="AO67">
        <v>50</v>
      </c>
      <c r="AP67">
        <v>1331</v>
      </c>
      <c r="AQ67">
        <v>0.3</v>
      </c>
      <c r="AR67">
        <v>1700</v>
      </c>
      <c r="AS67">
        <v>1</v>
      </c>
      <c r="AT67">
        <v>50</v>
      </c>
      <c r="AU67">
        <v>53</v>
      </c>
      <c r="AV67">
        <v>0</v>
      </c>
    </row>
    <row r="68" spans="1:48">
      <c r="A68" t="s">
        <v>583</v>
      </c>
      <c r="B68" t="s">
        <v>584</v>
      </c>
      <c r="C68">
        <v>0.98311700000000002</v>
      </c>
      <c r="D68">
        <v>1367</v>
      </c>
      <c r="E68">
        <v>1677</v>
      </c>
      <c r="F68">
        <v>198</v>
      </c>
      <c r="G68">
        <v>353452</v>
      </c>
      <c r="H68">
        <v>51.2</v>
      </c>
      <c r="I68">
        <v>1592</v>
      </c>
      <c r="J68">
        <v>2153</v>
      </c>
      <c r="K68">
        <v>103</v>
      </c>
      <c r="L68">
        <v>236055</v>
      </c>
      <c r="M68">
        <v>34.200000000000003</v>
      </c>
      <c r="N68">
        <v>1073</v>
      </c>
      <c r="O68">
        <v>145</v>
      </c>
      <c r="P68">
        <v>194</v>
      </c>
      <c r="Q68">
        <v>29943</v>
      </c>
      <c r="R68">
        <v>4.3</v>
      </c>
      <c r="S68">
        <v>1180</v>
      </c>
      <c r="T68">
        <v>277</v>
      </c>
      <c r="U68">
        <v>90</v>
      </c>
      <c r="V68">
        <v>26537</v>
      </c>
      <c r="W68">
        <v>3.8</v>
      </c>
      <c r="X68">
        <v>1250</v>
      </c>
      <c r="Y68">
        <v>13</v>
      </c>
      <c r="Z68">
        <v>50</v>
      </c>
      <c r="AA68">
        <v>692</v>
      </c>
      <c r="AB68">
        <v>0.1</v>
      </c>
      <c r="AC68">
        <v>1458</v>
      </c>
      <c r="AD68">
        <v>17</v>
      </c>
      <c r="AE68">
        <v>50</v>
      </c>
      <c r="AF68">
        <v>905</v>
      </c>
      <c r="AG68">
        <v>0.1</v>
      </c>
      <c r="AH68">
        <v>1490</v>
      </c>
      <c r="AI68">
        <v>301</v>
      </c>
      <c r="AJ68">
        <v>54</v>
      </c>
      <c r="AK68">
        <v>17302</v>
      </c>
      <c r="AL68">
        <v>2.5</v>
      </c>
      <c r="AM68">
        <v>1598</v>
      </c>
      <c r="AN68">
        <v>49</v>
      </c>
      <c r="AO68">
        <v>50</v>
      </c>
      <c r="AP68">
        <v>2608</v>
      </c>
      <c r="AQ68">
        <v>0.4</v>
      </c>
      <c r="AR68">
        <v>1722</v>
      </c>
      <c r="AS68">
        <v>255</v>
      </c>
      <c r="AT68">
        <v>86</v>
      </c>
      <c r="AU68">
        <v>23344</v>
      </c>
      <c r="AV68">
        <v>3.4</v>
      </c>
    </row>
  </sheetData>
  <conditionalFormatting sqref="C2:C68">
    <cfRule type="cellIs" dxfId="1" priority="1" operator="lessThan">
      <formula>0.97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44C3-E4CA-4B3D-A71B-089B09F63F67}">
  <dimension ref="A1:AV58"/>
  <sheetViews>
    <sheetView topLeftCell="A24" workbookViewId="0">
      <selection activeCell="A2" sqref="A2:A58"/>
    </sheetView>
  </sheetViews>
  <sheetFormatPr defaultColWidth="11.5703125" defaultRowHeight="15.95"/>
  <cols>
    <col min="1" max="1" width="95.140625" style="1" bestFit="1" customWidth="1"/>
    <col min="2" max="16384" width="11.5703125" style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585</v>
      </c>
      <c r="B2" s="1" t="s">
        <v>586</v>
      </c>
      <c r="C2" s="1">
        <v>0.987479</v>
      </c>
      <c r="D2" s="1">
        <v>1369</v>
      </c>
      <c r="E2" s="1">
        <v>10809</v>
      </c>
      <c r="F2" s="1">
        <v>336</v>
      </c>
      <c r="G2" s="1">
        <v>3865957</v>
      </c>
      <c r="H2" s="1">
        <v>68.8</v>
      </c>
      <c r="I2" s="1">
        <v>1588</v>
      </c>
      <c r="J2" s="1">
        <v>13093</v>
      </c>
      <c r="K2" s="1">
        <v>106</v>
      </c>
      <c r="L2" s="1">
        <v>1477329</v>
      </c>
      <c r="M2" s="1">
        <v>26.3</v>
      </c>
      <c r="N2" s="1">
        <v>1035</v>
      </c>
      <c r="O2" s="1">
        <v>389</v>
      </c>
      <c r="P2" s="1">
        <v>51</v>
      </c>
      <c r="Q2" s="1">
        <v>21118</v>
      </c>
      <c r="R2" s="1">
        <v>0.4</v>
      </c>
      <c r="S2" s="1">
        <v>1154</v>
      </c>
      <c r="T2" s="1">
        <v>1</v>
      </c>
      <c r="U2" s="1">
        <v>1</v>
      </c>
      <c r="V2" s="1">
        <v>1</v>
      </c>
      <c r="W2" s="1">
        <v>0</v>
      </c>
      <c r="X2" s="1">
        <v>1270</v>
      </c>
      <c r="Y2" s="1">
        <v>1</v>
      </c>
      <c r="Z2" s="1">
        <v>1</v>
      </c>
      <c r="AA2" s="1">
        <v>1</v>
      </c>
      <c r="AB2" s="1">
        <v>0</v>
      </c>
      <c r="AC2" s="1">
        <v>1456</v>
      </c>
      <c r="AD2" s="1">
        <v>243</v>
      </c>
      <c r="AE2" s="1">
        <v>95</v>
      </c>
      <c r="AF2" s="1">
        <v>24573</v>
      </c>
      <c r="AG2" s="1">
        <v>0.4</v>
      </c>
      <c r="AH2" s="1">
        <v>1492</v>
      </c>
      <c r="AI2" s="1">
        <v>423</v>
      </c>
      <c r="AJ2" s="1">
        <v>43</v>
      </c>
      <c r="AK2" s="1">
        <v>19362</v>
      </c>
      <c r="AL2" s="1">
        <v>0.3</v>
      </c>
      <c r="AM2" s="1">
        <v>1592</v>
      </c>
      <c r="AN2" s="1">
        <v>305</v>
      </c>
      <c r="AO2" s="1">
        <v>15</v>
      </c>
      <c r="AP2" s="1">
        <v>4870</v>
      </c>
      <c r="AQ2" s="1">
        <v>0.1</v>
      </c>
      <c r="AR2" s="1">
        <v>1738</v>
      </c>
      <c r="AS2" s="1">
        <v>1239</v>
      </c>
      <c r="AT2" s="1">
        <v>155</v>
      </c>
      <c r="AU2" s="1">
        <v>204426</v>
      </c>
      <c r="AV2" s="1">
        <v>3.6</v>
      </c>
    </row>
    <row r="3" spans="1:48">
      <c r="A3" s="1" t="s">
        <v>587</v>
      </c>
      <c r="B3" s="1" t="s">
        <v>588</v>
      </c>
      <c r="C3" s="1">
        <v>0.99059600000000003</v>
      </c>
      <c r="D3" s="1">
        <v>1369</v>
      </c>
      <c r="E3" s="1">
        <v>14261</v>
      </c>
      <c r="F3" s="1">
        <v>336</v>
      </c>
      <c r="G3" s="1">
        <v>5100602</v>
      </c>
      <c r="H3" s="1">
        <v>68.099999999999994</v>
      </c>
      <c r="I3" s="1">
        <v>1588</v>
      </c>
      <c r="J3" s="1">
        <v>18185</v>
      </c>
      <c r="K3" s="1">
        <v>104</v>
      </c>
      <c r="L3" s="1">
        <v>2013163</v>
      </c>
      <c r="M3" s="1">
        <v>26.9</v>
      </c>
      <c r="N3" s="1">
        <v>1035</v>
      </c>
      <c r="O3" s="1">
        <v>611</v>
      </c>
      <c r="P3" s="1">
        <v>71</v>
      </c>
      <c r="Q3" s="1">
        <v>46178</v>
      </c>
      <c r="R3" s="1">
        <v>0.6</v>
      </c>
      <c r="S3" s="1">
        <v>1154</v>
      </c>
      <c r="T3" s="1">
        <v>1</v>
      </c>
      <c r="U3" s="1">
        <v>1</v>
      </c>
      <c r="V3" s="1">
        <v>1</v>
      </c>
      <c r="W3" s="1">
        <v>0</v>
      </c>
      <c r="X3" s="1">
        <v>1270</v>
      </c>
      <c r="Y3" s="1">
        <v>1</v>
      </c>
      <c r="Z3" s="1">
        <v>1</v>
      </c>
      <c r="AA3" s="1">
        <v>1</v>
      </c>
      <c r="AB3" s="1">
        <v>0</v>
      </c>
      <c r="AC3" s="1">
        <v>1456</v>
      </c>
      <c r="AD3" s="1">
        <v>311</v>
      </c>
      <c r="AE3" s="1">
        <v>101</v>
      </c>
      <c r="AF3" s="1">
        <v>33436</v>
      </c>
      <c r="AG3" s="1">
        <v>0.4</v>
      </c>
      <c r="AH3" s="1">
        <v>1500</v>
      </c>
      <c r="AI3" s="1">
        <v>483</v>
      </c>
      <c r="AJ3" s="1">
        <v>39</v>
      </c>
      <c r="AK3" s="1">
        <v>20051</v>
      </c>
      <c r="AL3" s="1">
        <v>0.3</v>
      </c>
      <c r="AM3" s="1">
        <v>1598</v>
      </c>
      <c r="AN3" s="1">
        <v>589</v>
      </c>
      <c r="AO3" s="1">
        <v>17</v>
      </c>
      <c r="AP3" s="1">
        <v>10659</v>
      </c>
      <c r="AQ3" s="1">
        <v>0.1</v>
      </c>
      <c r="AR3" s="1">
        <v>1734</v>
      </c>
      <c r="AS3" s="1">
        <v>1871</v>
      </c>
      <c r="AT3" s="1">
        <v>133</v>
      </c>
      <c r="AU3" s="1">
        <v>264885</v>
      </c>
      <c r="AV3" s="1">
        <v>3.5</v>
      </c>
    </row>
    <row r="4" spans="1:48">
      <c r="A4" s="1" t="s">
        <v>589</v>
      </c>
      <c r="B4" s="1" t="s">
        <v>588</v>
      </c>
      <c r="C4" s="1">
        <v>0.99059600000000003</v>
      </c>
      <c r="D4" s="1">
        <v>1369</v>
      </c>
      <c r="E4" s="1">
        <v>14261</v>
      </c>
      <c r="F4" s="1">
        <v>336</v>
      </c>
      <c r="G4" s="1">
        <v>5100602</v>
      </c>
      <c r="H4" s="1">
        <v>68.099999999999994</v>
      </c>
      <c r="I4" s="1">
        <v>1588</v>
      </c>
      <c r="J4" s="1">
        <v>18185</v>
      </c>
      <c r="K4" s="1">
        <v>104</v>
      </c>
      <c r="L4" s="1">
        <v>2013163</v>
      </c>
      <c r="M4" s="1">
        <v>26.9</v>
      </c>
      <c r="N4" s="1">
        <v>1035</v>
      </c>
      <c r="O4" s="1">
        <v>611</v>
      </c>
      <c r="P4" s="1">
        <v>71</v>
      </c>
      <c r="Q4" s="1">
        <v>46178</v>
      </c>
      <c r="R4" s="1">
        <v>0.6</v>
      </c>
      <c r="S4" s="1">
        <v>1154</v>
      </c>
      <c r="T4" s="1">
        <v>1</v>
      </c>
      <c r="U4" s="1">
        <v>1</v>
      </c>
      <c r="V4" s="1">
        <v>1</v>
      </c>
      <c r="W4" s="1">
        <v>0</v>
      </c>
      <c r="X4" s="1">
        <v>1270</v>
      </c>
      <c r="Y4" s="1">
        <v>1</v>
      </c>
      <c r="Z4" s="1">
        <v>1</v>
      </c>
      <c r="AA4" s="1">
        <v>1</v>
      </c>
      <c r="AB4" s="1">
        <v>0</v>
      </c>
      <c r="AC4" s="1">
        <v>1456</v>
      </c>
      <c r="AD4" s="1">
        <v>311</v>
      </c>
      <c r="AE4" s="1">
        <v>101</v>
      </c>
      <c r="AF4" s="1">
        <v>33436</v>
      </c>
      <c r="AG4" s="1">
        <v>0.4</v>
      </c>
      <c r="AH4" s="1">
        <v>1500</v>
      </c>
      <c r="AI4" s="1">
        <v>483</v>
      </c>
      <c r="AJ4" s="1">
        <v>39</v>
      </c>
      <c r="AK4" s="1">
        <v>20051</v>
      </c>
      <c r="AL4" s="1">
        <v>0.3</v>
      </c>
      <c r="AM4" s="1">
        <v>1598</v>
      </c>
      <c r="AN4" s="1">
        <v>589</v>
      </c>
      <c r="AO4" s="1">
        <v>17</v>
      </c>
      <c r="AP4" s="1">
        <v>10659</v>
      </c>
      <c r="AQ4" s="1">
        <v>0.1</v>
      </c>
      <c r="AR4" s="1">
        <v>1734</v>
      </c>
      <c r="AS4" s="1">
        <v>1871</v>
      </c>
      <c r="AT4" s="1">
        <v>133</v>
      </c>
      <c r="AU4" s="1">
        <v>264885</v>
      </c>
      <c r="AV4" s="1">
        <v>3.5</v>
      </c>
    </row>
    <row r="5" spans="1:48">
      <c r="A5" s="1" t="s">
        <v>590</v>
      </c>
      <c r="B5" s="1" t="s">
        <v>591</v>
      </c>
      <c r="C5" s="1">
        <v>0.98953000000000002</v>
      </c>
      <c r="D5" s="1">
        <v>1369</v>
      </c>
      <c r="E5" s="1">
        <v>13359</v>
      </c>
      <c r="F5" s="1">
        <v>338</v>
      </c>
      <c r="G5" s="1">
        <v>4806433</v>
      </c>
      <c r="H5" s="1">
        <v>68.400000000000006</v>
      </c>
      <c r="I5" s="1">
        <v>1588</v>
      </c>
      <c r="J5" s="1">
        <v>17109</v>
      </c>
      <c r="K5" s="1">
        <v>104</v>
      </c>
      <c r="L5" s="1">
        <v>1894045</v>
      </c>
      <c r="M5" s="1">
        <v>26.9</v>
      </c>
      <c r="N5" s="1">
        <v>1035</v>
      </c>
      <c r="O5" s="1">
        <v>533</v>
      </c>
      <c r="P5" s="1">
        <v>55</v>
      </c>
      <c r="Q5" s="1">
        <v>31205</v>
      </c>
      <c r="R5" s="1">
        <v>0.4</v>
      </c>
      <c r="S5" s="1">
        <v>1154</v>
      </c>
      <c r="T5" s="1">
        <v>1</v>
      </c>
      <c r="U5" s="1">
        <v>1</v>
      </c>
      <c r="V5" s="1">
        <v>1</v>
      </c>
      <c r="W5" s="1">
        <v>0</v>
      </c>
      <c r="X5" s="1">
        <v>1270</v>
      </c>
      <c r="Y5" s="1">
        <v>1</v>
      </c>
      <c r="Z5" s="1">
        <v>1</v>
      </c>
      <c r="AA5" s="1">
        <v>1</v>
      </c>
      <c r="AB5" s="1">
        <v>0</v>
      </c>
      <c r="AC5" s="1">
        <v>1456</v>
      </c>
      <c r="AD5" s="1">
        <v>237</v>
      </c>
      <c r="AE5" s="1">
        <v>103</v>
      </c>
      <c r="AF5" s="1">
        <v>25985</v>
      </c>
      <c r="AG5" s="1">
        <v>0.4</v>
      </c>
      <c r="AH5" s="1">
        <v>1496</v>
      </c>
      <c r="AI5" s="1">
        <v>577</v>
      </c>
      <c r="AJ5" s="1">
        <v>43</v>
      </c>
      <c r="AK5" s="1">
        <v>26410</v>
      </c>
      <c r="AL5" s="1">
        <v>0.4</v>
      </c>
      <c r="AM5" s="1">
        <v>1584</v>
      </c>
      <c r="AN5" s="1">
        <v>807</v>
      </c>
      <c r="AO5" s="1">
        <v>3</v>
      </c>
      <c r="AP5" s="1">
        <v>2577</v>
      </c>
      <c r="AQ5" s="1">
        <v>0</v>
      </c>
      <c r="AR5" s="1">
        <v>1740</v>
      </c>
      <c r="AS5" s="1">
        <v>1533</v>
      </c>
      <c r="AT5" s="1">
        <v>149</v>
      </c>
      <c r="AU5" s="1">
        <v>243142</v>
      </c>
      <c r="AV5" s="1">
        <v>3.5</v>
      </c>
    </row>
    <row r="6" spans="1:48">
      <c r="A6" s="1" t="s">
        <v>592</v>
      </c>
      <c r="B6" s="1" t="s">
        <v>320</v>
      </c>
      <c r="C6" s="1">
        <v>0.99155499999999996</v>
      </c>
      <c r="D6" s="1">
        <v>1369</v>
      </c>
      <c r="E6" s="1">
        <v>11223</v>
      </c>
      <c r="F6" s="1">
        <v>340</v>
      </c>
      <c r="G6" s="1">
        <v>4061815</v>
      </c>
      <c r="H6" s="1">
        <v>67.900000000000006</v>
      </c>
      <c r="I6" s="1">
        <v>1584</v>
      </c>
      <c r="J6" s="1">
        <v>12747</v>
      </c>
      <c r="K6" s="1">
        <v>124</v>
      </c>
      <c r="L6" s="1">
        <v>1682526</v>
      </c>
      <c r="M6" s="1">
        <v>28.1</v>
      </c>
      <c r="N6" s="1">
        <v>1061</v>
      </c>
      <c r="O6" s="1">
        <v>341</v>
      </c>
      <c r="P6" s="1">
        <v>55</v>
      </c>
      <c r="Q6" s="1">
        <v>19964</v>
      </c>
      <c r="R6" s="1">
        <v>0.3</v>
      </c>
      <c r="S6" s="1">
        <v>1154</v>
      </c>
      <c r="T6" s="1">
        <v>1</v>
      </c>
      <c r="U6" s="1">
        <v>1</v>
      </c>
      <c r="V6" s="1">
        <v>1</v>
      </c>
      <c r="W6" s="1">
        <v>0</v>
      </c>
      <c r="X6" s="1">
        <v>1270</v>
      </c>
      <c r="Y6" s="1">
        <v>1</v>
      </c>
      <c r="Z6" s="1">
        <v>1</v>
      </c>
      <c r="AA6" s="1">
        <v>1</v>
      </c>
      <c r="AB6" s="1">
        <v>0</v>
      </c>
      <c r="AC6" s="1">
        <v>1456</v>
      </c>
      <c r="AD6" s="1">
        <v>637</v>
      </c>
      <c r="AE6" s="1">
        <v>59</v>
      </c>
      <c r="AF6" s="1">
        <v>40006</v>
      </c>
      <c r="AG6" s="1">
        <v>0.7</v>
      </c>
      <c r="AH6" s="1">
        <v>1496</v>
      </c>
      <c r="AI6" s="1">
        <v>1</v>
      </c>
      <c r="AJ6" s="1">
        <v>17</v>
      </c>
      <c r="AK6" s="1">
        <v>18</v>
      </c>
      <c r="AL6" s="1">
        <v>0</v>
      </c>
      <c r="AM6" s="1">
        <v>1596</v>
      </c>
      <c r="AN6" s="1">
        <v>575</v>
      </c>
      <c r="AO6" s="1">
        <v>21</v>
      </c>
      <c r="AP6" s="1">
        <v>12853</v>
      </c>
      <c r="AQ6" s="1">
        <v>0.2</v>
      </c>
      <c r="AR6" s="1">
        <v>1748</v>
      </c>
      <c r="AS6" s="1">
        <v>1095</v>
      </c>
      <c r="AT6" s="1">
        <v>139</v>
      </c>
      <c r="AU6" s="1">
        <v>162017</v>
      </c>
      <c r="AV6" s="1">
        <v>2.7</v>
      </c>
    </row>
    <row r="7" spans="1:48">
      <c r="A7" s="1" t="s">
        <v>593</v>
      </c>
      <c r="B7" s="1" t="s">
        <v>594</v>
      </c>
      <c r="C7" s="1">
        <v>0.98895100000000002</v>
      </c>
      <c r="D7" s="1">
        <v>1369</v>
      </c>
      <c r="E7" s="1">
        <v>13081</v>
      </c>
      <c r="F7" s="1">
        <v>344</v>
      </c>
      <c r="G7" s="1">
        <v>4789957</v>
      </c>
      <c r="H7" s="1">
        <v>68.3</v>
      </c>
      <c r="I7" s="1">
        <v>1586</v>
      </c>
      <c r="J7" s="1">
        <v>15793</v>
      </c>
      <c r="K7" s="1">
        <v>116</v>
      </c>
      <c r="L7" s="1">
        <v>1950091</v>
      </c>
      <c r="M7" s="1">
        <v>27.8</v>
      </c>
      <c r="N7" s="1">
        <v>1051</v>
      </c>
      <c r="O7" s="1">
        <v>293</v>
      </c>
      <c r="P7" s="1">
        <v>47</v>
      </c>
      <c r="Q7" s="1">
        <v>14659</v>
      </c>
      <c r="R7" s="1">
        <v>0.2</v>
      </c>
      <c r="S7" s="1">
        <v>1154</v>
      </c>
      <c r="T7" s="1">
        <v>1</v>
      </c>
      <c r="U7" s="1">
        <v>1</v>
      </c>
      <c r="V7" s="1">
        <v>1</v>
      </c>
      <c r="W7" s="1">
        <v>0</v>
      </c>
      <c r="X7" s="1">
        <v>1270</v>
      </c>
      <c r="Y7" s="1">
        <v>1</v>
      </c>
      <c r="Z7" s="1">
        <v>1</v>
      </c>
      <c r="AA7" s="1">
        <v>1</v>
      </c>
      <c r="AB7" s="1">
        <v>0</v>
      </c>
      <c r="AC7" s="1">
        <v>1456</v>
      </c>
      <c r="AD7" s="1">
        <v>751</v>
      </c>
      <c r="AE7" s="1">
        <v>53</v>
      </c>
      <c r="AF7" s="1">
        <v>42369</v>
      </c>
      <c r="AG7" s="1">
        <v>0.6</v>
      </c>
      <c r="AH7" s="1">
        <v>1498</v>
      </c>
      <c r="AI7" s="1">
        <v>263</v>
      </c>
      <c r="AJ7" s="1">
        <v>29</v>
      </c>
      <c r="AK7" s="1">
        <v>8119</v>
      </c>
      <c r="AL7" s="1">
        <v>0.1</v>
      </c>
      <c r="AM7" s="1">
        <v>1592</v>
      </c>
      <c r="AN7" s="1">
        <v>191</v>
      </c>
      <c r="AO7" s="1">
        <v>3</v>
      </c>
      <c r="AP7" s="1">
        <v>610</v>
      </c>
      <c r="AQ7" s="1">
        <v>0</v>
      </c>
      <c r="AR7" s="1">
        <v>1746</v>
      </c>
      <c r="AS7" s="1">
        <v>1389</v>
      </c>
      <c r="AT7" s="1">
        <v>137</v>
      </c>
      <c r="AU7" s="1">
        <v>202561</v>
      </c>
      <c r="AV7" s="1">
        <v>2.9</v>
      </c>
    </row>
    <row r="8" spans="1:48">
      <c r="A8" s="1" t="s">
        <v>595</v>
      </c>
      <c r="B8" s="1" t="s">
        <v>596</v>
      </c>
      <c r="C8" s="1">
        <v>0.99091499999999999</v>
      </c>
      <c r="D8" s="1">
        <v>1369</v>
      </c>
      <c r="E8" s="1">
        <v>7425</v>
      </c>
      <c r="F8" s="1">
        <v>338</v>
      </c>
      <c r="G8" s="1">
        <v>2671440</v>
      </c>
      <c r="H8" s="1">
        <v>69</v>
      </c>
      <c r="I8" s="1">
        <v>1584</v>
      </c>
      <c r="J8" s="1">
        <v>8557</v>
      </c>
      <c r="K8" s="1">
        <v>116</v>
      </c>
      <c r="L8" s="1">
        <v>1056603</v>
      </c>
      <c r="M8" s="1">
        <v>27.3</v>
      </c>
      <c r="N8" s="1">
        <v>1037</v>
      </c>
      <c r="O8" s="1">
        <v>319</v>
      </c>
      <c r="P8" s="1">
        <v>61</v>
      </c>
      <c r="Q8" s="1">
        <v>20713</v>
      </c>
      <c r="R8" s="1">
        <v>0.5</v>
      </c>
      <c r="S8" s="1">
        <v>1154</v>
      </c>
      <c r="T8" s="1">
        <v>1</v>
      </c>
      <c r="U8" s="1">
        <v>1</v>
      </c>
      <c r="V8" s="1">
        <v>1</v>
      </c>
      <c r="W8" s="1">
        <v>0</v>
      </c>
      <c r="X8" s="1">
        <v>1270</v>
      </c>
      <c r="Y8" s="1">
        <v>1</v>
      </c>
      <c r="Z8" s="1">
        <v>1</v>
      </c>
      <c r="AA8" s="1">
        <v>1</v>
      </c>
      <c r="AB8" s="1">
        <v>0</v>
      </c>
      <c r="AC8" s="1">
        <v>1456</v>
      </c>
      <c r="AD8" s="1">
        <v>387</v>
      </c>
      <c r="AE8" s="1">
        <v>67</v>
      </c>
      <c r="AF8" s="1">
        <v>27601</v>
      </c>
      <c r="AG8" s="1">
        <v>0.7</v>
      </c>
      <c r="AH8" s="1">
        <v>1496</v>
      </c>
      <c r="AI8" s="1">
        <v>223</v>
      </c>
      <c r="AJ8" s="1">
        <v>39</v>
      </c>
      <c r="AK8" s="1">
        <v>9258</v>
      </c>
      <c r="AL8" s="1">
        <v>0.2</v>
      </c>
      <c r="AM8" s="1">
        <v>1596</v>
      </c>
      <c r="AN8" s="1">
        <v>41</v>
      </c>
      <c r="AO8" s="1">
        <v>21</v>
      </c>
      <c r="AP8" s="1">
        <v>917</v>
      </c>
      <c r="AQ8" s="1">
        <v>0</v>
      </c>
      <c r="AR8" s="1">
        <v>1734</v>
      </c>
      <c r="AS8" s="1">
        <v>779</v>
      </c>
      <c r="AT8" s="1">
        <v>103</v>
      </c>
      <c r="AU8" s="1">
        <v>85410</v>
      </c>
      <c r="AV8" s="1">
        <v>2.2000000000000002</v>
      </c>
    </row>
    <row r="9" spans="1:48">
      <c r="A9" s="1" t="s">
        <v>597</v>
      </c>
      <c r="B9" s="1" t="s">
        <v>598</v>
      </c>
      <c r="C9" s="1">
        <v>0.99125700000000005</v>
      </c>
      <c r="D9" s="1">
        <v>1369</v>
      </c>
      <c r="E9" s="1">
        <v>6353</v>
      </c>
      <c r="F9" s="1">
        <v>318</v>
      </c>
      <c r="G9" s="1">
        <v>2150494</v>
      </c>
      <c r="H9" s="1">
        <v>68.7</v>
      </c>
      <c r="I9" s="1">
        <v>1592</v>
      </c>
      <c r="J9" s="1">
        <v>7577</v>
      </c>
      <c r="K9" s="1">
        <v>100</v>
      </c>
      <c r="L9" s="1">
        <v>806547</v>
      </c>
      <c r="M9" s="1">
        <v>25.8</v>
      </c>
      <c r="N9" s="1">
        <v>1031</v>
      </c>
      <c r="O9" s="1">
        <v>255</v>
      </c>
      <c r="P9" s="1">
        <v>57</v>
      </c>
      <c r="Q9" s="1">
        <v>15472</v>
      </c>
      <c r="R9" s="1">
        <v>0.5</v>
      </c>
      <c r="S9" s="1">
        <v>1152</v>
      </c>
      <c r="T9" s="1">
        <v>129</v>
      </c>
      <c r="U9" s="1">
        <v>1</v>
      </c>
      <c r="V9" s="1">
        <v>137</v>
      </c>
      <c r="W9" s="1">
        <v>0</v>
      </c>
      <c r="X9" s="1">
        <v>1270</v>
      </c>
      <c r="Y9" s="1">
        <v>1</v>
      </c>
      <c r="Z9" s="1">
        <v>1</v>
      </c>
      <c r="AA9" s="1">
        <v>1</v>
      </c>
      <c r="AB9" s="1">
        <v>0</v>
      </c>
      <c r="AC9" s="1">
        <v>1402</v>
      </c>
      <c r="AD9" s="1">
        <v>5</v>
      </c>
      <c r="AE9" s="1">
        <v>1</v>
      </c>
      <c r="AF9" s="1">
        <v>5</v>
      </c>
      <c r="AG9" s="1">
        <v>0</v>
      </c>
      <c r="AH9" s="1">
        <v>1500</v>
      </c>
      <c r="AI9" s="1">
        <v>183</v>
      </c>
      <c r="AJ9" s="1">
        <v>33</v>
      </c>
      <c r="AK9" s="1">
        <v>6428</v>
      </c>
      <c r="AL9" s="1">
        <v>0.2</v>
      </c>
      <c r="AM9" s="1">
        <v>1594</v>
      </c>
      <c r="AN9" s="1">
        <v>995</v>
      </c>
      <c r="AO9" s="1">
        <v>31</v>
      </c>
      <c r="AP9" s="1">
        <v>32833</v>
      </c>
      <c r="AQ9" s="1">
        <v>1</v>
      </c>
      <c r="AR9" s="1">
        <v>1730</v>
      </c>
      <c r="AS9" s="1">
        <v>817</v>
      </c>
      <c r="AT9" s="1">
        <v>135</v>
      </c>
      <c r="AU9" s="1">
        <v>117405</v>
      </c>
      <c r="AV9" s="1">
        <v>3.8</v>
      </c>
    </row>
    <row r="10" spans="1:48">
      <c r="A10" s="1" t="s">
        <v>599</v>
      </c>
      <c r="B10" s="1" t="s">
        <v>600</v>
      </c>
      <c r="C10" s="1">
        <v>0.99158599999999997</v>
      </c>
      <c r="D10" s="1">
        <v>1369</v>
      </c>
      <c r="E10" s="1">
        <v>6167</v>
      </c>
      <c r="F10" s="1">
        <v>328</v>
      </c>
      <c r="G10" s="1">
        <v>2153178</v>
      </c>
      <c r="H10" s="1">
        <v>70.3</v>
      </c>
      <c r="I10" s="1">
        <v>1590</v>
      </c>
      <c r="J10" s="1">
        <v>7095</v>
      </c>
      <c r="K10" s="1">
        <v>100</v>
      </c>
      <c r="L10" s="1">
        <v>755239</v>
      </c>
      <c r="M10" s="1">
        <v>24.7</v>
      </c>
      <c r="N10" s="1">
        <v>1039</v>
      </c>
      <c r="O10" s="1">
        <v>219</v>
      </c>
      <c r="P10" s="1">
        <v>75</v>
      </c>
      <c r="Q10" s="1">
        <v>17484</v>
      </c>
      <c r="R10" s="1">
        <v>0.6</v>
      </c>
      <c r="S10" s="1">
        <v>1154</v>
      </c>
      <c r="T10" s="1">
        <v>1</v>
      </c>
      <c r="U10" s="1">
        <v>1</v>
      </c>
      <c r="V10" s="1">
        <v>1</v>
      </c>
      <c r="W10" s="1">
        <v>0</v>
      </c>
      <c r="X10" s="1">
        <v>1270</v>
      </c>
      <c r="Y10" s="1">
        <v>1</v>
      </c>
      <c r="Z10" s="1">
        <v>1</v>
      </c>
      <c r="AA10" s="1">
        <v>1</v>
      </c>
      <c r="AB10" s="1">
        <v>0</v>
      </c>
      <c r="AC10" s="1">
        <v>1400</v>
      </c>
      <c r="AD10" s="1">
        <v>91</v>
      </c>
      <c r="AE10" s="1">
        <v>1</v>
      </c>
      <c r="AF10" s="1">
        <v>97</v>
      </c>
      <c r="AG10" s="1">
        <v>0</v>
      </c>
      <c r="AH10" s="1">
        <v>1500</v>
      </c>
      <c r="AI10" s="1">
        <v>217</v>
      </c>
      <c r="AJ10" s="1">
        <v>35</v>
      </c>
      <c r="AK10" s="1">
        <v>8085</v>
      </c>
      <c r="AL10" s="1">
        <v>0.3</v>
      </c>
      <c r="AM10" s="1">
        <v>1596</v>
      </c>
      <c r="AN10" s="1">
        <v>433</v>
      </c>
      <c r="AO10" s="1">
        <v>25</v>
      </c>
      <c r="AP10" s="1">
        <v>11523</v>
      </c>
      <c r="AQ10" s="1">
        <v>0.4</v>
      </c>
      <c r="AR10" s="1">
        <v>1736</v>
      </c>
      <c r="AS10" s="1">
        <v>659</v>
      </c>
      <c r="AT10" s="1">
        <v>167</v>
      </c>
      <c r="AU10" s="1">
        <v>117148</v>
      </c>
      <c r="AV10" s="1">
        <v>3.8</v>
      </c>
    </row>
    <row r="11" spans="1:48">
      <c r="A11" s="1" t="s">
        <v>601</v>
      </c>
      <c r="B11" s="1" t="s">
        <v>602</v>
      </c>
      <c r="C11" s="1">
        <v>0.98763100000000004</v>
      </c>
      <c r="D11" s="1">
        <v>1369</v>
      </c>
      <c r="E11" s="1">
        <v>7161</v>
      </c>
      <c r="F11" s="1">
        <v>326</v>
      </c>
      <c r="G11" s="1">
        <v>2484983</v>
      </c>
      <c r="H11" s="1">
        <v>68.5</v>
      </c>
      <c r="I11" s="1">
        <v>1590</v>
      </c>
      <c r="J11" s="1">
        <v>8819</v>
      </c>
      <c r="K11" s="1">
        <v>102</v>
      </c>
      <c r="L11" s="1">
        <v>957529</v>
      </c>
      <c r="M11" s="1">
        <v>26.4</v>
      </c>
      <c r="N11" s="1">
        <v>1031</v>
      </c>
      <c r="O11" s="1">
        <v>253</v>
      </c>
      <c r="P11" s="1">
        <v>67</v>
      </c>
      <c r="Q11" s="1">
        <v>18044</v>
      </c>
      <c r="R11" s="1">
        <v>0.5</v>
      </c>
      <c r="S11" s="1">
        <v>1154</v>
      </c>
      <c r="T11" s="1">
        <v>1</v>
      </c>
      <c r="U11" s="1">
        <v>1</v>
      </c>
      <c r="V11" s="1">
        <v>1</v>
      </c>
      <c r="W11" s="1">
        <v>0</v>
      </c>
      <c r="X11" s="1">
        <v>1270</v>
      </c>
      <c r="Y11" s="1">
        <v>1</v>
      </c>
      <c r="Z11" s="1">
        <v>1</v>
      </c>
      <c r="AA11" s="1">
        <v>1</v>
      </c>
      <c r="AB11" s="1">
        <v>0</v>
      </c>
      <c r="AC11" s="1">
        <v>1440</v>
      </c>
      <c r="AD11" s="1">
        <v>3</v>
      </c>
      <c r="AE11" s="1">
        <v>143</v>
      </c>
      <c r="AF11" s="1">
        <v>457</v>
      </c>
      <c r="AG11" s="1">
        <v>0</v>
      </c>
      <c r="AH11" s="1">
        <v>1500</v>
      </c>
      <c r="AI11" s="1">
        <v>345</v>
      </c>
      <c r="AJ11" s="1">
        <v>29</v>
      </c>
      <c r="AK11" s="1">
        <v>10650</v>
      </c>
      <c r="AL11" s="1">
        <v>0.3</v>
      </c>
      <c r="AM11" s="1">
        <v>1598</v>
      </c>
      <c r="AN11" s="1">
        <v>707</v>
      </c>
      <c r="AO11" s="1">
        <v>25</v>
      </c>
      <c r="AP11" s="1">
        <v>18814</v>
      </c>
      <c r="AQ11" s="1">
        <v>0.5</v>
      </c>
      <c r="AR11" s="1">
        <v>1730</v>
      </c>
      <c r="AS11" s="1">
        <v>935</v>
      </c>
      <c r="AT11" s="1">
        <v>137</v>
      </c>
      <c r="AU11" s="1">
        <v>136353</v>
      </c>
      <c r="AV11" s="1">
        <v>3.8</v>
      </c>
    </row>
    <row r="12" spans="1:48">
      <c r="A12" s="1" t="s">
        <v>603</v>
      </c>
      <c r="B12" s="1" t="s">
        <v>604</v>
      </c>
      <c r="C12" s="1">
        <v>0.99044100000000002</v>
      </c>
      <c r="D12" s="1">
        <v>1369</v>
      </c>
      <c r="E12" s="1">
        <v>10381</v>
      </c>
      <c r="F12" s="1">
        <v>342</v>
      </c>
      <c r="G12" s="1">
        <v>3779179</v>
      </c>
      <c r="H12" s="1">
        <v>70.5</v>
      </c>
      <c r="I12" s="1">
        <v>1588</v>
      </c>
      <c r="J12" s="1">
        <v>12297</v>
      </c>
      <c r="K12" s="1">
        <v>102</v>
      </c>
      <c r="L12" s="1">
        <v>1335155</v>
      </c>
      <c r="M12" s="1">
        <v>24.9</v>
      </c>
      <c r="N12" s="1">
        <v>1025</v>
      </c>
      <c r="O12" s="1">
        <v>401</v>
      </c>
      <c r="P12" s="1">
        <v>59</v>
      </c>
      <c r="Q12" s="1">
        <v>25184</v>
      </c>
      <c r="R12" s="1">
        <v>0.5</v>
      </c>
      <c r="S12" s="1">
        <v>1154</v>
      </c>
      <c r="T12" s="1">
        <v>1</v>
      </c>
      <c r="U12" s="1">
        <v>1</v>
      </c>
      <c r="V12" s="1">
        <v>1</v>
      </c>
      <c r="W12" s="1">
        <v>0</v>
      </c>
      <c r="X12" s="1">
        <v>1270</v>
      </c>
      <c r="Y12" s="1">
        <v>1</v>
      </c>
      <c r="Z12" s="1">
        <v>1</v>
      </c>
      <c r="AA12" s="1">
        <v>1</v>
      </c>
      <c r="AB12" s="1">
        <v>0</v>
      </c>
      <c r="AC12" s="1">
        <v>1456</v>
      </c>
      <c r="AD12" s="1">
        <v>373</v>
      </c>
      <c r="AE12" s="1">
        <v>5</v>
      </c>
      <c r="AF12" s="1">
        <v>1985</v>
      </c>
      <c r="AG12" s="1">
        <v>0</v>
      </c>
      <c r="AH12" s="1">
        <v>1500</v>
      </c>
      <c r="AI12" s="1">
        <v>293</v>
      </c>
      <c r="AJ12" s="1">
        <v>27</v>
      </c>
      <c r="AK12" s="1">
        <v>8421</v>
      </c>
      <c r="AL12" s="1">
        <v>0.2</v>
      </c>
      <c r="AM12" s="1">
        <v>1598</v>
      </c>
      <c r="AN12" s="1">
        <v>1309</v>
      </c>
      <c r="AO12" s="1">
        <v>31</v>
      </c>
      <c r="AP12" s="1">
        <v>43195</v>
      </c>
      <c r="AQ12" s="1">
        <v>0.8</v>
      </c>
      <c r="AR12" s="1">
        <v>1734</v>
      </c>
      <c r="AS12" s="1">
        <v>1089</v>
      </c>
      <c r="AT12" s="1">
        <v>143</v>
      </c>
      <c r="AU12" s="1">
        <v>165766</v>
      </c>
      <c r="AV12" s="1">
        <v>3.1</v>
      </c>
    </row>
    <row r="13" spans="1:48">
      <c r="A13" s="1" t="s">
        <v>605</v>
      </c>
      <c r="B13" s="1" t="s">
        <v>606</v>
      </c>
      <c r="C13" s="1">
        <v>0.974746</v>
      </c>
      <c r="D13" s="1">
        <v>1369</v>
      </c>
      <c r="E13" s="1">
        <v>8341</v>
      </c>
      <c r="F13" s="1">
        <v>316</v>
      </c>
      <c r="G13" s="1">
        <v>2805675</v>
      </c>
      <c r="H13" s="1">
        <v>69.2</v>
      </c>
      <c r="I13" s="1">
        <v>1592</v>
      </c>
      <c r="J13" s="1">
        <v>9983</v>
      </c>
      <c r="K13" s="1">
        <v>102</v>
      </c>
      <c r="L13" s="1">
        <v>1083911</v>
      </c>
      <c r="M13" s="1">
        <v>26.7</v>
      </c>
      <c r="N13" s="1">
        <v>1037</v>
      </c>
      <c r="O13" s="1">
        <v>333</v>
      </c>
      <c r="P13" s="1">
        <v>77</v>
      </c>
      <c r="Q13" s="1">
        <v>27294</v>
      </c>
      <c r="R13" s="1">
        <v>0.7</v>
      </c>
      <c r="S13" s="1">
        <v>1154</v>
      </c>
      <c r="T13" s="1">
        <v>1</v>
      </c>
      <c r="U13" s="1">
        <v>1</v>
      </c>
      <c r="V13" s="1">
        <v>1</v>
      </c>
      <c r="W13" s="1">
        <v>0</v>
      </c>
      <c r="X13" s="1">
        <v>1270</v>
      </c>
      <c r="Y13" s="1">
        <v>1</v>
      </c>
      <c r="Z13" s="1">
        <v>1</v>
      </c>
      <c r="AA13" s="1">
        <v>1</v>
      </c>
      <c r="AB13" s="1">
        <v>0</v>
      </c>
      <c r="AC13" s="1">
        <v>1428</v>
      </c>
      <c r="AD13" s="1">
        <v>139</v>
      </c>
      <c r="AE13" s="1">
        <v>1</v>
      </c>
      <c r="AF13" s="1">
        <v>148</v>
      </c>
      <c r="AG13" s="1">
        <v>0</v>
      </c>
      <c r="AH13" s="1">
        <v>1500</v>
      </c>
      <c r="AI13" s="1">
        <v>457</v>
      </c>
      <c r="AJ13" s="1">
        <v>29</v>
      </c>
      <c r="AK13" s="1">
        <v>14107</v>
      </c>
      <c r="AL13" s="1">
        <v>0.3</v>
      </c>
      <c r="AM13" s="1">
        <v>1596</v>
      </c>
      <c r="AN13" s="1">
        <v>281</v>
      </c>
      <c r="AO13" s="1">
        <v>27</v>
      </c>
      <c r="AP13" s="1">
        <v>8076</v>
      </c>
      <c r="AQ13" s="1">
        <v>0.2</v>
      </c>
      <c r="AR13" s="1">
        <v>1728</v>
      </c>
      <c r="AS13" s="1">
        <v>1005</v>
      </c>
      <c r="AT13" s="1">
        <v>107</v>
      </c>
      <c r="AU13" s="1">
        <v>114467</v>
      </c>
      <c r="AV13" s="1">
        <v>2.8</v>
      </c>
    </row>
    <row r="14" spans="1:48">
      <c r="A14" s="1" t="s">
        <v>607</v>
      </c>
      <c r="B14" s="1" t="s">
        <v>608</v>
      </c>
      <c r="C14" s="1">
        <v>0.97635400000000006</v>
      </c>
      <c r="D14" s="1">
        <v>1369</v>
      </c>
      <c r="E14" s="1">
        <v>8947</v>
      </c>
      <c r="F14" s="1">
        <v>272</v>
      </c>
      <c r="G14" s="1">
        <v>2590470</v>
      </c>
      <c r="H14" s="1">
        <v>54.9</v>
      </c>
      <c r="I14" s="1">
        <v>1586</v>
      </c>
      <c r="J14" s="1">
        <v>14199</v>
      </c>
      <c r="K14" s="1">
        <v>120</v>
      </c>
      <c r="L14" s="1">
        <v>1813724</v>
      </c>
      <c r="M14" s="1">
        <v>38.5</v>
      </c>
      <c r="N14" s="1">
        <v>1013</v>
      </c>
      <c r="O14" s="1">
        <v>331</v>
      </c>
      <c r="P14" s="1">
        <v>5</v>
      </c>
      <c r="Q14" s="1">
        <v>1762</v>
      </c>
      <c r="R14" s="1">
        <v>0</v>
      </c>
      <c r="S14" s="1">
        <v>1156</v>
      </c>
      <c r="T14" s="1">
        <v>491</v>
      </c>
      <c r="U14" s="1">
        <v>3</v>
      </c>
      <c r="V14" s="1">
        <v>1568</v>
      </c>
      <c r="W14" s="1">
        <v>0</v>
      </c>
      <c r="X14" s="1">
        <v>1270</v>
      </c>
      <c r="Y14" s="1">
        <v>1</v>
      </c>
      <c r="Z14" s="1">
        <v>1</v>
      </c>
      <c r="AA14" s="1">
        <v>1</v>
      </c>
      <c r="AB14" s="1">
        <v>0</v>
      </c>
      <c r="AC14" s="1">
        <v>1456</v>
      </c>
      <c r="AD14" s="1">
        <v>1749</v>
      </c>
      <c r="AE14" s="1">
        <v>61</v>
      </c>
      <c r="AF14" s="1">
        <v>113567</v>
      </c>
      <c r="AG14" s="1">
        <v>2.4</v>
      </c>
      <c r="AH14" s="1">
        <v>1502</v>
      </c>
      <c r="AI14" s="1">
        <v>861</v>
      </c>
      <c r="AJ14" s="1">
        <v>35</v>
      </c>
      <c r="AK14" s="1">
        <v>32078</v>
      </c>
      <c r="AL14" s="1">
        <v>0.7</v>
      </c>
      <c r="AM14" s="1">
        <v>1592</v>
      </c>
      <c r="AN14" s="1">
        <v>1599</v>
      </c>
      <c r="AO14" s="1">
        <v>17</v>
      </c>
      <c r="AP14" s="1">
        <v>28935</v>
      </c>
      <c r="AQ14" s="1">
        <v>0.6</v>
      </c>
      <c r="AR14" s="1">
        <v>1748</v>
      </c>
      <c r="AS14" s="1">
        <v>1301</v>
      </c>
      <c r="AT14" s="1">
        <v>97</v>
      </c>
      <c r="AU14" s="1">
        <v>134333</v>
      </c>
      <c r="AV14" s="1">
        <v>2.8</v>
      </c>
    </row>
    <row r="15" spans="1:48">
      <c r="A15" s="1" t="s">
        <v>609</v>
      </c>
      <c r="B15" s="1" t="s">
        <v>610</v>
      </c>
      <c r="C15" s="1">
        <v>0.99164200000000002</v>
      </c>
      <c r="D15" s="1">
        <v>1369</v>
      </c>
      <c r="E15" s="1">
        <v>8701</v>
      </c>
      <c r="F15" s="1">
        <v>318</v>
      </c>
      <c r="G15" s="1">
        <v>2945293</v>
      </c>
      <c r="H15" s="1">
        <v>69.5</v>
      </c>
      <c r="I15" s="1">
        <v>1590</v>
      </c>
      <c r="J15" s="1">
        <v>10157</v>
      </c>
      <c r="K15" s="1">
        <v>102</v>
      </c>
      <c r="L15" s="1">
        <v>1102803</v>
      </c>
      <c r="M15" s="1">
        <v>26</v>
      </c>
      <c r="N15" s="1">
        <v>1055</v>
      </c>
      <c r="O15" s="1">
        <v>303</v>
      </c>
      <c r="P15" s="1">
        <v>57</v>
      </c>
      <c r="Q15" s="1">
        <v>18384</v>
      </c>
      <c r="R15" s="1">
        <v>0.4</v>
      </c>
      <c r="S15" s="1">
        <v>1156</v>
      </c>
      <c r="T15" s="1">
        <v>51</v>
      </c>
      <c r="U15" s="1">
        <v>3</v>
      </c>
      <c r="V15" s="1">
        <v>163</v>
      </c>
      <c r="W15" s="1">
        <v>0</v>
      </c>
      <c r="X15" s="1">
        <v>1270</v>
      </c>
      <c r="Y15" s="1">
        <v>1</v>
      </c>
      <c r="Z15" s="1">
        <v>1</v>
      </c>
      <c r="AA15" s="1">
        <v>1</v>
      </c>
      <c r="AB15" s="1">
        <v>0</v>
      </c>
      <c r="AC15" s="1">
        <v>1400</v>
      </c>
      <c r="AD15" s="1">
        <v>89</v>
      </c>
      <c r="AE15" s="1">
        <v>1</v>
      </c>
      <c r="AF15" s="1">
        <v>95</v>
      </c>
      <c r="AG15" s="1">
        <v>0</v>
      </c>
      <c r="AH15" s="1">
        <v>1500</v>
      </c>
      <c r="AI15" s="1">
        <v>625</v>
      </c>
      <c r="AJ15" s="1">
        <v>35</v>
      </c>
      <c r="AK15" s="1">
        <v>23285</v>
      </c>
      <c r="AL15" s="1">
        <v>0.5</v>
      </c>
      <c r="AM15" s="1">
        <v>1598</v>
      </c>
      <c r="AN15" s="1">
        <v>839</v>
      </c>
      <c r="AO15" s="1">
        <v>23</v>
      </c>
      <c r="AP15" s="1">
        <v>20541</v>
      </c>
      <c r="AQ15" s="1">
        <v>0.5</v>
      </c>
      <c r="AR15" s="1">
        <v>1740</v>
      </c>
      <c r="AS15" s="1">
        <v>767</v>
      </c>
      <c r="AT15" s="1">
        <v>159</v>
      </c>
      <c r="AU15" s="1">
        <v>129815</v>
      </c>
      <c r="AV15" s="1">
        <v>3.1</v>
      </c>
    </row>
    <row r="16" spans="1:48">
      <c r="A16" s="1" t="s">
        <v>611</v>
      </c>
      <c r="B16" s="1" t="s">
        <v>612</v>
      </c>
      <c r="C16" s="1">
        <v>0.98575100000000004</v>
      </c>
      <c r="D16" s="1">
        <v>1367</v>
      </c>
      <c r="E16" s="1">
        <v>1489</v>
      </c>
      <c r="F16" s="1">
        <v>316</v>
      </c>
      <c r="G16" s="1">
        <v>500857</v>
      </c>
      <c r="H16" s="1">
        <v>76.099999999999994</v>
      </c>
      <c r="I16" s="1">
        <v>1584</v>
      </c>
      <c r="J16" s="1">
        <v>1307</v>
      </c>
      <c r="K16" s="1">
        <v>100</v>
      </c>
      <c r="L16" s="1">
        <v>139126</v>
      </c>
      <c r="M16" s="1">
        <v>21.1</v>
      </c>
      <c r="N16" s="1">
        <v>1049</v>
      </c>
      <c r="O16" s="1">
        <v>67</v>
      </c>
      <c r="P16" s="1">
        <v>99</v>
      </c>
      <c r="Q16" s="1">
        <v>7061</v>
      </c>
      <c r="R16" s="1">
        <v>1.1000000000000001</v>
      </c>
      <c r="S16" s="1">
        <v>1150</v>
      </c>
      <c r="T16" s="1">
        <v>69</v>
      </c>
      <c r="U16" s="1">
        <v>1</v>
      </c>
      <c r="V16" s="1">
        <v>73</v>
      </c>
      <c r="W16" s="1">
        <v>0</v>
      </c>
      <c r="X16" s="1">
        <v>1296</v>
      </c>
      <c r="Y16" s="1">
        <v>31</v>
      </c>
      <c r="Z16" s="1">
        <v>5</v>
      </c>
      <c r="AA16" s="1">
        <v>165</v>
      </c>
      <c r="AB16" s="1">
        <v>0</v>
      </c>
      <c r="AC16" s="1">
        <v>1410</v>
      </c>
      <c r="AD16" s="1">
        <v>1</v>
      </c>
      <c r="AE16" s="1">
        <v>1</v>
      </c>
      <c r="AF16" s="1">
        <v>1</v>
      </c>
      <c r="AG16" s="1">
        <v>0</v>
      </c>
      <c r="AH16" s="1">
        <v>1510</v>
      </c>
      <c r="AI16" s="1">
        <v>59</v>
      </c>
      <c r="AJ16" s="1">
        <v>29</v>
      </c>
      <c r="AK16" s="1">
        <v>1821</v>
      </c>
      <c r="AL16" s="1">
        <v>0.3</v>
      </c>
      <c r="AM16" s="1">
        <v>1590</v>
      </c>
      <c r="AN16" s="1">
        <v>157</v>
      </c>
      <c r="AO16" s="1">
        <v>29</v>
      </c>
      <c r="AP16" s="1">
        <v>4847</v>
      </c>
      <c r="AQ16" s="1">
        <v>0.7</v>
      </c>
      <c r="AR16" s="1">
        <v>1700</v>
      </c>
      <c r="AS16" s="1">
        <v>85</v>
      </c>
      <c r="AT16" s="1">
        <v>43</v>
      </c>
      <c r="AU16" s="1">
        <v>3891</v>
      </c>
      <c r="AV16" s="1">
        <v>0.6</v>
      </c>
    </row>
    <row r="17" spans="1:48">
      <c r="A17" s="1" t="s">
        <v>613</v>
      </c>
      <c r="B17" s="1" t="s">
        <v>614</v>
      </c>
      <c r="C17" s="1">
        <v>0.98463999999999996</v>
      </c>
      <c r="D17" s="1">
        <v>1369</v>
      </c>
      <c r="E17" s="1">
        <v>1693</v>
      </c>
      <c r="F17" s="1">
        <v>336</v>
      </c>
      <c r="G17" s="1">
        <v>605520</v>
      </c>
      <c r="H17" s="1">
        <v>77.099999999999994</v>
      </c>
      <c r="I17" s="1">
        <v>1586</v>
      </c>
      <c r="J17" s="1">
        <v>1451</v>
      </c>
      <c r="K17" s="1">
        <v>100</v>
      </c>
      <c r="L17" s="1">
        <v>154454</v>
      </c>
      <c r="M17" s="1">
        <v>19.7</v>
      </c>
      <c r="N17" s="1">
        <v>1051</v>
      </c>
      <c r="O17" s="1">
        <v>91</v>
      </c>
      <c r="P17" s="1">
        <v>71</v>
      </c>
      <c r="Q17" s="1">
        <v>6878</v>
      </c>
      <c r="R17" s="1">
        <v>0.9</v>
      </c>
      <c r="S17" s="1">
        <v>1158</v>
      </c>
      <c r="T17" s="1">
        <v>1</v>
      </c>
      <c r="U17" s="1">
        <v>1</v>
      </c>
      <c r="V17" s="1">
        <v>1</v>
      </c>
      <c r="W17" s="1">
        <v>0</v>
      </c>
      <c r="X17" s="1">
        <v>1296</v>
      </c>
      <c r="Y17" s="1">
        <v>65</v>
      </c>
      <c r="Z17" s="1">
        <v>23</v>
      </c>
      <c r="AA17" s="1">
        <v>1591</v>
      </c>
      <c r="AB17" s="1">
        <v>0.2</v>
      </c>
      <c r="AC17" s="1">
        <v>1410</v>
      </c>
      <c r="AD17" s="1">
        <v>1</v>
      </c>
      <c r="AE17" s="1">
        <v>1</v>
      </c>
      <c r="AF17" s="1">
        <v>1</v>
      </c>
      <c r="AG17" s="1">
        <v>0</v>
      </c>
      <c r="AH17" s="1">
        <v>1500</v>
      </c>
      <c r="AI17" s="1">
        <v>81</v>
      </c>
      <c r="AJ17" s="1">
        <v>21</v>
      </c>
      <c r="AK17" s="1">
        <v>1811</v>
      </c>
      <c r="AL17" s="1">
        <v>0.2</v>
      </c>
      <c r="AM17" s="1">
        <v>1592</v>
      </c>
      <c r="AN17" s="1">
        <v>199</v>
      </c>
      <c r="AO17" s="1">
        <v>27</v>
      </c>
      <c r="AP17" s="1">
        <v>5719</v>
      </c>
      <c r="AQ17" s="1">
        <v>0.7</v>
      </c>
      <c r="AR17" s="1">
        <v>1730</v>
      </c>
      <c r="AS17" s="1">
        <v>63</v>
      </c>
      <c r="AT17" s="1">
        <v>135</v>
      </c>
      <c r="AU17" s="1">
        <v>9053</v>
      </c>
      <c r="AV17" s="1">
        <v>1.2</v>
      </c>
    </row>
    <row r="18" spans="1:48">
      <c r="A18" s="1" t="s">
        <v>615</v>
      </c>
      <c r="B18" s="1" t="s">
        <v>612</v>
      </c>
      <c r="C18" s="1">
        <v>0.98497199999999996</v>
      </c>
      <c r="D18" s="1">
        <v>1369</v>
      </c>
      <c r="E18" s="1">
        <v>1491</v>
      </c>
      <c r="F18" s="1">
        <v>318</v>
      </c>
      <c r="G18" s="1">
        <v>504704</v>
      </c>
      <c r="H18" s="1">
        <v>75.2</v>
      </c>
      <c r="I18" s="1">
        <v>1586</v>
      </c>
      <c r="J18" s="1">
        <v>1321</v>
      </c>
      <c r="K18" s="1">
        <v>100</v>
      </c>
      <c r="L18" s="1">
        <v>140616</v>
      </c>
      <c r="M18" s="1">
        <v>21</v>
      </c>
      <c r="N18" s="1">
        <v>1063</v>
      </c>
      <c r="O18" s="1">
        <v>85</v>
      </c>
      <c r="P18" s="1">
        <v>61</v>
      </c>
      <c r="Q18" s="1">
        <v>5519</v>
      </c>
      <c r="R18" s="1">
        <v>0.8</v>
      </c>
      <c r="S18" s="1">
        <v>1150</v>
      </c>
      <c r="T18" s="1">
        <v>23</v>
      </c>
      <c r="U18" s="1">
        <v>1</v>
      </c>
      <c r="V18" s="1">
        <v>24</v>
      </c>
      <c r="W18" s="1">
        <v>0</v>
      </c>
      <c r="X18" s="1">
        <v>1298</v>
      </c>
      <c r="Y18" s="1">
        <v>137</v>
      </c>
      <c r="Z18" s="1">
        <v>1</v>
      </c>
      <c r="AA18" s="1">
        <v>146</v>
      </c>
      <c r="AB18" s="1">
        <v>0</v>
      </c>
      <c r="AC18" s="1">
        <v>1410</v>
      </c>
      <c r="AD18" s="1">
        <v>1</v>
      </c>
      <c r="AE18" s="1">
        <v>1</v>
      </c>
      <c r="AF18" s="1">
        <v>1</v>
      </c>
      <c r="AG18" s="1">
        <v>0</v>
      </c>
      <c r="AH18" s="1">
        <v>1516</v>
      </c>
      <c r="AI18" s="1">
        <v>61</v>
      </c>
      <c r="AJ18" s="1">
        <v>33</v>
      </c>
      <c r="AK18" s="1">
        <v>2143</v>
      </c>
      <c r="AL18" s="1">
        <v>0.3</v>
      </c>
      <c r="AM18" s="1">
        <v>1588</v>
      </c>
      <c r="AN18" s="1">
        <v>205</v>
      </c>
      <c r="AO18" s="1">
        <v>25</v>
      </c>
      <c r="AP18" s="1">
        <v>5455</v>
      </c>
      <c r="AQ18" s="1">
        <v>0.8</v>
      </c>
      <c r="AR18" s="1">
        <v>1736</v>
      </c>
      <c r="AS18" s="1">
        <v>87</v>
      </c>
      <c r="AT18" s="1">
        <v>133</v>
      </c>
      <c r="AU18" s="1">
        <v>12317</v>
      </c>
      <c r="AV18" s="1">
        <v>1.8</v>
      </c>
    </row>
    <row r="19" spans="1:48">
      <c r="A19" s="1" t="s">
        <v>616</v>
      </c>
      <c r="B19" s="1" t="s">
        <v>617</v>
      </c>
      <c r="C19" s="1">
        <v>0.98170000000000002</v>
      </c>
      <c r="D19" s="1">
        <v>1369</v>
      </c>
      <c r="E19" s="1">
        <v>1053</v>
      </c>
      <c r="F19" s="1">
        <v>314</v>
      </c>
      <c r="G19" s="1">
        <v>351958</v>
      </c>
      <c r="H19" s="1">
        <v>74.599999999999994</v>
      </c>
      <c r="I19" s="1">
        <v>1586</v>
      </c>
      <c r="J19" s="1">
        <v>955</v>
      </c>
      <c r="K19" s="1">
        <v>100</v>
      </c>
      <c r="L19" s="1">
        <v>101657</v>
      </c>
      <c r="M19" s="1">
        <v>21.6</v>
      </c>
      <c r="N19" s="1">
        <v>1035</v>
      </c>
      <c r="O19" s="1">
        <v>67</v>
      </c>
      <c r="P19" s="1">
        <v>105</v>
      </c>
      <c r="Q19" s="1">
        <v>7489</v>
      </c>
      <c r="R19" s="1">
        <v>1.6</v>
      </c>
      <c r="S19" s="1">
        <v>1158</v>
      </c>
      <c r="T19" s="1">
        <v>13</v>
      </c>
      <c r="U19" s="1">
        <v>1</v>
      </c>
      <c r="V19" s="1">
        <v>14</v>
      </c>
      <c r="W19" s="1">
        <v>0</v>
      </c>
      <c r="X19" s="1">
        <v>1296</v>
      </c>
      <c r="Y19" s="1">
        <v>17</v>
      </c>
      <c r="Z19" s="1">
        <v>1</v>
      </c>
      <c r="AA19" s="1">
        <v>18</v>
      </c>
      <c r="AB19" s="1">
        <v>0</v>
      </c>
      <c r="AC19" s="1">
        <v>1410</v>
      </c>
      <c r="AD19" s="1">
        <v>1</v>
      </c>
      <c r="AE19" s="1">
        <v>1</v>
      </c>
      <c r="AF19" s="1">
        <v>1</v>
      </c>
      <c r="AG19" s="1">
        <v>0</v>
      </c>
      <c r="AH19" s="1">
        <v>1494</v>
      </c>
      <c r="AI19" s="1">
        <v>49</v>
      </c>
      <c r="AJ19" s="1">
        <v>13</v>
      </c>
      <c r="AK19" s="1">
        <v>678</v>
      </c>
      <c r="AL19" s="1">
        <v>0.1</v>
      </c>
      <c r="AM19" s="1">
        <v>1588</v>
      </c>
      <c r="AN19" s="1">
        <v>123</v>
      </c>
      <c r="AO19" s="1">
        <v>35</v>
      </c>
      <c r="AP19" s="1">
        <v>4583</v>
      </c>
      <c r="AQ19" s="1">
        <v>1</v>
      </c>
      <c r="AR19" s="1">
        <v>1716</v>
      </c>
      <c r="AS19" s="1">
        <v>61</v>
      </c>
      <c r="AT19" s="1">
        <v>81</v>
      </c>
      <c r="AU19" s="1">
        <v>5260</v>
      </c>
      <c r="AV19" s="1">
        <v>1.1000000000000001</v>
      </c>
    </row>
    <row r="20" spans="1:48">
      <c r="A20" s="1" t="s">
        <v>618</v>
      </c>
      <c r="B20" s="1" t="s">
        <v>619</v>
      </c>
      <c r="C20" s="1">
        <v>0.98209900000000006</v>
      </c>
      <c r="D20" s="1">
        <v>1369</v>
      </c>
      <c r="E20" s="1">
        <v>773</v>
      </c>
      <c r="F20" s="1">
        <v>298</v>
      </c>
      <c r="G20" s="1">
        <v>245204</v>
      </c>
      <c r="H20" s="1">
        <v>72.7</v>
      </c>
      <c r="I20" s="1">
        <v>1588</v>
      </c>
      <c r="J20" s="1">
        <v>749</v>
      </c>
      <c r="K20" s="1">
        <v>102</v>
      </c>
      <c r="L20" s="1">
        <v>81323</v>
      </c>
      <c r="M20" s="1">
        <v>24.1</v>
      </c>
      <c r="N20" s="1">
        <v>1053</v>
      </c>
      <c r="O20" s="1">
        <v>29</v>
      </c>
      <c r="P20" s="1">
        <v>87</v>
      </c>
      <c r="Q20" s="1">
        <v>2686</v>
      </c>
      <c r="R20" s="1">
        <v>0.8</v>
      </c>
      <c r="S20" s="1">
        <v>1160</v>
      </c>
      <c r="T20" s="1">
        <v>27</v>
      </c>
      <c r="U20" s="1">
        <v>3</v>
      </c>
      <c r="V20" s="1">
        <v>86</v>
      </c>
      <c r="W20" s="1">
        <v>0</v>
      </c>
      <c r="X20" s="1">
        <v>1296</v>
      </c>
      <c r="Y20" s="1">
        <v>29</v>
      </c>
      <c r="Z20" s="1">
        <v>1</v>
      </c>
      <c r="AA20" s="1">
        <v>31</v>
      </c>
      <c r="AB20" s="1">
        <v>0</v>
      </c>
      <c r="AC20" s="1">
        <v>1410</v>
      </c>
      <c r="AD20" s="1">
        <v>1</v>
      </c>
      <c r="AE20" s="1">
        <v>1</v>
      </c>
      <c r="AF20" s="1">
        <v>1</v>
      </c>
      <c r="AG20" s="1">
        <v>0</v>
      </c>
      <c r="AH20" s="1">
        <v>1506</v>
      </c>
      <c r="AI20" s="1">
        <v>41</v>
      </c>
      <c r="AJ20" s="1">
        <v>39</v>
      </c>
      <c r="AK20" s="1">
        <v>1702</v>
      </c>
      <c r="AL20" s="1">
        <v>0.5</v>
      </c>
      <c r="AM20" s="1">
        <v>1598</v>
      </c>
      <c r="AN20" s="1">
        <v>53</v>
      </c>
      <c r="AO20" s="1">
        <v>21</v>
      </c>
      <c r="AP20" s="1">
        <v>1185</v>
      </c>
      <c r="AQ20" s="1">
        <v>0.4</v>
      </c>
      <c r="AR20" s="1">
        <v>1720</v>
      </c>
      <c r="AS20" s="1">
        <v>69</v>
      </c>
      <c r="AT20" s="1">
        <v>67</v>
      </c>
      <c r="AU20" s="1">
        <v>4921</v>
      </c>
      <c r="AV20" s="1">
        <v>1.5</v>
      </c>
    </row>
    <row r="21" spans="1:48">
      <c r="A21" s="1" t="s">
        <v>620</v>
      </c>
      <c r="B21" s="1" t="s">
        <v>621</v>
      </c>
      <c r="C21" s="1">
        <v>0.99226599999999998</v>
      </c>
      <c r="D21" s="1">
        <v>1369</v>
      </c>
      <c r="E21" s="1">
        <v>11493</v>
      </c>
      <c r="F21" s="1">
        <v>326</v>
      </c>
      <c r="G21" s="1">
        <v>3988258</v>
      </c>
      <c r="H21" s="1">
        <v>69.5</v>
      </c>
      <c r="I21" s="1">
        <v>1590</v>
      </c>
      <c r="J21" s="1">
        <v>13409</v>
      </c>
      <c r="K21" s="1">
        <v>100</v>
      </c>
      <c r="L21" s="1">
        <v>1427344</v>
      </c>
      <c r="M21" s="1">
        <v>24.9</v>
      </c>
      <c r="N21" s="1">
        <v>1037</v>
      </c>
      <c r="O21" s="1">
        <v>441</v>
      </c>
      <c r="P21" s="1">
        <v>83</v>
      </c>
      <c r="Q21" s="1">
        <v>38963</v>
      </c>
      <c r="R21" s="1">
        <v>0.7</v>
      </c>
      <c r="S21" s="1">
        <v>1152</v>
      </c>
      <c r="T21" s="1">
        <v>5</v>
      </c>
      <c r="U21" s="1">
        <v>1</v>
      </c>
      <c r="V21" s="1">
        <v>5</v>
      </c>
      <c r="W21" s="1">
        <v>0</v>
      </c>
      <c r="X21" s="1">
        <v>1270</v>
      </c>
      <c r="Y21" s="1">
        <v>1</v>
      </c>
      <c r="Z21" s="1">
        <v>1</v>
      </c>
      <c r="AA21" s="1">
        <v>1</v>
      </c>
      <c r="AB21" s="1">
        <v>0</v>
      </c>
      <c r="AC21" s="1">
        <v>1402</v>
      </c>
      <c r="AD21" s="1">
        <v>63</v>
      </c>
      <c r="AE21" s="1">
        <v>1</v>
      </c>
      <c r="AF21" s="1">
        <v>67</v>
      </c>
      <c r="AG21" s="1">
        <v>0</v>
      </c>
      <c r="AH21" s="1">
        <v>1500</v>
      </c>
      <c r="AI21" s="1">
        <v>415</v>
      </c>
      <c r="AJ21" s="1">
        <v>27</v>
      </c>
      <c r="AK21" s="1">
        <v>11927</v>
      </c>
      <c r="AL21" s="1">
        <v>0.2</v>
      </c>
      <c r="AM21" s="1">
        <v>1598</v>
      </c>
      <c r="AN21" s="1">
        <v>1813</v>
      </c>
      <c r="AO21" s="1">
        <v>27</v>
      </c>
      <c r="AP21" s="1">
        <v>52107</v>
      </c>
      <c r="AQ21" s="1">
        <v>0.9</v>
      </c>
      <c r="AR21" s="1">
        <v>1734</v>
      </c>
      <c r="AS21" s="1">
        <v>1269</v>
      </c>
      <c r="AT21" s="1">
        <v>161</v>
      </c>
      <c r="AU21" s="1">
        <v>217480</v>
      </c>
      <c r="AV21" s="1">
        <v>3.8</v>
      </c>
    </row>
    <row r="22" spans="1:48">
      <c r="A22" s="1" t="s">
        <v>622</v>
      </c>
      <c r="B22" s="1" t="s">
        <v>490</v>
      </c>
      <c r="C22" s="1">
        <v>0.99346500000000004</v>
      </c>
      <c r="D22" s="1">
        <v>1369</v>
      </c>
      <c r="E22" s="1">
        <v>10095</v>
      </c>
      <c r="F22" s="1">
        <v>318</v>
      </c>
      <c r="G22" s="1">
        <v>3417163</v>
      </c>
      <c r="H22" s="1">
        <v>67.900000000000006</v>
      </c>
      <c r="I22" s="1">
        <v>1592</v>
      </c>
      <c r="J22" s="1">
        <v>12801</v>
      </c>
      <c r="K22" s="1">
        <v>100</v>
      </c>
      <c r="L22" s="1">
        <v>1362624</v>
      </c>
      <c r="M22" s="1">
        <v>27.1</v>
      </c>
      <c r="N22" s="1">
        <v>1057</v>
      </c>
      <c r="O22" s="1">
        <v>435</v>
      </c>
      <c r="P22" s="1">
        <v>81</v>
      </c>
      <c r="Q22" s="1">
        <v>37506</v>
      </c>
      <c r="R22" s="1">
        <v>0.7</v>
      </c>
      <c r="S22" s="1">
        <v>1156</v>
      </c>
      <c r="T22" s="1">
        <v>23</v>
      </c>
      <c r="U22" s="1">
        <v>19</v>
      </c>
      <c r="V22" s="1">
        <v>465</v>
      </c>
      <c r="W22" s="1">
        <v>0</v>
      </c>
      <c r="X22" s="1">
        <v>1270</v>
      </c>
      <c r="Y22" s="1">
        <v>1</v>
      </c>
      <c r="Z22" s="1">
        <v>1</v>
      </c>
      <c r="AA22" s="1">
        <v>1</v>
      </c>
      <c r="AB22" s="1">
        <v>0</v>
      </c>
      <c r="AC22" s="1">
        <v>1400</v>
      </c>
      <c r="AD22" s="1">
        <v>675</v>
      </c>
      <c r="AE22" s="1">
        <v>1</v>
      </c>
      <c r="AF22" s="1">
        <v>719</v>
      </c>
      <c r="AG22" s="1">
        <v>0</v>
      </c>
      <c r="AH22" s="1">
        <v>1500</v>
      </c>
      <c r="AI22" s="1">
        <v>253</v>
      </c>
      <c r="AJ22" s="1">
        <v>19</v>
      </c>
      <c r="AK22" s="1">
        <v>5117</v>
      </c>
      <c r="AL22" s="1">
        <v>0.1</v>
      </c>
      <c r="AM22" s="1">
        <v>1590</v>
      </c>
      <c r="AN22" s="1">
        <v>1843</v>
      </c>
      <c r="AO22" s="1">
        <v>31</v>
      </c>
      <c r="AP22" s="1">
        <v>60816</v>
      </c>
      <c r="AQ22" s="1">
        <v>1.2</v>
      </c>
      <c r="AR22" s="1">
        <v>1732</v>
      </c>
      <c r="AS22" s="1">
        <v>1119</v>
      </c>
      <c r="AT22" s="1">
        <v>123</v>
      </c>
      <c r="AU22" s="1">
        <v>146510</v>
      </c>
      <c r="AV22" s="1">
        <v>2.9</v>
      </c>
    </row>
    <row r="23" spans="1:48">
      <c r="A23" s="1" t="s">
        <v>623</v>
      </c>
      <c r="B23" s="1" t="s">
        <v>624</v>
      </c>
      <c r="C23" s="1">
        <v>0.98901700000000003</v>
      </c>
      <c r="D23" s="1">
        <v>1369</v>
      </c>
      <c r="E23" s="1">
        <v>5431</v>
      </c>
      <c r="F23" s="1">
        <v>308</v>
      </c>
      <c r="G23" s="1">
        <v>1780585</v>
      </c>
      <c r="H23" s="1">
        <v>68.7</v>
      </c>
      <c r="I23" s="1">
        <v>1594</v>
      </c>
      <c r="J23" s="1">
        <v>6325</v>
      </c>
      <c r="K23" s="1">
        <v>100</v>
      </c>
      <c r="L23" s="1">
        <v>673275</v>
      </c>
      <c r="M23" s="1">
        <v>26</v>
      </c>
      <c r="N23" s="1">
        <v>1041</v>
      </c>
      <c r="O23" s="1">
        <v>283</v>
      </c>
      <c r="P23" s="1">
        <v>109</v>
      </c>
      <c r="Q23" s="1">
        <v>32836</v>
      </c>
      <c r="R23" s="1">
        <v>1.3</v>
      </c>
      <c r="S23" s="1">
        <v>1152</v>
      </c>
      <c r="T23" s="1">
        <v>31</v>
      </c>
      <c r="U23" s="1">
        <v>1</v>
      </c>
      <c r="V23" s="1">
        <v>33</v>
      </c>
      <c r="W23" s="1">
        <v>0</v>
      </c>
      <c r="X23" s="1">
        <v>1270</v>
      </c>
      <c r="Y23" s="1">
        <v>1</v>
      </c>
      <c r="Z23" s="1">
        <v>1</v>
      </c>
      <c r="AA23" s="1">
        <v>1</v>
      </c>
      <c r="AB23" s="1">
        <v>0</v>
      </c>
      <c r="AC23" s="1">
        <v>1408</v>
      </c>
      <c r="AD23" s="1">
        <v>95</v>
      </c>
      <c r="AE23" s="1">
        <v>1</v>
      </c>
      <c r="AF23" s="1">
        <v>101</v>
      </c>
      <c r="AG23" s="1">
        <v>0</v>
      </c>
      <c r="AH23" s="1">
        <v>1500</v>
      </c>
      <c r="AI23" s="1">
        <v>127</v>
      </c>
      <c r="AJ23" s="1">
        <v>35</v>
      </c>
      <c r="AK23" s="1">
        <v>4732</v>
      </c>
      <c r="AL23" s="1">
        <v>0.2</v>
      </c>
      <c r="AM23" s="1">
        <v>1598</v>
      </c>
      <c r="AN23" s="1">
        <v>195</v>
      </c>
      <c r="AO23" s="1">
        <v>27</v>
      </c>
      <c r="AP23" s="1">
        <v>5604</v>
      </c>
      <c r="AQ23" s="1">
        <v>0.2</v>
      </c>
      <c r="AR23" s="1">
        <v>1736</v>
      </c>
      <c r="AS23" s="1">
        <v>603</v>
      </c>
      <c r="AT23" s="1">
        <v>149</v>
      </c>
      <c r="AU23" s="1">
        <v>95639</v>
      </c>
      <c r="AV23" s="1">
        <v>3.7</v>
      </c>
    </row>
    <row r="24" spans="1:48">
      <c r="A24" s="1" t="s">
        <v>625</v>
      </c>
      <c r="B24" s="1" t="s">
        <v>626</v>
      </c>
      <c r="C24" s="1">
        <v>0.98980400000000002</v>
      </c>
      <c r="D24" s="1">
        <v>1369</v>
      </c>
      <c r="E24" s="1">
        <v>6697</v>
      </c>
      <c r="F24" s="1">
        <v>342</v>
      </c>
      <c r="G24" s="1">
        <v>2438028</v>
      </c>
      <c r="H24" s="1">
        <v>71.2</v>
      </c>
      <c r="I24" s="1">
        <v>1590</v>
      </c>
      <c r="J24" s="1">
        <v>7817</v>
      </c>
      <c r="K24" s="1">
        <v>102</v>
      </c>
      <c r="L24" s="1">
        <v>848736</v>
      </c>
      <c r="M24" s="1">
        <v>24.8</v>
      </c>
      <c r="N24" s="1">
        <v>1051</v>
      </c>
      <c r="O24" s="1">
        <v>231</v>
      </c>
      <c r="P24" s="1">
        <v>43</v>
      </c>
      <c r="Q24" s="1">
        <v>10573</v>
      </c>
      <c r="R24" s="1">
        <v>0.3</v>
      </c>
      <c r="S24" s="1">
        <v>1154</v>
      </c>
      <c r="T24" s="1">
        <v>1</v>
      </c>
      <c r="U24" s="1">
        <v>1</v>
      </c>
      <c r="V24" s="1">
        <v>1</v>
      </c>
      <c r="W24" s="1">
        <v>0</v>
      </c>
      <c r="X24" s="1">
        <v>1270</v>
      </c>
      <c r="Y24" s="1">
        <v>1</v>
      </c>
      <c r="Z24" s="1">
        <v>1</v>
      </c>
      <c r="AA24" s="1">
        <v>1</v>
      </c>
      <c r="AB24" s="1">
        <v>0</v>
      </c>
      <c r="AC24" s="1">
        <v>1402</v>
      </c>
      <c r="AD24" s="1">
        <v>119</v>
      </c>
      <c r="AE24" s="1">
        <v>1</v>
      </c>
      <c r="AF24" s="1">
        <v>127</v>
      </c>
      <c r="AG24" s="1">
        <v>0</v>
      </c>
      <c r="AH24" s="1">
        <v>1500</v>
      </c>
      <c r="AI24" s="1">
        <v>141</v>
      </c>
      <c r="AJ24" s="1">
        <v>47</v>
      </c>
      <c r="AK24" s="1">
        <v>7054</v>
      </c>
      <c r="AL24" s="1">
        <v>0.2</v>
      </c>
      <c r="AM24" s="1">
        <v>1598</v>
      </c>
      <c r="AN24" s="1">
        <v>757</v>
      </c>
      <c r="AO24" s="1">
        <v>27</v>
      </c>
      <c r="AP24" s="1">
        <v>21757</v>
      </c>
      <c r="AQ24" s="1">
        <v>0.6</v>
      </c>
      <c r="AR24" s="1">
        <v>1728</v>
      </c>
      <c r="AS24" s="1">
        <v>757</v>
      </c>
      <c r="AT24" s="1">
        <v>119</v>
      </c>
      <c r="AU24" s="1">
        <v>95890</v>
      </c>
      <c r="AV24" s="1">
        <v>2.8</v>
      </c>
    </row>
    <row r="25" spans="1:48">
      <c r="A25" s="1" t="s">
        <v>627</v>
      </c>
      <c r="B25" s="1" t="s">
        <v>628</v>
      </c>
      <c r="C25" s="1">
        <v>0.98924299999999998</v>
      </c>
      <c r="D25" s="1">
        <v>1369</v>
      </c>
      <c r="E25" s="1">
        <v>7141</v>
      </c>
      <c r="F25" s="1">
        <v>332</v>
      </c>
      <c r="G25" s="1">
        <v>2523651</v>
      </c>
      <c r="H25" s="1">
        <v>70</v>
      </c>
      <c r="I25" s="1">
        <v>1586</v>
      </c>
      <c r="J25" s="1">
        <v>8077</v>
      </c>
      <c r="K25" s="1">
        <v>114</v>
      </c>
      <c r="L25" s="1">
        <v>980138</v>
      </c>
      <c r="M25" s="1">
        <v>27.2</v>
      </c>
      <c r="N25" s="1">
        <v>1049</v>
      </c>
      <c r="O25" s="1">
        <v>255</v>
      </c>
      <c r="P25" s="1">
        <v>63</v>
      </c>
      <c r="Q25" s="1">
        <v>17101</v>
      </c>
      <c r="R25" s="1">
        <v>0.5</v>
      </c>
      <c r="S25" s="1">
        <v>1154</v>
      </c>
      <c r="T25" s="1">
        <v>1</v>
      </c>
      <c r="U25" s="1">
        <v>1</v>
      </c>
      <c r="V25" s="1">
        <v>1</v>
      </c>
      <c r="W25" s="1">
        <v>0</v>
      </c>
      <c r="X25" s="1">
        <v>1270</v>
      </c>
      <c r="Y25" s="1">
        <v>1</v>
      </c>
      <c r="Z25" s="1">
        <v>1</v>
      </c>
      <c r="AA25" s="1">
        <v>1</v>
      </c>
      <c r="AB25" s="1">
        <v>0</v>
      </c>
      <c r="AC25" s="1">
        <v>1456</v>
      </c>
      <c r="AD25" s="1">
        <v>235</v>
      </c>
      <c r="AE25" s="1">
        <v>59</v>
      </c>
      <c r="AF25" s="1">
        <v>14759</v>
      </c>
      <c r="AG25" s="1">
        <v>0.4</v>
      </c>
      <c r="AH25" s="1">
        <v>1486</v>
      </c>
      <c r="AI25" s="1">
        <v>63</v>
      </c>
      <c r="AJ25" s="1">
        <v>23</v>
      </c>
      <c r="AK25" s="1">
        <v>1542</v>
      </c>
      <c r="AL25" s="1">
        <v>0</v>
      </c>
      <c r="AM25" s="1">
        <v>1580</v>
      </c>
      <c r="AN25" s="1">
        <v>371</v>
      </c>
      <c r="AO25" s="1">
        <v>3</v>
      </c>
      <c r="AP25" s="1">
        <v>1185</v>
      </c>
      <c r="AQ25" s="1">
        <v>0</v>
      </c>
      <c r="AR25" s="1">
        <v>1740</v>
      </c>
      <c r="AS25" s="1">
        <v>593</v>
      </c>
      <c r="AT25" s="1">
        <v>109</v>
      </c>
      <c r="AU25" s="1">
        <v>68804</v>
      </c>
      <c r="AV25" s="1">
        <v>1.9</v>
      </c>
    </row>
    <row r="26" spans="1:48">
      <c r="A26" s="1" t="s">
        <v>629</v>
      </c>
      <c r="B26" s="1" t="s">
        <v>630</v>
      </c>
      <c r="C26" s="1">
        <v>0.98834299999999997</v>
      </c>
      <c r="D26" s="1">
        <v>1369</v>
      </c>
      <c r="E26" s="1">
        <v>8023</v>
      </c>
      <c r="F26" s="1">
        <v>332</v>
      </c>
      <c r="G26" s="1">
        <v>2835353</v>
      </c>
      <c r="H26" s="1">
        <v>67.7</v>
      </c>
      <c r="I26" s="1">
        <v>1590</v>
      </c>
      <c r="J26" s="1">
        <v>10185</v>
      </c>
      <c r="K26" s="1">
        <v>104</v>
      </c>
      <c r="L26" s="1">
        <v>1127526</v>
      </c>
      <c r="M26" s="1">
        <v>26.9</v>
      </c>
      <c r="N26" s="1">
        <v>1021</v>
      </c>
      <c r="O26" s="1">
        <v>309</v>
      </c>
      <c r="P26" s="1">
        <v>51</v>
      </c>
      <c r="Q26" s="1">
        <v>16775</v>
      </c>
      <c r="R26" s="1">
        <v>0.4</v>
      </c>
      <c r="S26" s="1">
        <v>1154</v>
      </c>
      <c r="T26" s="1">
        <v>1</v>
      </c>
      <c r="U26" s="1">
        <v>1</v>
      </c>
      <c r="V26" s="1">
        <v>1</v>
      </c>
      <c r="W26" s="1">
        <v>0</v>
      </c>
      <c r="X26" s="1">
        <v>1270</v>
      </c>
      <c r="Y26" s="1">
        <v>1</v>
      </c>
      <c r="Z26" s="1">
        <v>1</v>
      </c>
      <c r="AA26" s="1">
        <v>1</v>
      </c>
      <c r="AB26" s="1">
        <v>0</v>
      </c>
      <c r="AC26" s="1">
        <v>1456</v>
      </c>
      <c r="AD26" s="1">
        <v>207</v>
      </c>
      <c r="AE26" s="1">
        <v>91</v>
      </c>
      <c r="AF26" s="1">
        <v>20051</v>
      </c>
      <c r="AG26" s="1">
        <v>0.5</v>
      </c>
      <c r="AH26" s="1">
        <v>1500</v>
      </c>
      <c r="AI26" s="1">
        <v>457</v>
      </c>
      <c r="AJ26" s="1">
        <v>21</v>
      </c>
      <c r="AK26" s="1">
        <v>10216</v>
      </c>
      <c r="AL26" s="1">
        <v>0.2</v>
      </c>
      <c r="AM26" s="1">
        <v>1598</v>
      </c>
      <c r="AN26" s="1">
        <v>273</v>
      </c>
      <c r="AO26" s="1">
        <v>23</v>
      </c>
      <c r="AP26" s="1">
        <v>6684</v>
      </c>
      <c r="AQ26" s="1">
        <v>0.2</v>
      </c>
      <c r="AR26" s="1">
        <v>1744</v>
      </c>
      <c r="AS26" s="1">
        <v>951</v>
      </c>
      <c r="AT26" s="1">
        <v>171</v>
      </c>
      <c r="AU26" s="1">
        <v>173105</v>
      </c>
      <c r="AV26" s="1">
        <v>4.0999999999999996</v>
      </c>
    </row>
    <row r="27" spans="1:48">
      <c r="A27" s="1" t="s">
        <v>631</v>
      </c>
      <c r="B27" s="1" t="s">
        <v>387</v>
      </c>
      <c r="C27" s="1">
        <v>0.98732500000000001</v>
      </c>
      <c r="D27" s="1">
        <v>1369</v>
      </c>
      <c r="E27" s="1">
        <v>13605</v>
      </c>
      <c r="F27" s="1">
        <v>310</v>
      </c>
      <c r="G27" s="1">
        <v>4489443</v>
      </c>
      <c r="H27" s="1">
        <v>66.2</v>
      </c>
      <c r="I27" s="1">
        <v>1590</v>
      </c>
      <c r="J27" s="1">
        <v>17185</v>
      </c>
      <c r="K27" s="1">
        <v>102</v>
      </c>
      <c r="L27" s="1">
        <v>1865872</v>
      </c>
      <c r="M27" s="1">
        <v>27.5</v>
      </c>
      <c r="N27" s="1">
        <v>1039</v>
      </c>
      <c r="O27" s="1">
        <v>413</v>
      </c>
      <c r="P27" s="1">
        <v>47</v>
      </c>
      <c r="Q27" s="1">
        <v>20662</v>
      </c>
      <c r="R27" s="1">
        <v>0.3</v>
      </c>
      <c r="S27" s="1">
        <v>1170</v>
      </c>
      <c r="T27" s="1">
        <v>287</v>
      </c>
      <c r="U27" s="1">
        <v>5</v>
      </c>
      <c r="V27" s="1">
        <v>1528</v>
      </c>
      <c r="W27" s="1">
        <v>0</v>
      </c>
      <c r="X27" s="1">
        <v>1270</v>
      </c>
      <c r="Y27" s="1">
        <v>1</v>
      </c>
      <c r="Z27" s="1">
        <v>1</v>
      </c>
      <c r="AA27" s="1">
        <v>1</v>
      </c>
      <c r="AB27" s="1">
        <v>0</v>
      </c>
      <c r="AC27" s="1">
        <v>1456</v>
      </c>
      <c r="AD27" s="1">
        <v>473</v>
      </c>
      <c r="AE27" s="1">
        <v>33</v>
      </c>
      <c r="AF27" s="1">
        <v>16615</v>
      </c>
      <c r="AG27" s="1">
        <v>0.2</v>
      </c>
      <c r="AH27" s="1">
        <v>1500</v>
      </c>
      <c r="AI27" s="1">
        <v>1329</v>
      </c>
      <c r="AJ27" s="1">
        <v>27</v>
      </c>
      <c r="AK27" s="1">
        <v>38196</v>
      </c>
      <c r="AL27" s="1">
        <v>0.6</v>
      </c>
      <c r="AM27" s="1">
        <v>1596</v>
      </c>
      <c r="AN27" s="1">
        <v>1381</v>
      </c>
      <c r="AO27" s="1">
        <v>23</v>
      </c>
      <c r="AP27" s="1">
        <v>33811</v>
      </c>
      <c r="AQ27" s="1">
        <v>0.5</v>
      </c>
      <c r="AR27" s="1">
        <v>1748</v>
      </c>
      <c r="AS27" s="1">
        <v>1699</v>
      </c>
      <c r="AT27" s="1">
        <v>177</v>
      </c>
      <c r="AU27" s="1">
        <v>320110</v>
      </c>
      <c r="AV27" s="1">
        <v>4.7</v>
      </c>
    </row>
    <row r="28" spans="1:48">
      <c r="A28" s="1" t="s">
        <v>632</v>
      </c>
      <c r="B28" s="1" t="s">
        <v>633</v>
      </c>
      <c r="C28" s="1">
        <v>0.985375</v>
      </c>
      <c r="D28" s="1">
        <v>1369</v>
      </c>
      <c r="E28" s="1">
        <v>20741</v>
      </c>
      <c r="F28" s="1">
        <v>306</v>
      </c>
      <c r="G28" s="1">
        <v>6755902</v>
      </c>
      <c r="H28" s="1">
        <v>68.5</v>
      </c>
      <c r="I28" s="1">
        <v>1592</v>
      </c>
      <c r="J28" s="1">
        <v>22321</v>
      </c>
      <c r="K28" s="1">
        <v>100</v>
      </c>
      <c r="L28" s="1">
        <v>2375997</v>
      </c>
      <c r="M28" s="1">
        <v>24.1</v>
      </c>
      <c r="N28" s="1">
        <v>1055</v>
      </c>
      <c r="O28" s="1">
        <v>1015</v>
      </c>
      <c r="P28" s="1">
        <v>91</v>
      </c>
      <c r="Q28" s="1">
        <v>98319</v>
      </c>
      <c r="R28" s="1">
        <v>1</v>
      </c>
      <c r="S28" s="1">
        <v>1156</v>
      </c>
      <c r="T28" s="1">
        <v>367</v>
      </c>
      <c r="U28" s="1">
        <v>5</v>
      </c>
      <c r="V28" s="1">
        <v>1953</v>
      </c>
      <c r="W28" s="1">
        <v>0</v>
      </c>
      <c r="X28" s="1">
        <v>1270</v>
      </c>
      <c r="Y28" s="1">
        <v>1</v>
      </c>
      <c r="Z28" s="1">
        <v>1</v>
      </c>
      <c r="AA28" s="1">
        <v>1</v>
      </c>
      <c r="AB28" s="1">
        <v>0</v>
      </c>
      <c r="AC28" s="1">
        <v>1400</v>
      </c>
      <c r="AD28" s="1">
        <v>1</v>
      </c>
      <c r="AE28" s="1">
        <v>1</v>
      </c>
      <c r="AF28" s="1">
        <v>1</v>
      </c>
      <c r="AG28" s="1">
        <v>0</v>
      </c>
      <c r="AH28" s="1">
        <v>1500</v>
      </c>
      <c r="AI28" s="1">
        <v>799</v>
      </c>
      <c r="AJ28" s="1">
        <v>25</v>
      </c>
      <c r="AK28" s="1">
        <v>21263</v>
      </c>
      <c r="AL28" s="1">
        <v>0.2</v>
      </c>
      <c r="AM28" s="1">
        <v>1598</v>
      </c>
      <c r="AN28" s="1">
        <v>3457</v>
      </c>
      <c r="AO28" s="1">
        <v>29</v>
      </c>
      <c r="AP28" s="1">
        <v>106716</v>
      </c>
      <c r="AQ28" s="1">
        <v>1.1000000000000001</v>
      </c>
      <c r="AR28" s="1">
        <v>1748</v>
      </c>
      <c r="AS28" s="1">
        <v>2401</v>
      </c>
      <c r="AT28" s="1">
        <v>199</v>
      </c>
      <c r="AU28" s="1">
        <v>508601</v>
      </c>
      <c r="AV28" s="1">
        <v>5.2</v>
      </c>
    </row>
    <row r="29" spans="1:48">
      <c r="A29" s="1" t="s">
        <v>634</v>
      </c>
      <c r="B29" s="1" t="s">
        <v>635</v>
      </c>
      <c r="C29" s="1">
        <v>0.98836000000000002</v>
      </c>
      <c r="D29" s="1">
        <v>1369</v>
      </c>
      <c r="E29" s="1">
        <v>8113</v>
      </c>
      <c r="F29" s="1">
        <v>324</v>
      </c>
      <c r="G29" s="1">
        <v>2798071</v>
      </c>
      <c r="H29" s="1">
        <v>68.400000000000006</v>
      </c>
      <c r="I29" s="1">
        <v>1592</v>
      </c>
      <c r="J29" s="1">
        <v>10201</v>
      </c>
      <c r="K29" s="1">
        <v>102</v>
      </c>
      <c r="L29" s="1">
        <v>1107580</v>
      </c>
      <c r="M29" s="1">
        <v>27.1</v>
      </c>
      <c r="N29" s="1">
        <v>1041</v>
      </c>
      <c r="O29" s="1">
        <v>325</v>
      </c>
      <c r="P29" s="1">
        <v>53</v>
      </c>
      <c r="Q29" s="1">
        <v>18335</v>
      </c>
      <c r="R29" s="1">
        <v>0.4</v>
      </c>
      <c r="S29" s="1">
        <v>1154</v>
      </c>
      <c r="T29" s="1">
        <v>1</v>
      </c>
      <c r="U29" s="1">
        <v>1</v>
      </c>
      <c r="V29" s="1">
        <v>1</v>
      </c>
      <c r="W29" s="1">
        <v>0</v>
      </c>
      <c r="X29" s="1">
        <v>1270</v>
      </c>
      <c r="Y29" s="1">
        <v>1</v>
      </c>
      <c r="Z29" s="1">
        <v>1</v>
      </c>
      <c r="AA29" s="1">
        <v>1</v>
      </c>
      <c r="AB29" s="1">
        <v>0</v>
      </c>
      <c r="AC29" s="1">
        <v>1408</v>
      </c>
      <c r="AD29" s="1">
        <v>39</v>
      </c>
      <c r="AE29" s="1">
        <v>117</v>
      </c>
      <c r="AF29" s="1">
        <v>4857</v>
      </c>
      <c r="AG29" s="1">
        <v>0.1</v>
      </c>
      <c r="AH29" s="1">
        <v>1500</v>
      </c>
      <c r="AI29" s="1">
        <v>561</v>
      </c>
      <c r="AJ29" s="1">
        <v>31</v>
      </c>
      <c r="AK29" s="1">
        <v>18512</v>
      </c>
      <c r="AL29" s="1">
        <v>0.5</v>
      </c>
      <c r="AM29" s="1">
        <v>1598</v>
      </c>
      <c r="AN29" s="1">
        <v>157</v>
      </c>
      <c r="AO29" s="1">
        <v>23</v>
      </c>
      <c r="AP29" s="1">
        <v>3844</v>
      </c>
      <c r="AQ29" s="1">
        <v>0.1</v>
      </c>
      <c r="AR29" s="1">
        <v>1740</v>
      </c>
      <c r="AS29" s="1">
        <v>865</v>
      </c>
      <c r="AT29" s="1">
        <v>153</v>
      </c>
      <c r="AU29" s="1">
        <v>140877</v>
      </c>
      <c r="AV29" s="1">
        <v>3.4</v>
      </c>
    </row>
    <row r="30" spans="1:48">
      <c r="A30" s="1" t="s">
        <v>636</v>
      </c>
      <c r="B30" s="1" t="s">
        <v>637</v>
      </c>
      <c r="C30" s="1">
        <v>0.98742700000000005</v>
      </c>
      <c r="D30" s="1">
        <v>1369</v>
      </c>
      <c r="E30" s="1">
        <v>23925</v>
      </c>
      <c r="F30" s="1">
        <v>320</v>
      </c>
      <c r="G30" s="1">
        <v>8149560</v>
      </c>
      <c r="H30" s="1">
        <v>74.5</v>
      </c>
      <c r="I30" s="1">
        <v>1590</v>
      </c>
      <c r="J30" s="1">
        <v>22227</v>
      </c>
      <c r="K30" s="1">
        <v>100</v>
      </c>
      <c r="L30" s="1">
        <v>2365991</v>
      </c>
      <c r="M30" s="1">
        <v>21.6</v>
      </c>
      <c r="N30" s="1">
        <v>1043</v>
      </c>
      <c r="O30" s="1">
        <v>865</v>
      </c>
      <c r="P30" s="1">
        <v>83</v>
      </c>
      <c r="Q30" s="1">
        <v>76423</v>
      </c>
      <c r="R30" s="1">
        <v>0.7</v>
      </c>
      <c r="S30" s="1">
        <v>1158</v>
      </c>
      <c r="T30" s="1">
        <v>1</v>
      </c>
      <c r="U30" s="1">
        <v>1</v>
      </c>
      <c r="V30" s="1">
        <v>1</v>
      </c>
      <c r="W30" s="1">
        <v>0</v>
      </c>
      <c r="X30" s="1">
        <v>1296</v>
      </c>
      <c r="Y30" s="1">
        <v>109</v>
      </c>
      <c r="Z30" s="1">
        <v>1</v>
      </c>
      <c r="AA30" s="1">
        <v>116</v>
      </c>
      <c r="AB30" s="1">
        <v>0</v>
      </c>
      <c r="AC30" s="1">
        <v>1410</v>
      </c>
      <c r="AD30" s="1">
        <v>1</v>
      </c>
      <c r="AE30" s="1">
        <v>1</v>
      </c>
      <c r="AF30" s="1">
        <v>1</v>
      </c>
      <c r="AG30" s="1">
        <v>0</v>
      </c>
      <c r="AH30" s="1">
        <v>1494</v>
      </c>
      <c r="AI30" s="1">
        <v>377</v>
      </c>
      <c r="AJ30" s="1">
        <v>23</v>
      </c>
      <c r="AK30" s="1">
        <v>9230</v>
      </c>
      <c r="AL30" s="1">
        <v>0.1</v>
      </c>
      <c r="AM30" s="1">
        <v>1598</v>
      </c>
      <c r="AN30" s="1">
        <v>3905</v>
      </c>
      <c r="AO30" s="1">
        <v>29</v>
      </c>
      <c r="AP30" s="1">
        <v>120546</v>
      </c>
      <c r="AQ30" s="1">
        <v>1.1000000000000001</v>
      </c>
      <c r="AR30" s="1">
        <v>1730</v>
      </c>
      <c r="AS30" s="1">
        <v>1389</v>
      </c>
      <c r="AT30" s="1">
        <v>143</v>
      </c>
      <c r="AU30" s="1">
        <v>211432</v>
      </c>
      <c r="AV30" s="1">
        <v>1.9</v>
      </c>
    </row>
    <row r="31" spans="1:48">
      <c r="A31" s="1" t="s">
        <v>638</v>
      </c>
      <c r="B31" s="1" t="s">
        <v>639</v>
      </c>
      <c r="C31" s="1">
        <v>0.98582099999999995</v>
      </c>
      <c r="D31" s="1">
        <v>1369</v>
      </c>
      <c r="E31" s="1">
        <v>1209</v>
      </c>
      <c r="F31" s="1">
        <v>342</v>
      </c>
      <c r="G31" s="1">
        <v>440134</v>
      </c>
      <c r="H31" s="1">
        <v>75.8</v>
      </c>
      <c r="I31" s="1">
        <v>1586</v>
      </c>
      <c r="J31" s="1">
        <v>1095</v>
      </c>
      <c r="K31" s="1">
        <v>102</v>
      </c>
      <c r="L31" s="1">
        <v>118890</v>
      </c>
      <c r="M31" s="1">
        <v>20.5</v>
      </c>
      <c r="N31" s="1">
        <v>1013</v>
      </c>
      <c r="O31" s="1">
        <v>71</v>
      </c>
      <c r="P31" s="1">
        <v>31</v>
      </c>
      <c r="Q31" s="1">
        <v>2343</v>
      </c>
      <c r="R31" s="1">
        <v>0.4</v>
      </c>
      <c r="S31" s="1">
        <v>1152</v>
      </c>
      <c r="T31" s="1">
        <v>5</v>
      </c>
      <c r="U31" s="1">
        <v>1</v>
      </c>
      <c r="V31" s="1">
        <v>5</v>
      </c>
      <c r="W31" s="1">
        <v>0</v>
      </c>
      <c r="X31" s="1">
        <v>1298</v>
      </c>
      <c r="Y31" s="1">
        <v>3</v>
      </c>
      <c r="Z31" s="1">
        <v>1</v>
      </c>
      <c r="AA31" s="1">
        <v>3</v>
      </c>
      <c r="AB31" s="1">
        <v>0</v>
      </c>
      <c r="AC31" s="1">
        <v>1448</v>
      </c>
      <c r="AD31" s="1">
        <v>5</v>
      </c>
      <c r="AE31" s="1">
        <v>1</v>
      </c>
      <c r="AF31" s="1">
        <v>5</v>
      </c>
      <c r="AG31" s="1">
        <v>0</v>
      </c>
      <c r="AH31" s="1">
        <v>1496</v>
      </c>
      <c r="AI31" s="1">
        <v>75</v>
      </c>
      <c r="AJ31" s="1">
        <v>19</v>
      </c>
      <c r="AK31" s="1">
        <v>1517</v>
      </c>
      <c r="AL31" s="1">
        <v>0.3</v>
      </c>
      <c r="AM31" s="1">
        <v>1598</v>
      </c>
      <c r="AN31" s="1">
        <v>163</v>
      </c>
      <c r="AO31" s="1">
        <v>17</v>
      </c>
      <c r="AP31" s="1">
        <v>2950</v>
      </c>
      <c r="AQ31" s="1">
        <v>0.5</v>
      </c>
      <c r="AR31" s="1">
        <v>1748</v>
      </c>
      <c r="AS31" s="1">
        <v>71</v>
      </c>
      <c r="AT31" s="1">
        <v>199</v>
      </c>
      <c r="AU31" s="1">
        <v>15040</v>
      </c>
      <c r="AV31" s="1">
        <v>2.6</v>
      </c>
    </row>
    <row r="32" spans="1:48">
      <c r="A32" s="1" t="s">
        <v>640</v>
      </c>
      <c r="B32" s="1" t="s">
        <v>641</v>
      </c>
      <c r="C32" s="1">
        <v>0.98883100000000002</v>
      </c>
      <c r="D32" s="1">
        <v>1369</v>
      </c>
      <c r="E32" s="1">
        <v>2391</v>
      </c>
      <c r="F32" s="1">
        <v>332</v>
      </c>
      <c r="G32" s="1">
        <v>844987</v>
      </c>
      <c r="H32" s="1">
        <v>76.2</v>
      </c>
      <c r="I32" s="1">
        <v>1586</v>
      </c>
      <c r="J32" s="1">
        <v>2135</v>
      </c>
      <c r="K32" s="1">
        <v>100</v>
      </c>
      <c r="L32" s="1">
        <v>227264</v>
      </c>
      <c r="M32" s="1">
        <v>20.5</v>
      </c>
      <c r="N32" s="1">
        <v>1035</v>
      </c>
      <c r="O32" s="1">
        <v>87</v>
      </c>
      <c r="P32" s="1">
        <v>77</v>
      </c>
      <c r="Q32" s="1">
        <v>7131</v>
      </c>
      <c r="R32" s="1">
        <v>0.6</v>
      </c>
      <c r="S32" s="1">
        <v>1158</v>
      </c>
      <c r="T32" s="1">
        <v>1</v>
      </c>
      <c r="U32" s="1">
        <v>1</v>
      </c>
      <c r="V32" s="1">
        <v>1</v>
      </c>
      <c r="W32" s="1">
        <v>0</v>
      </c>
      <c r="X32" s="1">
        <v>1296</v>
      </c>
      <c r="Y32" s="1">
        <v>17</v>
      </c>
      <c r="Z32" s="1">
        <v>61</v>
      </c>
      <c r="AA32" s="1">
        <v>1104</v>
      </c>
      <c r="AB32" s="1">
        <v>0.1</v>
      </c>
      <c r="AC32" s="1">
        <v>1410</v>
      </c>
      <c r="AD32" s="1">
        <v>1</v>
      </c>
      <c r="AE32" s="1">
        <v>1</v>
      </c>
      <c r="AF32" s="1">
        <v>1</v>
      </c>
      <c r="AG32" s="1">
        <v>0</v>
      </c>
      <c r="AH32" s="1">
        <v>1514</v>
      </c>
      <c r="AI32" s="1">
        <v>105</v>
      </c>
      <c r="AJ32" s="1">
        <v>41</v>
      </c>
      <c r="AK32" s="1">
        <v>4583</v>
      </c>
      <c r="AL32" s="1">
        <v>0.4</v>
      </c>
      <c r="AM32" s="1">
        <v>1584</v>
      </c>
      <c r="AN32" s="1">
        <v>211</v>
      </c>
      <c r="AO32" s="1">
        <v>31</v>
      </c>
      <c r="AP32" s="1">
        <v>6963</v>
      </c>
      <c r="AQ32" s="1">
        <v>0.6</v>
      </c>
      <c r="AR32" s="1">
        <v>1732</v>
      </c>
      <c r="AS32" s="1">
        <v>143</v>
      </c>
      <c r="AT32" s="1">
        <v>111</v>
      </c>
      <c r="AU32" s="1">
        <v>16896</v>
      </c>
      <c r="AV32" s="1">
        <v>1.5</v>
      </c>
    </row>
    <row r="33" spans="1:48">
      <c r="A33" s="1" t="s">
        <v>642</v>
      </c>
      <c r="B33" s="1" t="s">
        <v>643</v>
      </c>
      <c r="C33" s="1">
        <v>0.86970499999999995</v>
      </c>
      <c r="D33" s="1">
        <v>1369</v>
      </c>
      <c r="E33" s="1">
        <v>1789</v>
      </c>
      <c r="F33" s="1">
        <v>328</v>
      </c>
      <c r="G33" s="1">
        <v>624621</v>
      </c>
      <c r="H33" s="1">
        <v>76.2</v>
      </c>
      <c r="I33" s="1">
        <v>1586</v>
      </c>
      <c r="J33" s="1">
        <v>1561</v>
      </c>
      <c r="K33" s="1">
        <v>100</v>
      </c>
      <c r="L33" s="1">
        <v>166163</v>
      </c>
      <c r="M33" s="1">
        <v>20.3</v>
      </c>
      <c r="N33" s="1">
        <v>1051</v>
      </c>
      <c r="O33" s="1">
        <v>75</v>
      </c>
      <c r="P33" s="1">
        <v>81</v>
      </c>
      <c r="Q33" s="1">
        <v>6467</v>
      </c>
      <c r="R33" s="1">
        <v>0.8</v>
      </c>
      <c r="S33" s="1">
        <v>1152</v>
      </c>
      <c r="T33" s="1">
        <v>1</v>
      </c>
      <c r="U33" s="1">
        <v>1</v>
      </c>
      <c r="V33" s="1">
        <v>1</v>
      </c>
      <c r="W33" s="1">
        <v>0</v>
      </c>
      <c r="X33" s="1">
        <v>1296</v>
      </c>
      <c r="Y33" s="1">
        <v>141</v>
      </c>
      <c r="Z33" s="1">
        <v>25</v>
      </c>
      <c r="AA33" s="1">
        <v>3752</v>
      </c>
      <c r="AB33" s="1">
        <v>0.5</v>
      </c>
      <c r="AC33" s="1">
        <v>1402</v>
      </c>
      <c r="AD33" s="1">
        <v>11</v>
      </c>
      <c r="AE33" s="1">
        <v>1</v>
      </c>
      <c r="AF33" s="1">
        <v>12</v>
      </c>
      <c r="AG33" s="1">
        <v>0</v>
      </c>
      <c r="AH33" s="1">
        <v>1516</v>
      </c>
      <c r="AI33" s="1">
        <v>139</v>
      </c>
      <c r="AJ33" s="1">
        <v>3</v>
      </c>
      <c r="AK33" s="1">
        <v>444</v>
      </c>
      <c r="AL33" s="1">
        <v>0.1</v>
      </c>
      <c r="AM33" s="1">
        <v>1590</v>
      </c>
      <c r="AN33" s="1">
        <v>221</v>
      </c>
      <c r="AO33" s="1">
        <v>29</v>
      </c>
      <c r="AP33" s="1">
        <v>6822</v>
      </c>
      <c r="AQ33" s="1">
        <v>0.8</v>
      </c>
      <c r="AR33" s="1">
        <v>1740</v>
      </c>
      <c r="AS33" s="1">
        <v>89</v>
      </c>
      <c r="AT33" s="1">
        <v>115</v>
      </c>
      <c r="AU33" s="1">
        <v>10895</v>
      </c>
      <c r="AV33" s="1">
        <v>1.3</v>
      </c>
    </row>
    <row r="34" spans="1:48">
      <c r="A34" s="1" t="s">
        <v>644</v>
      </c>
      <c r="B34" s="1" t="s">
        <v>645</v>
      </c>
      <c r="C34" s="1">
        <v>0.98573999999999995</v>
      </c>
      <c r="D34" s="1">
        <v>1369</v>
      </c>
      <c r="E34" s="1">
        <v>1689</v>
      </c>
      <c r="F34" s="1">
        <v>326</v>
      </c>
      <c r="G34" s="1">
        <v>586110</v>
      </c>
      <c r="H34" s="1">
        <v>75</v>
      </c>
      <c r="I34" s="1">
        <v>1586</v>
      </c>
      <c r="J34" s="1">
        <v>1561</v>
      </c>
      <c r="K34" s="1">
        <v>102</v>
      </c>
      <c r="L34" s="1">
        <v>169487</v>
      </c>
      <c r="M34" s="1">
        <v>21.7</v>
      </c>
      <c r="N34" s="1">
        <v>1055</v>
      </c>
      <c r="O34" s="1">
        <v>121</v>
      </c>
      <c r="P34" s="1">
        <v>43</v>
      </c>
      <c r="Q34" s="1">
        <v>5538</v>
      </c>
      <c r="R34" s="1">
        <v>0.7</v>
      </c>
      <c r="S34" s="1">
        <v>1156</v>
      </c>
      <c r="T34" s="1">
        <v>25</v>
      </c>
      <c r="U34" s="1">
        <v>1</v>
      </c>
      <c r="V34" s="1">
        <v>27</v>
      </c>
      <c r="W34" s="1">
        <v>0</v>
      </c>
      <c r="X34" s="1">
        <v>1296</v>
      </c>
      <c r="Y34" s="1">
        <v>33</v>
      </c>
      <c r="Z34" s="1">
        <v>25</v>
      </c>
      <c r="AA34" s="1">
        <v>878</v>
      </c>
      <c r="AB34" s="1">
        <v>0.1</v>
      </c>
      <c r="AC34" s="1">
        <v>1410</v>
      </c>
      <c r="AD34" s="1">
        <v>1</v>
      </c>
      <c r="AE34" s="1">
        <v>1</v>
      </c>
      <c r="AF34" s="1">
        <v>1</v>
      </c>
      <c r="AG34" s="1">
        <v>0</v>
      </c>
      <c r="AH34" s="1">
        <v>1500</v>
      </c>
      <c r="AI34" s="1">
        <v>115</v>
      </c>
      <c r="AJ34" s="1">
        <v>15</v>
      </c>
      <c r="AK34" s="1">
        <v>1836</v>
      </c>
      <c r="AL34" s="1">
        <v>0.2</v>
      </c>
      <c r="AM34" s="1">
        <v>1594</v>
      </c>
      <c r="AN34" s="1">
        <v>129</v>
      </c>
      <c r="AO34" s="1">
        <v>27</v>
      </c>
      <c r="AP34" s="1">
        <v>3708</v>
      </c>
      <c r="AQ34" s="1">
        <v>0.5</v>
      </c>
      <c r="AR34" s="1">
        <v>1746</v>
      </c>
      <c r="AS34" s="1">
        <v>97</v>
      </c>
      <c r="AT34" s="1">
        <v>139</v>
      </c>
      <c r="AU34" s="1">
        <v>14352</v>
      </c>
      <c r="AV34" s="1">
        <v>1.8</v>
      </c>
    </row>
    <row r="35" spans="1:48">
      <c r="A35" s="1" t="s">
        <v>646</v>
      </c>
      <c r="B35" s="1" t="s">
        <v>647</v>
      </c>
      <c r="C35" s="1">
        <v>0.98672199999999999</v>
      </c>
      <c r="D35" s="1">
        <v>1369</v>
      </c>
      <c r="E35" s="1">
        <v>16335</v>
      </c>
      <c r="F35" s="1">
        <v>310</v>
      </c>
      <c r="G35" s="1">
        <v>5390301</v>
      </c>
      <c r="H35" s="1">
        <v>72</v>
      </c>
      <c r="I35" s="1">
        <v>1592</v>
      </c>
      <c r="J35" s="1">
        <v>15929</v>
      </c>
      <c r="K35" s="1">
        <v>100</v>
      </c>
      <c r="L35" s="1">
        <v>1695590</v>
      </c>
      <c r="M35" s="1">
        <v>22.6</v>
      </c>
      <c r="N35" s="1">
        <v>1057</v>
      </c>
      <c r="O35" s="1">
        <v>705</v>
      </c>
      <c r="P35" s="1">
        <v>109</v>
      </c>
      <c r="Q35" s="1">
        <v>81799</v>
      </c>
      <c r="R35" s="1">
        <v>1.1000000000000001</v>
      </c>
      <c r="S35" s="1">
        <v>1152</v>
      </c>
      <c r="T35" s="1">
        <v>125</v>
      </c>
      <c r="U35" s="1">
        <v>3</v>
      </c>
      <c r="V35" s="1">
        <v>399</v>
      </c>
      <c r="W35" s="1">
        <v>0</v>
      </c>
      <c r="X35" s="1">
        <v>1270</v>
      </c>
      <c r="Y35" s="1">
        <v>1</v>
      </c>
      <c r="Z35" s="1">
        <v>1</v>
      </c>
      <c r="AA35" s="1">
        <v>1</v>
      </c>
      <c r="AB35" s="1">
        <v>0</v>
      </c>
      <c r="AC35" s="1">
        <v>1400</v>
      </c>
      <c r="AD35" s="1">
        <v>1</v>
      </c>
      <c r="AE35" s="1">
        <v>1</v>
      </c>
      <c r="AF35" s="1">
        <v>1</v>
      </c>
      <c r="AG35" s="1">
        <v>0</v>
      </c>
      <c r="AH35" s="1">
        <v>1500</v>
      </c>
      <c r="AI35" s="1">
        <v>227</v>
      </c>
      <c r="AJ35" s="1">
        <v>21</v>
      </c>
      <c r="AK35" s="1">
        <v>5074</v>
      </c>
      <c r="AL35" s="1">
        <v>0.1</v>
      </c>
      <c r="AM35" s="1">
        <v>1598</v>
      </c>
      <c r="AN35" s="1">
        <v>3923</v>
      </c>
      <c r="AO35" s="1">
        <v>29</v>
      </c>
      <c r="AP35" s="1">
        <v>121101</v>
      </c>
      <c r="AQ35" s="1">
        <v>1.6</v>
      </c>
      <c r="AR35" s="1">
        <v>1746</v>
      </c>
      <c r="AS35" s="1">
        <v>1071</v>
      </c>
      <c r="AT35" s="1">
        <v>171</v>
      </c>
      <c r="AU35" s="1">
        <v>194948</v>
      </c>
      <c r="AV35" s="1">
        <v>2.6</v>
      </c>
    </row>
    <row r="36" spans="1:48">
      <c r="A36" s="1" t="s">
        <v>648</v>
      </c>
      <c r="B36" s="1" t="s">
        <v>649</v>
      </c>
      <c r="C36" s="1">
        <v>0.98992899999999995</v>
      </c>
      <c r="D36" s="1">
        <v>1369</v>
      </c>
      <c r="E36" s="1">
        <v>17731</v>
      </c>
      <c r="F36" s="1">
        <v>338</v>
      </c>
      <c r="G36" s="1">
        <v>6379434</v>
      </c>
      <c r="H36" s="1">
        <v>64.8</v>
      </c>
      <c r="I36" s="1">
        <v>1588</v>
      </c>
      <c r="J36" s="1">
        <v>25505</v>
      </c>
      <c r="K36" s="1">
        <v>112</v>
      </c>
      <c r="L36" s="1">
        <v>3040714</v>
      </c>
      <c r="M36" s="1">
        <v>30.9</v>
      </c>
      <c r="N36" s="1">
        <v>1061</v>
      </c>
      <c r="O36" s="1">
        <v>575</v>
      </c>
      <c r="P36" s="1">
        <v>41</v>
      </c>
      <c r="Q36" s="1">
        <v>25095</v>
      </c>
      <c r="R36" s="1">
        <v>0.3</v>
      </c>
      <c r="S36" s="1">
        <v>1154</v>
      </c>
      <c r="T36" s="1">
        <v>1</v>
      </c>
      <c r="U36" s="1">
        <v>1</v>
      </c>
      <c r="V36" s="1">
        <v>1</v>
      </c>
      <c r="W36" s="1">
        <v>0</v>
      </c>
      <c r="X36" s="1">
        <v>1270</v>
      </c>
      <c r="Y36" s="1">
        <v>1</v>
      </c>
      <c r="Z36" s="1">
        <v>1</v>
      </c>
      <c r="AA36" s="1">
        <v>1</v>
      </c>
      <c r="AB36" s="1">
        <v>0</v>
      </c>
      <c r="AC36" s="1">
        <v>1456</v>
      </c>
      <c r="AD36" s="1">
        <v>319</v>
      </c>
      <c r="AE36" s="1">
        <v>123</v>
      </c>
      <c r="AF36" s="1">
        <v>41766</v>
      </c>
      <c r="AG36" s="1">
        <v>0.4</v>
      </c>
      <c r="AH36" s="1">
        <v>1500</v>
      </c>
      <c r="AI36" s="1">
        <v>567</v>
      </c>
      <c r="AJ36" s="1">
        <v>37</v>
      </c>
      <c r="AK36" s="1">
        <v>22331</v>
      </c>
      <c r="AL36" s="1">
        <v>0.2</v>
      </c>
      <c r="AM36" s="1">
        <v>1580</v>
      </c>
      <c r="AN36" s="1">
        <v>989</v>
      </c>
      <c r="AO36" s="1">
        <v>1</v>
      </c>
      <c r="AP36" s="1">
        <v>1053</v>
      </c>
      <c r="AQ36" s="1">
        <v>0</v>
      </c>
      <c r="AR36" s="1">
        <v>1748</v>
      </c>
      <c r="AS36" s="1">
        <v>1957</v>
      </c>
      <c r="AT36" s="1">
        <v>159</v>
      </c>
      <c r="AU36" s="1">
        <v>331223</v>
      </c>
      <c r="AV36" s="1">
        <v>3.4</v>
      </c>
    </row>
    <row r="37" spans="1:48">
      <c r="A37" s="1" t="s">
        <v>650</v>
      </c>
      <c r="B37" s="1" t="s">
        <v>111</v>
      </c>
      <c r="C37" s="1">
        <v>0.96075500000000003</v>
      </c>
      <c r="D37" s="1">
        <v>1369</v>
      </c>
      <c r="E37" s="1">
        <v>4265</v>
      </c>
      <c r="F37" s="1">
        <v>344</v>
      </c>
      <c r="G37" s="1">
        <v>1561743</v>
      </c>
      <c r="H37" s="1">
        <v>67.400000000000006</v>
      </c>
      <c r="I37" s="1">
        <v>1586</v>
      </c>
      <c r="J37" s="1">
        <v>5517</v>
      </c>
      <c r="K37" s="1">
        <v>110</v>
      </c>
      <c r="L37" s="1">
        <v>645993</v>
      </c>
      <c r="M37" s="1">
        <v>27.9</v>
      </c>
      <c r="N37" s="1">
        <v>1035</v>
      </c>
      <c r="O37" s="1">
        <v>325</v>
      </c>
      <c r="P37" s="1">
        <v>19</v>
      </c>
      <c r="Q37" s="1">
        <v>6573</v>
      </c>
      <c r="R37" s="1">
        <v>0.3</v>
      </c>
      <c r="S37" s="1">
        <v>1154</v>
      </c>
      <c r="T37" s="1">
        <v>1</v>
      </c>
      <c r="U37" s="1">
        <v>1</v>
      </c>
      <c r="V37" s="1">
        <v>1</v>
      </c>
      <c r="W37" s="1">
        <v>0</v>
      </c>
      <c r="X37" s="1">
        <v>1270</v>
      </c>
      <c r="Y37" s="1">
        <v>1</v>
      </c>
      <c r="Z37" s="1">
        <v>1</v>
      </c>
      <c r="AA37" s="1">
        <v>1</v>
      </c>
      <c r="AB37" s="1">
        <v>0</v>
      </c>
      <c r="AC37" s="1">
        <v>1456</v>
      </c>
      <c r="AD37" s="1">
        <v>275</v>
      </c>
      <c r="AE37" s="1">
        <v>105</v>
      </c>
      <c r="AF37" s="1">
        <v>30736</v>
      </c>
      <c r="AG37" s="1">
        <v>1.3</v>
      </c>
      <c r="AH37" s="1">
        <v>1492</v>
      </c>
      <c r="AI37" s="1">
        <v>257</v>
      </c>
      <c r="AJ37" s="1">
        <v>47</v>
      </c>
      <c r="AK37" s="1">
        <v>12858</v>
      </c>
      <c r="AL37" s="1">
        <v>0.6</v>
      </c>
      <c r="AM37" s="1">
        <v>1592</v>
      </c>
      <c r="AN37" s="1">
        <v>119</v>
      </c>
      <c r="AO37" s="1">
        <v>5</v>
      </c>
      <c r="AP37" s="1">
        <v>633</v>
      </c>
      <c r="AQ37" s="1">
        <v>0</v>
      </c>
      <c r="AR37" s="1">
        <v>1748</v>
      </c>
      <c r="AS37" s="1">
        <v>495</v>
      </c>
      <c r="AT37" s="1">
        <v>113</v>
      </c>
      <c r="AU37" s="1">
        <v>59541</v>
      </c>
      <c r="AV37" s="1">
        <v>2.6</v>
      </c>
    </row>
    <row r="38" spans="1:48">
      <c r="A38" s="1" t="s">
        <v>651</v>
      </c>
      <c r="B38" s="1" t="s">
        <v>652</v>
      </c>
      <c r="C38" s="1">
        <v>0.98261100000000001</v>
      </c>
      <c r="D38" s="1">
        <v>1369</v>
      </c>
      <c r="E38" s="1">
        <v>8797</v>
      </c>
      <c r="F38" s="1">
        <v>360</v>
      </c>
      <c r="G38" s="1">
        <v>3371082</v>
      </c>
      <c r="H38" s="1">
        <v>73.400000000000006</v>
      </c>
      <c r="I38" s="1">
        <v>1586</v>
      </c>
      <c r="J38" s="1">
        <v>9117</v>
      </c>
      <c r="K38" s="1">
        <v>104</v>
      </c>
      <c r="L38" s="1">
        <v>1009294</v>
      </c>
      <c r="M38" s="1">
        <v>22</v>
      </c>
      <c r="N38" s="1">
        <v>1045</v>
      </c>
      <c r="O38" s="1">
        <v>447</v>
      </c>
      <c r="P38" s="1">
        <v>49</v>
      </c>
      <c r="Q38" s="1">
        <v>23315</v>
      </c>
      <c r="R38" s="1">
        <v>0.5</v>
      </c>
      <c r="S38" s="1">
        <v>1154</v>
      </c>
      <c r="T38" s="1">
        <v>1</v>
      </c>
      <c r="U38" s="1">
        <v>1</v>
      </c>
      <c r="V38" s="1">
        <v>1</v>
      </c>
      <c r="W38" s="1">
        <v>0</v>
      </c>
      <c r="X38" s="1">
        <v>1270</v>
      </c>
      <c r="Y38" s="1">
        <v>1</v>
      </c>
      <c r="Z38" s="1">
        <v>1</v>
      </c>
      <c r="AA38" s="1">
        <v>1</v>
      </c>
      <c r="AB38" s="1">
        <v>0</v>
      </c>
      <c r="AC38" s="1">
        <v>1456</v>
      </c>
      <c r="AD38" s="1">
        <v>261</v>
      </c>
      <c r="AE38" s="1">
        <v>5</v>
      </c>
      <c r="AF38" s="1">
        <v>1389</v>
      </c>
      <c r="AG38" s="1">
        <v>0</v>
      </c>
      <c r="AH38" s="1">
        <v>1500</v>
      </c>
      <c r="AI38" s="1">
        <v>683</v>
      </c>
      <c r="AJ38" s="1">
        <v>33</v>
      </c>
      <c r="AK38" s="1">
        <v>23992</v>
      </c>
      <c r="AL38" s="1">
        <v>0.5</v>
      </c>
      <c r="AM38" s="1">
        <v>1598</v>
      </c>
      <c r="AN38" s="1">
        <v>309</v>
      </c>
      <c r="AO38" s="1">
        <v>25</v>
      </c>
      <c r="AP38" s="1">
        <v>8223</v>
      </c>
      <c r="AQ38" s="1">
        <v>0.2</v>
      </c>
      <c r="AR38" s="1">
        <v>1744</v>
      </c>
      <c r="AS38" s="1">
        <v>927</v>
      </c>
      <c r="AT38" s="1">
        <v>159</v>
      </c>
      <c r="AU38" s="1">
        <v>156895</v>
      </c>
      <c r="AV38" s="1">
        <v>3.4</v>
      </c>
    </row>
    <row r="39" spans="1:48">
      <c r="A39" s="1" t="s">
        <v>653</v>
      </c>
      <c r="B39" s="1" t="s">
        <v>654</v>
      </c>
      <c r="C39" s="1">
        <v>0.98406199999999999</v>
      </c>
      <c r="D39" s="1">
        <v>1369</v>
      </c>
      <c r="E39" s="1">
        <v>4509</v>
      </c>
      <c r="F39" s="1">
        <v>344</v>
      </c>
      <c r="G39" s="1">
        <v>1651091</v>
      </c>
      <c r="H39" s="1">
        <v>74.900000000000006</v>
      </c>
      <c r="I39" s="1">
        <v>1588</v>
      </c>
      <c r="J39" s="1">
        <v>4231</v>
      </c>
      <c r="K39" s="1">
        <v>104</v>
      </c>
      <c r="L39" s="1">
        <v>468391</v>
      </c>
      <c r="M39" s="1">
        <v>21.3</v>
      </c>
      <c r="N39" s="1">
        <v>1043</v>
      </c>
      <c r="O39" s="1">
        <v>181</v>
      </c>
      <c r="P39" s="1">
        <v>59</v>
      </c>
      <c r="Q39" s="1">
        <v>11367</v>
      </c>
      <c r="R39" s="1">
        <v>0.5</v>
      </c>
      <c r="S39" s="1">
        <v>1154</v>
      </c>
      <c r="T39" s="1">
        <v>1</v>
      </c>
      <c r="U39" s="1">
        <v>1</v>
      </c>
      <c r="V39" s="1">
        <v>1</v>
      </c>
      <c r="W39" s="1">
        <v>0</v>
      </c>
      <c r="X39" s="1">
        <v>1294</v>
      </c>
      <c r="Y39" s="1">
        <v>1</v>
      </c>
      <c r="Z39" s="1">
        <v>1</v>
      </c>
      <c r="AA39" s="1">
        <v>1</v>
      </c>
      <c r="AB39" s="1">
        <v>0</v>
      </c>
      <c r="AC39" s="1">
        <v>1400</v>
      </c>
      <c r="AD39" s="1">
        <v>57</v>
      </c>
      <c r="AE39" s="1">
        <v>1</v>
      </c>
      <c r="AF39" s="1">
        <v>61</v>
      </c>
      <c r="AG39" s="1">
        <v>0</v>
      </c>
      <c r="AH39" s="1">
        <v>1534</v>
      </c>
      <c r="AI39" s="1">
        <v>1</v>
      </c>
      <c r="AJ39" s="1">
        <v>5</v>
      </c>
      <c r="AK39" s="1">
        <v>5</v>
      </c>
      <c r="AL39" s="1">
        <v>0</v>
      </c>
      <c r="AM39" s="1">
        <v>1598</v>
      </c>
      <c r="AN39" s="1">
        <v>609</v>
      </c>
      <c r="AO39" s="1">
        <v>25</v>
      </c>
      <c r="AP39" s="1">
        <v>16207</v>
      </c>
      <c r="AQ39" s="1">
        <v>0.7</v>
      </c>
      <c r="AR39" s="1">
        <v>1748</v>
      </c>
      <c r="AS39" s="1">
        <v>271</v>
      </c>
      <c r="AT39" s="1">
        <v>195</v>
      </c>
      <c r="AU39" s="1">
        <v>56252</v>
      </c>
      <c r="AV39" s="1">
        <v>2.6</v>
      </c>
    </row>
    <row r="40" spans="1:48">
      <c r="A40" s="1" t="s">
        <v>655</v>
      </c>
      <c r="B40" s="1" t="s">
        <v>656</v>
      </c>
      <c r="C40" s="1">
        <v>0.98534100000000002</v>
      </c>
      <c r="D40" s="1">
        <v>1369</v>
      </c>
      <c r="E40" s="1">
        <v>1773</v>
      </c>
      <c r="F40" s="1">
        <v>338</v>
      </c>
      <c r="G40" s="1">
        <v>637907</v>
      </c>
      <c r="H40" s="1">
        <v>76.599999999999994</v>
      </c>
      <c r="I40" s="1">
        <v>1584</v>
      </c>
      <c r="J40" s="1">
        <v>1565</v>
      </c>
      <c r="K40" s="1">
        <v>104</v>
      </c>
      <c r="L40" s="1">
        <v>173253</v>
      </c>
      <c r="M40" s="1">
        <v>20.8</v>
      </c>
      <c r="N40" s="1">
        <v>1055</v>
      </c>
      <c r="O40" s="1">
        <v>111</v>
      </c>
      <c r="P40" s="1">
        <v>45</v>
      </c>
      <c r="Q40" s="1">
        <v>5317</v>
      </c>
      <c r="R40" s="1">
        <v>0.6</v>
      </c>
      <c r="S40" s="1">
        <v>1154</v>
      </c>
      <c r="T40" s="1">
        <v>7</v>
      </c>
      <c r="U40" s="1">
        <v>1</v>
      </c>
      <c r="V40" s="1">
        <v>7</v>
      </c>
      <c r="W40" s="1">
        <v>0</v>
      </c>
      <c r="X40" s="1">
        <v>1290</v>
      </c>
      <c r="Y40" s="1">
        <v>3</v>
      </c>
      <c r="Z40" s="1">
        <v>3</v>
      </c>
      <c r="AA40" s="1">
        <v>10</v>
      </c>
      <c r="AB40" s="1">
        <v>0</v>
      </c>
      <c r="AC40" s="1">
        <v>1458</v>
      </c>
      <c r="AD40" s="1">
        <v>53</v>
      </c>
      <c r="AE40" s="1">
        <v>1</v>
      </c>
      <c r="AF40" s="1">
        <v>56</v>
      </c>
      <c r="AG40" s="1">
        <v>0</v>
      </c>
      <c r="AH40" s="1">
        <v>1500</v>
      </c>
      <c r="AI40" s="1">
        <v>49</v>
      </c>
      <c r="AJ40" s="1">
        <v>29</v>
      </c>
      <c r="AK40" s="1">
        <v>1513</v>
      </c>
      <c r="AL40" s="1">
        <v>0.2</v>
      </c>
      <c r="AM40" s="1">
        <v>1592</v>
      </c>
      <c r="AN40" s="1">
        <v>37</v>
      </c>
      <c r="AO40" s="1">
        <v>21</v>
      </c>
      <c r="AP40" s="1">
        <v>827</v>
      </c>
      <c r="AQ40" s="1">
        <v>0.1</v>
      </c>
      <c r="AR40" s="1">
        <v>1712</v>
      </c>
      <c r="AS40" s="1">
        <v>133</v>
      </c>
      <c r="AT40" s="1">
        <v>95</v>
      </c>
      <c r="AU40" s="1">
        <v>13450</v>
      </c>
      <c r="AV40" s="1">
        <v>1.6</v>
      </c>
    </row>
    <row r="41" spans="1:48">
      <c r="A41" s="1" t="s">
        <v>657</v>
      </c>
      <c r="B41" s="1" t="s">
        <v>658</v>
      </c>
      <c r="C41" s="1">
        <v>0.98609100000000005</v>
      </c>
      <c r="D41" s="1">
        <v>1369</v>
      </c>
      <c r="E41" s="1">
        <v>2787</v>
      </c>
      <c r="F41" s="1">
        <v>342</v>
      </c>
      <c r="G41" s="1">
        <v>1014601</v>
      </c>
      <c r="H41" s="1">
        <v>76.599999999999994</v>
      </c>
      <c r="I41" s="1">
        <v>1584</v>
      </c>
      <c r="J41" s="1">
        <v>2385</v>
      </c>
      <c r="K41" s="1">
        <v>104</v>
      </c>
      <c r="L41" s="1">
        <v>264030</v>
      </c>
      <c r="M41" s="1">
        <v>19.899999999999999</v>
      </c>
      <c r="N41" s="1">
        <v>1027</v>
      </c>
      <c r="O41" s="1">
        <v>95</v>
      </c>
      <c r="P41" s="1">
        <v>85</v>
      </c>
      <c r="Q41" s="1">
        <v>8596</v>
      </c>
      <c r="R41" s="1">
        <v>0.6</v>
      </c>
      <c r="S41" s="1">
        <v>1158</v>
      </c>
      <c r="T41" s="1">
        <v>1</v>
      </c>
      <c r="U41" s="1">
        <v>1</v>
      </c>
      <c r="V41" s="1">
        <v>1</v>
      </c>
      <c r="W41" s="1">
        <v>0</v>
      </c>
      <c r="X41" s="1">
        <v>1292</v>
      </c>
      <c r="Y41" s="1">
        <v>85</v>
      </c>
      <c r="Z41" s="1">
        <v>1</v>
      </c>
      <c r="AA41" s="1">
        <v>90</v>
      </c>
      <c r="AB41" s="1">
        <v>0</v>
      </c>
      <c r="AC41" s="1">
        <v>1458</v>
      </c>
      <c r="AD41" s="1">
        <v>1</v>
      </c>
      <c r="AE41" s="1">
        <v>1</v>
      </c>
      <c r="AF41" s="1">
        <v>1</v>
      </c>
      <c r="AG41" s="1">
        <v>0</v>
      </c>
      <c r="AH41" s="1">
        <v>1498</v>
      </c>
      <c r="AI41" s="1">
        <v>107</v>
      </c>
      <c r="AJ41" s="1">
        <v>37</v>
      </c>
      <c r="AK41" s="1">
        <v>4214</v>
      </c>
      <c r="AL41" s="1">
        <v>0.3</v>
      </c>
      <c r="AM41" s="1">
        <v>1592</v>
      </c>
      <c r="AN41" s="1">
        <v>243</v>
      </c>
      <c r="AO41" s="1">
        <v>21</v>
      </c>
      <c r="AP41" s="1">
        <v>5432</v>
      </c>
      <c r="AQ41" s="1">
        <v>0.4</v>
      </c>
      <c r="AR41" s="1">
        <v>1736</v>
      </c>
      <c r="AS41" s="1">
        <v>189</v>
      </c>
      <c r="AT41" s="1">
        <v>137</v>
      </c>
      <c r="AU41" s="1">
        <v>27562</v>
      </c>
      <c r="AV41" s="1">
        <v>2.1</v>
      </c>
    </row>
    <row r="42" spans="1:48">
      <c r="A42" s="1" t="s">
        <v>659</v>
      </c>
      <c r="B42" s="1" t="s">
        <v>660</v>
      </c>
      <c r="C42" s="1">
        <v>0.977657</v>
      </c>
      <c r="D42" s="1">
        <v>1369</v>
      </c>
      <c r="E42" s="1">
        <v>1133</v>
      </c>
      <c r="F42" s="1">
        <v>330</v>
      </c>
      <c r="G42" s="1">
        <v>397994</v>
      </c>
      <c r="H42" s="1">
        <v>71</v>
      </c>
      <c r="I42" s="1">
        <v>1588</v>
      </c>
      <c r="J42" s="1">
        <v>1113</v>
      </c>
      <c r="K42" s="1">
        <v>104</v>
      </c>
      <c r="L42" s="1">
        <v>123214</v>
      </c>
      <c r="M42" s="1">
        <v>22</v>
      </c>
      <c r="N42" s="1">
        <v>1025</v>
      </c>
      <c r="O42" s="1">
        <v>39</v>
      </c>
      <c r="P42" s="1">
        <v>63</v>
      </c>
      <c r="Q42" s="1">
        <v>2615</v>
      </c>
      <c r="R42" s="1">
        <v>0.5</v>
      </c>
      <c r="S42" s="1">
        <v>1162</v>
      </c>
      <c r="T42" s="1">
        <v>47</v>
      </c>
      <c r="U42" s="1">
        <v>1</v>
      </c>
      <c r="V42" s="1">
        <v>50</v>
      </c>
      <c r="W42" s="1">
        <v>0</v>
      </c>
      <c r="X42" s="1">
        <v>1296</v>
      </c>
      <c r="Y42" s="1">
        <v>3</v>
      </c>
      <c r="Z42" s="1">
        <v>1</v>
      </c>
      <c r="AA42" s="1">
        <v>3</v>
      </c>
      <c r="AB42" s="1">
        <v>0</v>
      </c>
      <c r="AC42" s="1">
        <v>1450</v>
      </c>
      <c r="AD42" s="1">
        <v>21</v>
      </c>
      <c r="AE42" s="1">
        <v>1</v>
      </c>
      <c r="AF42" s="1">
        <v>22</v>
      </c>
      <c r="AG42" s="1">
        <v>0</v>
      </c>
      <c r="AH42" s="1">
        <v>1504</v>
      </c>
      <c r="AI42" s="1">
        <v>79</v>
      </c>
      <c r="AJ42" s="1">
        <v>45</v>
      </c>
      <c r="AK42" s="1">
        <v>3784</v>
      </c>
      <c r="AL42" s="1">
        <v>0.7</v>
      </c>
      <c r="AM42" s="1">
        <v>1598</v>
      </c>
      <c r="AN42" s="1">
        <v>131</v>
      </c>
      <c r="AO42" s="1">
        <v>3</v>
      </c>
      <c r="AP42" s="1">
        <v>418</v>
      </c>
      <c r="AQ42" s="1">
        <v>0.1</v>
      </c>
      <c r="AR42" s="1">
        <v>1748</v>
      </c>
      <c r="AS42" s="1">
        <v>153</v>
      </c>
      <c r="AT42" s="1">
        <v>199</v>
      </c>
      <c r="AU42" s="1">
        <v>32410</v>
      </c>
      <c r="AV42" s="1">
        <v>5.8</v>
      </c>
    </row>
    <row r="43" spans="1:48">
      <c r="A43" s="1" t="s">
        <v>661</v>
      </c>
      <c r="B43" s="1" t="s">
        <v>662</v>
      </c>
      <c r="C43" s="1">
        <v>0.98711800000000005</v>
      </c>
      <c r="D43" s="1">
        <v>1369</v>
      </c>
      <c r="E43" s="1">
        <v>2499</v>
      </c>
      <c r="F43" s="1">
        <v>324</v>
      </c>
      <c r="G43" s="1">
        <v>861873</v>
      </c>
      <c r="H43" s="1">
        <v>74.5</v>
      </c>
      <c r="I43" s="1">
        <v>1584</v>
      </c>
      <c r="J43" s="1">
        <v>2411</v>
      </c>
      <c r="K43" s="1">
        <v>102</v>
      </c>
      <c r="L43" s="1">
        <v>261776</v>
      </c>
      <c r="M43" s="1">
        <v>22.6</v>
      </c>
      <c r="N43" s="1">
        <v>1045</v>
      </c>
      <c r="O43" s="1">
        <v>109</v>
      </c>
      <c r="P43" s="1">
        <v>79</v>
      </c>
      <c r="Q43" s="1">
        <v>9166</v>
      </c>
      <c r="R43" s="1">
        <v>0.8</v>
      </c>
      <c r="S43" s="1">
        <v>1154</v>
      </c>
      <c r="T43" s="1">
        <v>1</v>
      </c>
      <c r="U43" s="1">
        <v>1</v>
      </c>
      <c r="V43" s="1">
        <v>1</v>
      </c>
      <c r="W43" s="1">
        <v>0</v>
      </c>
      <c r="X43" s="1">
        <v>1296</v>
      </c>
      <c r="Y43" s="1">
        <v>5</v>
      </c>
      <c r="Z43" s="1">
        <v>1</v>
      </c>
      <c r="AA43" s="1">
        <v>5</v>
      </c>
      <c r="AB43" s="1">
        <v>0</v>
      </c>
      <c r="AC43" s="1">
        <v>1410</v>
      </c>
      <c r="AD43" s="1">
        <v>1</v>
      </c>
      <c r="AE43" s="1">
        <v>1</v>
      </c>
      <c r="AF43" s="1">
        <v>1</v>
      </c>
      <c r="AG43" s="1">
        <v>0</v>
      </c>
      <c r="AH43" s="1">
        <v>1500</v>
      </c>
      <c r="AI43" s="1">
        <v>245</v>
      </c>
      <c r="AJ43" s="1">
        <v>3</v>
      </c>
      <c r="AK43" s="1">
        <v>782</v>
      </c>
      <c r="AL43" s="1">
        <v>0.1</v>
      </c>
      <c r="AM43" s="1">
        <v>1594</v>
      </c>
      <c r="AN43" s="1">
        <v>469</v>
      </c>
      <c r="AO43" s="1">
        <v>5</v>
      </c>
      <c r="AP43" s="1">
        <v>2496</v>
      </c>
      <c r="AQ43" s="1">
        <v>0.2</v>
      </c>
      <c r="AR43" s="1">
        <v>1724</v>
      </c>
      <c r="AS43" s="1">
        <v>189</v>
      </c>
      <c r="AT43" s="1">
        <v>103</v>
      </c>
      <c r="AU43" s="1">
        <v>20722</v>
      </c>
      <c r="AV43" s="1">
        <v>1.8</v>
      </c>
    </row>
    <row r="44" spans="1:48">
      <c r="A44" s="1" t="s">
        <v>663</v>
      </c>
      <c r="B44" s="1" t="s">
        <v>664</v>
      </c>
      <c r="C44" s="1">
        <v>0.98393799999999998</v>
      </c>
      <c r="D44" s="1">
        <v>1369</v>
      </c>
      <c r="E44" s="1">
        <v>1367</v>
      </c>
      <c r="F44" s="1">
        <v>336</v>
      </c>
      <c r="G44" s="1">
        <v>488922</v>
      </c>
      <c r="H44" s="1">
        <v>76.900000000000006</v>
      </c>
      <c r="I44" s="1">
        <v>1586</v>
      </c>
      <c r="J44" s="1">
        <v>1227</v>
      </c>
      <c r="K44" s="1">
        <v>104</v>
      </c>
      <c r="L44" s="1">
        <v>135835</v>
      </c>
      <c r="M44" s="1">
        <v>21.4</v>
      </c>
      <c r="N44" s="1">
        <v>1055</v>
      </c>
      <c r="O44" s="1">
        <v>95</v>
      </c>
      <c r="P44" s="1">
        <v>7</v>
      </c>
      <c r="Q44" s="1">
        <v>708</v>
      </c>
      <c r="R44" s="1">
        <v>0.1</v>
      </c>
      <c r="S44" s="1">
        <v>1158</v>
      </c>
      <c r="T44" s="1">
        <v>1</v>
      </c>
      <c r="U44" s="1">
        <v>1</v>
      </c>
      <c r="V44" s="1">
        <v>1</v>
      </c>
      <c r="W44" s="1">
        <v>0</v>
      </c>
      <c r="X44" s="1">
        <v>1286</v>
      </c>
      <c r="Y44" s="1">
        <v>23</v>
      </c>
      <c r="Z44" s="1">
        <v>1</v>
      </c>
      <c r="AA44" s="1">
        <v>24</v>
      </c>
      <c r="AB44" s="1">
        <v>0</v>
      </c>
      <c r="AC44" s="1">
        <v>1458</v>
      </c>
      <c r="AD44" s="1">
        <v>27</v>
      </c>
      <c r="AE44" s="1">
        <v>1</v>
      </c>
      <c r="AF44" s="1">
        <v>29</v>
      </c>
      <c r="AG44" s="1">
        <v>0</v>
      </c>
      <c r="AH44" s="1">
        <v>1502</v>
      </c>
      <c r="AI44" s="1">
        <v>175</v>
      </c>
      <c r="AJ44" s="1">
        <v>1</v>
      </c>
      <c r="AK44" s="1">
        <v>186</v>
      </c>
      <c r="AL44" s="1">
        <v>0</v>
      </c>
      <c r="AM44" s="1">
        <v>1594</v>
      </c>
      <c r="AN44" s="1">
        <v>73</v>
      </c>
      <c r="AO44" s="1">
        <v>23</v>
      </c>
      <c r="AP44" s="1">
        <v>1787</v>
      </c>
      <c r="AQ44" s="1">
        <v>0.3</v>
      </c>
      <c r="AR44" s="1">
        <v>1726</v>
      </c>
      <c r="AS44" s="1">
        <v>81</v>
      </c>
      <c r="AT44" s="1">
        <v>97</v>
      </c>
      <c r="AU44" s="1">
        <v>8364</v>
      </c>
      <c r="AV44" s="1">
        <v>1.3</v>
      </c>
    </row>
    <row r="45" spans="1:48">
      <c r="A45" s="1" t="s">
        <v>665</v>
      </c>
      <c r="B45" s="1" t="s">
        <v>506</v>
      </c>
      <c r="C45" s="1">
        <v>0.98219500000000004</v>
      </c>
      <c r="D45" s="1">
        <v>1369</v>
      </c>
      <c r="E45" s="1">
        <v>755</v>
      </c>
      <c r="F45" s="1">
        <v>302</v>
      </c>
      <c r="G45" s="1">
        <v>242709</v>
      </c>
      <c r="H45" s="1">
        <v>69.099999999999994</v>
      </c>
      <c r="I45" s="1">
        <v>1586</v>
      </c>
      <c r="J45" s="1">
        <v>903</v>
      </c>
      <c r="K45" s="1">
        <v>104</v>
      </c>
      <c r="L45" s="1">
        <v>99966</v>
      </c>
      <c r="M45" s="1">
        <v>28.4</v>
      </c>
      <c r="N45" s="1">
        <v>1051</v>
      </c>
      <c r="O45" s="1">
        <v>25</v>
      </c>
      <c r="P45" s="1">
        <v>35</v>
      </c>
      <c r="Q45" s="1">
        <v>931</v>
      </c>
      <c r="R45" s="1">
        <v>0.3</v>
      </c>
      <c r="S45" s="1">
        <v>1174</v>
      </c>
      <c r="T45" s="1">
        <v>109</v>
      </c>
      <c r="U45" s="1">
        <v>1</v>
      </c>
      <c r="V45" s="1">
        <v>116</v>
      </c>
      <c r="W45" s="1">
        <v>0</v>
      </c>
      <c r="X45" s="1">
        <v>1296</v>
      </c>
      <c r="Y45" s="1">
        <v>35</v>
      </c>
      <c r="Z45" s="1">
        <v>1</v>
      </c>
      <c r="AA45" s="1">
        <v>37</v>
      </c>
      <c r="AB45" s="1">
        <v>0</v>
      </c>
      <c r="AC45" s="1">
        <v>1428</v>
      </c>
      <c r="AD45" s="1">
        <v>39</v>
      </c>
      <c r="AE45" s="1">
        <v>3</v>
      </c>
      <c r="AF45" s="1">
        <v>125</v>
      </c>
      <c r="AG45" s="1">
        <v>0</v>
      </c>
      <c r="AH45" s="1">
        <v>1500</v>
      </c>
      <c r="AI45" s="1">
        <v>83</v>
      </c>
      <c r="AJ45" s="1">
        <v>25</v>
      </c>
      <c r="AK45" s="1">
        <v>2209</v>
      </c>
      <c r="AL45" s="1">
        <v>0.6</v>
      </c>
      <c r="AM45" s="1">
        <v>1586</v>
      </c>
      <c r="AN45" s="1">
        <v>63</v>
      </c>
      <c r="AO45" s="1">
        <v>27</v>
      </c>
      <c r="AP45" s="1">
        <v>1811</v>
      </c>
      <c r="AQ45" s="1">
        <v>0.5</v>
      </c>
      <c r="AR45" s="1">
        <v>1702</v>
      </c>
      <c r="AS45" s="1">
        <v>81</v>
      </c>
      <c r="AT45" s="1">
        <v>41</v>
      </c>
      <c r="AU45" s="1">
        <v>3535</v>
      </c>
      <c r="AV45" s="1">
        <v>1</v>
      </c>
    </row>
    <row r="46" spans="1:48">
      <c r="A46" s="1" t="s">
        <v>666</v>
      </c>
      <c r="B46" s="1" t="s">
        <v>667</v>
      </c>
      <c r="C46" s="1">
        <v>0.98433000000000004</v>
      </c>
      <c r="D46" s="1">
        <v>1369</v>
      </c>
      <c r="E46" s="1">
        <v>697</v>
      </c>
      <c r="F46" s="1">
        <v>316</v>
      </c>
      <c r="G46" s="1">
        <v>234451</v>
      </c>
      <c r="H46" s="1">
        <v>68.900000000000006</v>
      </c>
      <c r="I46" s="1">
        <v>1586</v>
      </c>
      <c r="J46" s="1">
        <v>781</v>
      </c>
      <c r="K46" s="1">
        <v>112</v>
      </c>
      <c r="L46" s="1">
        <v>93111</v>
      </c>
      <c r="M46" s="1">
        <v>27.4</v>
      </c>
      <c r="N46" s="1">
        <v>1021</v>
      </c>
      <c r="O46" s="1">
        <v>21</v>
      </c>
      <c r="P46" s="1">
        <v>19</v>
      </c>
      <c r="Q46" s="1">
        <v>425</v>
      </c>
      <c r="R46" s="1">
        <v>0.1</v>
      </c>
      <c r="S46" s="1">
        <v>1156</v>
      </c>
      <c r="T46" s="1">
        <v>3</v>
      </c>
      <c r="U46" s="1">
        <v>3</v>
      </c>
      <c r="V46" s="1">
        <v>10</v>
      </c>
      <c r="W46" s="1">
        <v>0</v>
      </c>
      <c r="X46" s="1">
        <v>1292</v>
      </c>
      <c r="Y46" s="1">
        <v>11</v>
      </c>
      <c r="Z46" s="1">
        <v>1</v>
      </c>
      <c r="AA46" s="1">
        <v>12</v>
      </c>
      <c r="AB46" s="1">
        <v>0</v>
      </c>
      <c r="AC46" s="1">
        <v>1456</v>
      </c>
      <c r="AD46" s="1">
        <v>3</v>
      </c>
      <c r="AE46" s="1">
        <v>43</v>
      </c>
      <c r="AF46" s="1">
        <v>137</v>
      </c>
      <c r="AG46" s="1">
        <v>0</v>
      </c>
      <c r="AH46" s="1">
        <v>1488</v>
      </c>
      <c r="AI46" s="1">
        <v>111</v>
      </c>
      <c r="AJ46" s="1">
        <v>1</v>
      </c>
      <c r="AK46" s="1">
        <v>118</v>
      </c>
      <c r="AL46" s="1">
        <v>0</v>
      </c>
      <c r="AM46" s="1">
        <v>1594</v>
      </c>
      <c r="AN46" s="1">
        <v>29</v>
      </c>
      <c r="AO46" s="1">
        <v>31</v>
      </c>
      <c r="AP46" s="1">
        <v>957</v>
      </c>
      <c r="AQ46" s="1">
        <v>0.3</v>
      </c>
      <c r="AR46" s="1">
        <v>1738</v>
      </c>
      <c r="AS46" s="1">
        <v>75</v>
      </c>
      <c r="AT46" s="1">
        <v>137</v>
      </c>
      <c r="AU46" s="1">
        <v>10937</v>
      </c>
      <c r="AV46" s="1">
        <v>3.2</v>
      </c>
    </row>
    <row r="47" spans="1:48">
      <c r="A47" s="1" t="s">
        <v>668</v>
      </c>
      <c r="B47" s="1" t="s">
        <v>506</v>
      </c>
      <c r="C47" s="1">
        <v>0.99112199999999995</v>
      </c>
      <c r="D47" s="1">
        <v>1369</v>
      </c>
      <c r="E47" s="1">
        <v>1101</v>
      </c>
      <c r="F47" s="1">
        <v>332</v>
      </c>
      <c r="G47" s="1">
        <v>389097</v>
      </c>
      <c r="H47" s="1">
        <v>73.2</v>
      </c>
      <c r="I47" s="1">
        <v>1584</v>
      </c>
      <c r="J47" s="1">
        <v>1161</v>
      </c>
      <c r="K47" s="1">
        <v>106</v>
      </c>
      <c r="L47" s="1">
        <v>131000</v>
      </c>
      <c r="M47" s="1">
        <v>24.6</v>
      </c>
      <c r="N47" s="1">
        <v>1031</v>
      </c>
      <c r="O47" s="1">
        <v>45</v>
      </c>
      <c r="P47" s="1">
        <v>11</v>
      </c>
      <c r="Q47" s="1">
        <v>527</v>
      </c>
      <c r="R47" s="1">
        <v>0.1</v>
      </c>
      <c r="S47" s="1">
        <v>1160</v>
      </c>
      <c r="T47" s="1">
        <v>65</v>
      </c>
      <c r="U47" s="1">
        <v>3</v>
      </c>
      <c r="V47" s="1">
        <v>208</v>
      </c>
      <c r="W47" s="1">
        <v>0</v>
      </c>
      <c r="X47" s="1">
        <v>1282</v>
      </c>
      <c r="Y47" s="1">
        <v>11</v>
      </c>
      <c r="Z47" s="1">
        <v>1</v>
      </c>
      <c r="AA47" s="1">
        <v>12</v>
      </c>
      <c r="AB47" s="1">
        <v>0</v>
      </c>
      <c r="AC47" s="1">
        <v>1456</v>
      </c>
      <c r="AD47" s="1">
        <v>9</v>
      </c>
      <c r="AE47" s="1">
        <v>3</v>
      </c>
      <c r="AF47" s="1">
        <v>29</v>
      </c>
      <c r="AG47" s="1">
        <v>0</v>
      </c>
      <c r="AH47" s="1">
        <v>1500</v>
      </c>
      <c r="AI47" s="1">
        <v>85</v>
      </c>
      <c r="AJ47" s="1">
        <v>9</v>
      </c>
      <c r="AK47" s="1">
        <v>814</v>
      </c>
      <c r="AL47" s="1">
        <v>0.2</v>
      </c>
      <c r="AM47" s="1">
        <v>1590</v>
      </c>
      <c r="AN47" s="1">
        <v>55</v>
      </c>
      <c r="AO47" s="1">
        <v>25</v>
      </c>
      <c r="AP47" s="1">
        <v>1464</v>
      </c>
      <c r="AQ47" s="1">
        <v>0.3</v>
      </c>
      <c r="AR47" s="1">
        <v>1700</v>
      </c>
      <c r="AS47" s="1">
        <v>133</v>
      </c>
      <c r="AT47" s="1">
        <v>61</v>
      </c>
      <c r="AU47" s="1">
        <v>8636</v>
      </c>
      <c r="AV47" s="1">
        <v>1.6</v>
      </c>
    </row>
    <row r="48" spans="1:48">
      <c r="A48" s="1" t="s">
        <v>669</v>
      </c>
      <c r="B48" s="1" t="s">
        <v>670</v>
      </c>
      <c r="C48" s="1">
        <v>0.98739600000000005</v>
      </c>
      <c r="D48" s="1">
        <v>1369</v>
      </c>
      <c r="E48" s="1">
        <v>1213</v>
      </c>
      <c r="F48" s="1">
        <v>328</v>
      </c>
      <c r="G48" s="1">
        <v>423513</v>
      </c>
      <c r="H48" s="1">
        <v>70.599999999999994</v>
      </c>
      <c r="I48" s="1">
        <v>1586</v>
      </c>
      <c r="J48" s="1">
        <v>1403</v>
      </c>
      <c r="K48" s="1">
        <v>106</v>
      </c>
      <c r="L48" s="1">
        <v>158305</v>
      </c>
      <c r="M48" s="1">
        <v>26.4</v>
      </c>
      <c r="N48" s="1">
        <v>1055</v>
      </c>
      <c r="O48" s="1">
        <v>49</v>
      </c>
      <c r="P48" s="1">
        <v>41</v>
      </c>
      <c r="Q48" s="1">
        <v>2139</v>
      </c>
      <c r="R48" s="1">
        <v>0.4</v>
      </c>
      <c r="S48" s="1">
        <v>1160</v>
      </c>
      <c r="T48" s="1">
        <v>41</v>
      </c>
      <c r="U48" s="1">
        <v>1</v>
      </c>
      <c r="V48" s="1">
        <v>44</v>
      </c>
      <c r="W48" s="1">
        <v>0</v>
      </c>
      <c r="X48" s="1">
        <v>1260</v>
      </c>
      <c r="Y48" s="1">
        <v>1</v>
      </c>
      <c r="Z48" s="1">
        <v>1</v>
      </c>
      <c r="AA48" s="1">
        <v>1</v>
      </c>
      <c r="AB48" s="1">
        <v>0</v>
      </c>
      <c r="AC48" s="1">
        <v>1456</v>
      </c>
      <c r="AD48" s="1">
        <v>29</v>
      </c>
      <c r="AE48" s="1">
        <v>1</v>
      </c>
      <c r="AF48" s="1">
        <v>31</v>
      </c>
      <c r="AG48" s="1">
        <v>0</v>
      </c>
      <c r="AH48" s="1">
        <v>1500</v>
      </c>
      <c r="AI48" s="1">
        <v>65</v>
      </c>
      <c r="AJ48" s="1">
        <v>9</v>
      </c>
      <c r="AK48" s="1">
        <v>623</v>
      </c>
      <c r="AL48" s="1">
        <v>0.1</v>
      </c>
      <c r="AM48" s="1">
        <v>1590</v>
      </c>
      <c r="AN48" s="1">
        <v>149</v>
      </c>
      <c r="AO48" s="1">
        <v>1</v>
      </c>
      <c r="AP48" s="1">
        <v>159</v>
      </c>
      <c r="AQ48" s="1">
        <v>0</v>
      </c>
      <c r="AR48" s="1">
        <v>1714</v>
      </c>
      <c r="AS48" s="1">
        <v>153</v>
      </c>
      <c r="AT48" s="1">
        <v>91</v>
      </c>
      <c r="AU48" s="1">
        <v>14821</v>
      </c>
      <c r="AV48" s="1">
        <v>2.5</v>
      </c>
    </row>
    <row r="49" spans="1:48">
      <c r="A49" s="1" t="s">
        <v>671</v>
      </c>
      <c r="B49" s="1" t="s">
        <v>672</v>
      </c>
      <c r="C49" s="1">
        <v>0.98925799999999997</v>
      </c>
      <c r="D49" s="1">
        <v>1369</v>
      </c>
      <c r="E49" s="1">
        <v>1611</v>
      </c>
      <c r="F49" s="1">
        <v>326</v>
      </c>
      <c r="G49" s="1">
        <v>559043</v>
      </c>
      <c r="H49" s="1">
        <v>69.900000000000006</v>
      </c>
      <c r="I49" s="1">
        <v>1588</v>
      </c>
      <c r="J49" s="1">
        <v>1845</v>
      </c>
      <c r="K49" s="1">
        <v>112</v>
      </c>
      <c r="L49" s="1">
        <v>219961</v>
      </c>
      <c r="M49" s="1">
        <v>27.5</v>
      </c>
      <c r="N49" s="1">
        <v>1035</v>
      </c>
      <c r="O49" s="1">
        <v>149</v>
      </c>
      <c r="P49" s="1">
        <v>1</v>
      </c>
      <c r="Q49" s="1">
        <v>159</v>
      </c>
      <c r="R49" s="1">
        <v>0</v>
      </c>
      <c r="S49" s="1">
        <v>1156</v>
      </c>
      <c r="T49" s="1">
        <v>15</v>
      </c>
      <c r="U49" s="1">
        <v>7</v>
      </c>
      <c r="V49" s="1">
        <v>112</v>
      </c>
      <c r="W49" s="1">
        <v>0</v>
      </c>
      <c r="X49" s="1">
        <v>1260</v>
      </c>
      <c r="Y49" s="1">
        <v>1</v>
      </c>
      <c r="Z49" s="1">
        <v>1</v>
      </c>
      <c r="AA49" s="1">
        <v>1</v>
      </c>
      <c r="AB49" s="1">
        <v>0</v>
      </c>
      <c r="AC49" s="1">
        <v>1456</v>
      </c>
      <c r="AD49" s="1">
        <v>31</v>
      </c>
      <c r="AE49" s="1">
        <v>69</v>
      </c>
      <c r="AF49" s="1">
        <v>2277</v>
      </c>
      <c r="AG49" s="1">
        <v>0.3</v>
      </c>
      <c r="AH49" s="1">
        <v>1488</v>
      </c>
      <c r="AI49" s="1">
        <v>171</v>
      </c>
      <c r="AJ49" s="1">
        <v>3</v>
      </c>
      <c r="AK49" s="1">
        <v>546</v>
      </c>
      <c r="AL49" s="1">
        <v>0.1</v>
      </c>
      <c r="AM49" s="1">
        <v>1586</v>
      </c>
      <c r="AN49" s="1">
        <v>103</v>
      </c>
      <c r="AO49" s="1">
        <v>13</v>
      </c>
      <c r="AP49" s="1">
        <v>1425</v>
      </c>
      <c r="AQ49" s="1">
        <v>0.2</v>
      </c>
      <c r="AR49" s="1">
        <v>1726</v>
      </c>
      <c r="AS49" s="1">
        <v>171</v>
      </c>
      <c r="AT49" s="1">
        <v>89</v>
      </c>
      <c r="AU49" s="1">
        <v>16200</v>
      </c>
      <c r="AV49" s="1">
        <v>2</v>
      </c>
    </row>
    <row r="50" spans="1:48">
      <c r="A50" s="1" t="s">
        <v>673</v>
      </c>
      <c r="B50" s="1" t="s">
        <v>674</v>
      </c>
      <c r="C50" s="1">
        <v>0.98175999999999997</v>
      </c>
      <c r="D50" s="1">
        <v>1365</v>
      </c>
      <c r="E50" s="1">
        <v>16417</v>
      </c>
      <c r="F50" s="1">
        <v>270</v>
      </c>
      <c r="G50" s="1">
        <v>4718346</v>
      </c>
      <c r="H50" s="1">
        <v>61.6</v>
      </c>
      <c r="I50" s="1">
        <v>1594</v>
      </c>
      <c r="J50" s="1">
        <v>21123</v>
      </c>
      <c r="K50" s="1">
        <v>100</v>
      </c>
      <c r="L50" s="1">
        <v>2248474</v>
      </c>
      <c r="M50" s="1">
        <v>29.4</v>
      </c>
      <c r="N50" s="1">
        <v>1021</v>
      </c>
      <c r="O50" s="1">
        <v>611</v>
      </c>
      <c r="P50" s="1">
        <v>35</v>
      </c>
      <c r="Q50" s="1">
        <v>22764</v>
      </c>
      <c r="R50" s="1">
        <v>0.3</v>
      </c>
      <c r="S50" s="1">
        <v>1156</v>
      </c>
      <c r="T50" s="1">
        <v>321</v>
      </c>
      <c r="U50" s="1">
        <v>43</v>
      </c>
      <c r="V50" s="1">
        <v>14693</v>
      </c>
      <c r="W50" s="1">
        <v>0.2</v>
      </c>
      <c r="X50" s="1">
        <v>1270</v>
      </c>
      <c r="Y50" s="1">
        <v>1</v>
      </c>
      <c r="Z50" s="1">
        <v>1</v>
      </c>
      <c r="AA50" s="1">
        <v>1</v>
      </c>
      <c r="AB50" s="1">
        <v>0</v>
      </c>
      <c r="AC50" s="1">
        <v>1456</v>
      </c>
      <c r="AD50" s="1">
        <v>323</v>
      </c>
      <c r="AE50" s="1">
        <v>123</v>
      </c>
      <c r="AF50" s="1">
        <v>42290</v>
      </c>
      <c r="AG50" s="1">
        <v>0.6</v>
      </c>
      <c r="AH50" s="1">
        <v>1500</v>
      </c>
      <c r="AI50" s="1">
        <v>519</v>
      </c>
      <c r="AJ50" s="1">
        <v>35</v>
      </c>
      <c r="AK50" s="1">
        <v>19336</v>
      </c>
      <c r="AL50" s="1">
        <v>0.3</v>
      </c>
      <c r="AM50" s="1">
        <v>1598</v>
      </c>
      <c r="AN50" s="1">
        <v>2195</v>
      </c>
      <c r="AO50" s="1">
        <v>25</v>
      </c>
      <c r="AP50" s="1">
        <v>58413</v>
      </c>
      <c r="AQ50" s="1">
        <v>0.8</v>
      </c>
      <c r="AR50" s="1">
        <v>1738</v>
      </c>
      <c r="AS50" s="1">
        <v>2775</v>
      </c>
      <c r="AT50" s="1">
        <v>181</v>
      </c>
      <c r="AU50" s="1">
        <v>534655</v>
      </c>
      <c r="AV50" s="1">
        <v>7</v>
      </c>
    </row>
    <row r="51" spans="1:48">
      <c r="A51" s="1" t="s">
        <v>675</v>
      </c>
      <c r="B51" s="1" t="s">
        <v>676</v>
      </c>
      <c r="C51" s="1">
        <v>0.98389499999999996</v>
      </c>
      <c r="D51" s="1">
        <v>1355</v>
      </c>
      <c r="E51" s="1">
        <v>6495</v>
      </c>
      <c r="F51" s="1">
        <v>266</v>
      </c>
      <c r="G51" s="1">
        <v>1839048</v>
      </c>
      <c r="H51" s="1">
        <v>61.7</v>
      </c>
      <c r="I51" s="1">
        <v>1594</v>
      </c>
      <c r="J51" s="1">
        <v>8617</v>
      </c>
      <c r="K51" s="1">
        <v>100</v>
      </c>
      <c r="L51" s="1">
        <v>917251</v>
      </c>
      <c r="M51" s="1">
        <v>30.8</v>
      </c>
      <c r="N51" s="1">
        <v>1023</v>
      </c>
      <c r="O51" s="1">
        <v>171</v>
      </c>
      <c r="P51" s="1">
        <v>143</v>
      </c>
      <c r="Q51" s="1">
        <v>26029</v>
      </c>
      <c r="R51" s="1">
        <v>0.9</v>
      </c>
      <c r="S51" s="1">
        <v>1154</v>
      </c>
      <c r="T51" s="1">
        <v>279</v>
      </c>
      <c r="U51" s="1">
        <v>1</v>
      </c>
      <c r="V51" s="1">
        <v>297</v>
      </c>
      <c r="W51" s="1">
        <v>0</v>
      </c>
      <c r="X51" s="1">
        <v>1270</v>
      </c>
      <c r="Y51" s="1">
        <v>1</v>
      </c>
      <c r="Z51" s="1">
        <v>1</v>
      </c>
      <c r="AA51" s="1">
        <v>1</v>
      </c>
      <c r="AB51" s="1">
        <v>0</v>
      </c>
      <c r="AC51" s="1">
        <v>1456</v>
      </c>
      <c r="AD51" s="1">
        <v>227</v>
      </c>
      <c r="AE51" s="1">
        <v>3</v>
      </c>
      <c r="AF51" s="1">
        <v>725</v>
      </c>
      <c r="AG51" s="1">
        <v>0</v>
      </c>
      <c r="AH51" s="1">
        <v>1500</v>
      </c>
      <c r="AI51" s="1">
        <v>263</v>
      </c>
      <c r="AJ51" s="1">
        <v>51</v>
      </c>
      <c r="AK51" s="1">
        <v>14278</v>
      </c>
      <c r="AL51" s="1">
        <v>0.5</v>
      </c>
      <c r="AM51" s="1">
        <v>1598</v>
      </c>
      <c r="AN51" s="1">
        <v>263</v>
      </c>
      <c r="AO51" s="1">
        <v>29</v>
      </c>
      <c r="AP51" s="1">
        <v>8119</v>
      </c>
      <c r="AQ51" s="1">
        <v>0.3</v>
      </c>
      <c r="AR51" s="1">
        <v>1730</v>
      </c>
      <c r="AS51" s="1">
        <v>867</v>
      </c>
      <c r="AT51" s="1">
        <v>187</v>
      </c>
      <c r="AU51" s="1">
        <v>172581</v>
      </c>
      <c r="AV51" s="1">
        <v>5.8</v>
      </c>
    </row>
    <row r="52" spans="1:48">
      <c r="A52" s="1" t="s">
        <v>677</v>
      </c>
      <c r="B52" s="1" t="s">
        <v>678</v>
      </c>
      <c r="C52" s="1">
        <v>0.98880400000000002</v>
      </c>
      <c r="D52" s="1">
        <v>1369</v>
      </c>
      <c r="E52" s="1">
        <v>14149</v>
      </c>
      <c r="F52" s="1">
        <v>304</v>
      </c>
      <c r="G52" s="1">
        <v>4578588</v>
      </c>
      <c r="H52" s="1">
        <v>67.900000000000006</v>
      </c>
      <c r="I52" s="1">
        <v>1590</v>
      </c>
      <c r="J52" s="1">
        <v>16723</v>
      </c>
      <c r="K52" s="1">
        <v>102</v>
      </c>
      <c r="L52" s="1">
        <v>1815710</v>
      </c>
      <c r="M52" s="1">
        <v>26.9</v>
      </c>
      <c r="N52" s="1">
        <v>1053</v>
      </c>
      <c r="O52" s="1">
        <v>501</v>
      </c>
      <c r="P52" s="1">
        <v>81</v>
      </c>
      <c r="Q52" s="1">
        <v>43197</v>
      </c>
      <c r="R52" s="1">
        <v>0.6</v>
      </c>
      <c r="S52" s="1">
        <v>1152</v>
      </c>
      <c r="T52" s="1">
        <v>45</v>
      </c>
      <c r="U52" s="1">
        <v>1</v>
      </c>
      <c r="V52" s="1">
        <v>48</v>
      </c>
      <c r="W52" s="1">
        <v>0</v>
      </c>
      <c r="X52" s="1">
        <v>1270</v>
      </c>
      <c r="Y52" s="1">
        <v>1</v>
      </c>
      <c r="Z52" s="1">
        <v>1</v>
      </c>
      <c r="AA52" s="1">
        <v>1</v>
      </c>
      <c r="AB52" s="1">
        <v>0</v>
      </c>
      <c r="AC52" s="1">
        <v>1404</v>
      </c>
      <c r="AD52" s="1">
        <v>235</v>
      </c>
      <c r="AE52" s="1">
        <v>5</v>
      </c>
      <c r="AF52" s="1">
        <v>1251</v>
      </c>
      <c r="AG52" s="1">
        <v>0</v>
      </c>
      <c r="AH52" s="1">
        <v>1500</v>
      </c>
      <c r="AI52" s="1">
        <v>461</v>
      </c>
      <c r="AJ52" s="1">
        <v>31</v>
      </c>
      <c r="AK52" s="1">
        <v>15212</v>
      </c>
      <c r="AL52" s="1">
        <v>0.2</v>
      </c>
      <c r="AM52" s="1">
        <v>1598</v>
      </c>
      <c r="AN52" s="1">
        <v>1761</v>
      </c>
      <c r="AO52" s="1">
        <v>27</v>
      </c>
      <c r="AP52" s="1">
        <v>50612</v>
      </c>
      <c r="AQ52" s="1">
        <v>0.8</v>
      </c>
      <c r="AR52" s="1">
        <v>1738</v>
      </c>
      <c r="AS52" s="1">
        <v>1677</v>
      </c>
      <c r="AT52" s="1">
        <v>131</v>
      </c>
      <c r="AU52" s="1">
        <v>233850</v>
      </c>
      <c r="AV52" s="1">
        <v>3.5</v>
      </c>
    </row>
    <row r="53" spans="1:48">
      <c r="A53" s="1" t="s">
        <v>679</v>
      </c>
      <c r="B53" s="1" t="s">
        <v>680</v>
      </c>
      <c r="C53" s="1">
        <v>0.98820300000000005</v>
      </c>
      <c r="D53" s="1">
        <v>1369</v>
      </c>
      <c r="E53" s="1">
        <v>14499</v>
      </c>
      <c r="F53" s="1">
        <v>312</v>
      </c>
      <c r="G53" s="1">
        <v>4815317</v>
      </c>
      <c r="H53" s="1">
        <v>66.5</v>
      </c>
      <c r="I53" s="1">
        <v>1590</v>
      </c>
      <c r="J53" s="1">
        <v>18513</v>
      </c>
      <c r="K53" s="1">
        <v>104</v>
      </c>
      <c r="L53" s="1">
        <v>2049474</v>
      </c>
      <c r="M53" s="1">
        <v>28.3</v>
      </c>
      <c r="N53" s="1">
        <v>1043</v>
      </c>
      <c r="O53" s="1">
        <v>567</v>
      </c>
      <c r="P53" s="1">
        <v>65</v>
      </c>
      <c r="Q53" s="1">
        <v>39231</v>
      </c>
      <c r="R53" s="1">
        <v>0.5</v>
      </c>
      <c r="S53" s="1">
        <v>1154</v>
      </c>
      <c r="T53" s="1">
        <v>1</v>
      </c>
      <c r="U53" s="1">
        <v>1</v>
      </c>
      <c r="V53" s="1">
        <v>1</v>
      </c>
      <c r="W53" s="1">
        <v>0</v>
      </c>
      <c r="X53" s="1">
        <v>1270</v>
      </c>
      <c r="Y53" s="1">
        <v>1</v>
      </c>
      <c r="Z53" s="1">
        <v>1</v>
      </c>
      <c r="AA53" s="1">
        <v>1</v>
      </c>
      <c r="AB53" s="1">
        <v>0</v>
      </c>
      <c r="AC53" s="1">
        <v>1450</v>
      </c>
      <c r="AD53" s="1">
        <v>247</v>
      </c>
      <c r="AE53" s="1">
        <v>119</v>
      </c>
      <c r="AF53" s="1">
        <v>31288</v>
      </c>
      <c r="AG53" s="1">
        <v>0.4</v>
      </c>
      <c r="AH53" s="1">
        <v>1498</v>
      </c>
      <c r="AI53" s="1">
        <v>539</v>
      </c>
      <c r="AJ53" s="1">
        <v>41</v>
      </c>
      <c r="AK53" s="1">
        <v>23524</v>
      </c>
      <c r="AL53" s="1">
        <v>0.3</v>
      </c>
      <c r="AM53" s="1">
        <v>1590</v>
      </c>
      <c r="AN53" s="1">
        <v>1085</v>
      </c>
      <c r="AO53" s="1">
        <v>1</v>
      </c>
      <c r="AP53" s="1">
        <v>1155</v>
      </c>
      <c r="AQ53" s="1">
        <v>0</v>
      </c>
      <c r="AR53" s="1">
        <v>1738</v>
      </c>
      <c r="AS53" s="1">
        <v>1739</v>
      </c>
      <c r="AT53" s="1">
        <v>149</v>
      </c>
      <c r="AU53" s="1">
        <v>275815</v>
      </c>
      <c r="AV53" s="1">
        <v>3.8</v>
      </c>
    </row>
    <row r="54" spans="1:48">
      <c r="A54" s="1" t="s">
        <v>681</v>
      </c>
      <c r="B54" s="1" t="s">
        <v>682</v>
      </c>
      <c r="C54" s="1">
        <v>0.97262300000000002</v>
      </c>
      <c r="D54" s="1">
        <v>1369</v>
      </c>
      <c r="E54" s="1">
        <v>5595</v>
      </c>
      <c r="F54" s="1">
        <v>232</v>
      </c>
      <c r="G54" s="1">
        <v>1381721</v>
      </c>
      <c r="H54" s="1">
        <v>44.9</v>
      </c>
      <c r="I54" s="1">
        <v>1594</v>
      </c>
      <c r="J54" s="1">
        <v>8651</v>
      </c>
      <c r="K54" s="1">
        <v>122</v>
      </c>
      <c r="L54" s="1">
        <v>1123462</v>
      </c>
      <c r="M54" s="1">
        <v>36.5</v>
      </c>
      <c r="N54" s="1">
        <v>1031</v>
      </c>
      <c r="O54" s="1">
        <v>201</v>
      </c>
      <c r="P54" s="1">
        <v>41</v>
      </c>
      <c r="Q54" s="1">
        <v>8772</v>
      </c>
      <c r="R54" s="1">
        <v>0.3</v>
      </c>
      <c r="S54" s="1">
        <v>1156</v>
      </c>
      <c r="T54" s="1">
        <v>433</v>
      </c>
      <c r="U54" s="1">
        <v>61</v>
      </c>
      <c r="V54" s="1">
        <v>28116</v>
      </c>
      <c r="W54" s="1">
        <v>0.9</v>
      </c>
      <c r="X54" s="1">
        <v>1270</v>
      </c>
      <c r="Y54" s="1">
        <v>1</v>
      </c>
      <c r="Z54" s="1">
        <v>1</v>
      </c>
      <c r="AA54" s="1">
        <v>1</v>
      </c>
      <c r="AB54" s="1">
        <v>0</v>
      </c>
      <c r="AC54" s="1">
        <v>1456</v>
      </c>
      <c r="AD54" s="1">
        <v>1481</v>
      </c>
      <c r="AE54" s="1">
        <v>87</v>
      </c>
      <c r="AF54" s="1">
        <v>137153</v>
      </c>
      <c r="AG54" s="1">
        <v>4.5</v>
      </c>
      <c r="AH54" s="1">
        <v>1494</v>
      </c>
      <c r="AI54" s="1">
        <v>655</v>
      </c>
      <c r="AJ54" s="1">
        <v>1</v>
      </c>
      <c r="AK54" s="1">
        <v>697</v>
      </c>
      <c r="AL54" s="1">
        <v>0</v>
      </c>
      <c r="AM54" s="1">
        <v>1592</v>
      </c>
      <c r="AN54" s="1">
        <v>517</v>
      </c>
      <c r="AO54" s="1">
        <v>5</v>
      </c>
      <c r="AP54" s="1">
        <v>2752</v>
      </c>
      <c r="AQ54" s="1">
        <v>0.1</v>
      </c>
      <c r="AR54" s="1">
        <v>1748</v>
      </c>
      <c r="AS54" s="1">
        <v>1875</v>
      </c>
      <c r="AT54" s="1">
        <v>199</v>
      </c>
      <c r="AU54" s="1">
        <v>397179</v>
      </c>
      <c r="AV54" s="1">
        <v>12.9</v>
      </c>
    </row>
    <row r="55" spans="1:48">
      <c r="A55" s="1" t="s">
        <v>683</v>
      </c>
      <c r="B55" s="1" t="s">
        <v>684</v>
      </c>
      <c r="C55" s="1">
        <v>0.98755300000000001</v>
      </c>
      <c r="D55" s="1">
        <v>1367</v>
      </c>
      <c r="E55" s="1">
        <v>23837</v>
      </c>
      <c r="F55" s="1">
        <v>306</v>
      </c>
      <c r="G55" s="1">
        <v>7764352</v>
      </c>
      <c r="H55" s="1">
        <v>66.2</v>
      </c>
      <c r="I55" s="1">
        <v>1590</v>
      </c>
      <c r="J55" s="1">
        <v>30457</v>
      </c>
      <c r="K55" s="1">
        <v>102</v>
      </c>
      <c r="L55" s="1">
        <v>3306888</v>
      </c>
      <c r="M55" s="1">
        <v>28.2</v>
      </c>
      <c r="N55" s="1">
        <v>1035</v>
      </c>
      <c r="O55" s="1">
        <v>877</v>
      </c>
      <c r="P55" s="1">
        <v>63</v>
      </c>
      <c r="Q55" s="1">
        <v>58813</v>
      </c>
      <c r="R55" s="1">
        <v>0.5</v>
      </c>
      <c r="S55" s="1">
        <v>1154</v>
      </c>
      <c r="T55" s="1">
        <v>1</v>
      </c>
      <c r="U55" s="1">
        <v>1</v>
      </c>
      <c r="V55" s="1">
        <v>1</v>
      </c>
      <c r="W55" s="1">
        <v>0</v>
      </c>
      <c r="X55" s="1">
        <v>1270</v>
      </c>
      <c r="Y55" s="1">
        <v>1</v>
      </c>
      <c r="Z55" s="1">
        <v>1</v>
      </c>
      <c r="AA55" s="1">
        <v>1</v>
      </c>
      <c r="AB55" s="1">
        <v>0</v>
      </c>
      <c r="AC55" s="1">
        <v>1408</v>
      </c>
      <c r="AD55" s="1">
        <v>37</v>
      </c>
      <c r="AE55" s="1">
        <v>105</v>
      </c>
      <c r="AF55" s="1">
        <v>4135</v>
      </c>
      <c r="AG55" s="1">
        <v>0</v>
      </c>
      <c r="AH55" s="1">
        <v>1500</v>
      </c>
      <c r="AI55" s="1">
        <v>935</v>
      </c>
      <c r="AJ55" s="1">
        <v>31</v>
      </c>
      <c r="AK55" s="1">
        <v>30854</v>
      </c>
      <c r="AL55" s="1">
        <v>0.3</v>
      </c>
      <c r="AM55" s="1">
        <v>1592</v>
      </c>
      <c r="AN55" s="1">
        <v>915</v>
      </c>
      <c r="AO55" s="1">
        <v>21</v>
      </c>
      <c r="AP55" s="1">
        <v>20454</v>
      </c>
      <c r="AQ55" s="1">
        <v>0.2</v>
      </c>
      <c r="AR55" s="1">
        <v>1734</v>
      </c>
      <c r="AS55" s="1">
        <v>2963</v>
      </c>
      <c r="AT55" s="1">
        <v>171</v>
      </c>
      <c r="AU55" s="1">
        <v>539337</v>
      </c>
      <c r="AV55" s="1">
        <v>4.5999999999999996</v>
      </c>
    </row>
    <row r="56" spans="1:48">
      <c r="A56" s="1" t="s">
        <v>685</v>
      </c>
      <c r="B56" s="1" t="s">
        <v>686</v>
      </c>
      <c r="C56" s="1">
        <v>0.942909</v>
      </c>
      <c r="D56" s="1">
        <v>1369</v>
      </c>
      <c r="E56" s="1">
        <v>5089</v>
      </c>
      <c r="F56" s="1">
        <v>286</v>
      </c>
      <c r="G56" s="1">
        <v>1549283</v>
      </c>
      <c r="H56" s="1">
        <v>54.7</v>
      </c>
      <c r="I56" s="1">
        <v>1592</v>
      </c>
      <c r="J56" s="1">
        <v>6771</v>
      </c>
      <c r="K56" s="1">
        <v>116</v>
      </c>
      <c r="L56" s="1">
        <v>836071</v>
      </c>
      <c r="M56" s="1">
        <v>29.5</v>
      </c>
      <c r="N56" s="1">
        <v>1029</v>
      </c>
      <c r="O56" s="1">
        <v>455</v>
      </c>
      <c r="P56" s="1">
        <v>23</v>
      </c>
      <c r="Q56" s="1">
        <v>11140</v>
      </c>
      <c r="R56" s="1">
        <v>0.4</v>
      </c>
      <c r="S56" s="1">
        <v>1156</v>
      </c>
      <c r="T56" s="1">
        <v>99</v>
      </c>
      <c r="U56" s="1">
        <v>41</v>
      </c>
      <c r="V56" s="1">
        <v>4321</v>
      </c>
      <c r="W56" s="1">
        <v>0.2</v>
      </c>
      <c r="X56" s="1">
        <v>1270</v>
      </c>
      <c r="Y56" s="1">
        <v>1</v>
      </c>
      <c r="Z56" s="1">
        <v>1</v>
      </c>
      <c r="AA56" s="1">
        <v>1</v>
      </c>
      <c r="AB56" s="1">
        <v>0</v>
      </c>
      <c r="AC56" s="1">
        <v>1456</v>
      </c>
      <c r="AD56" s="1">
        <v>1101</v>
      </c>
      <c r="AE56" s="1">
        <v>65</v>
      </c>
      <c r="AF56" s="1">
        <v>76179</v>
      </c>
      <c r="AG56" s="1">
        <v>2.7</v>
      </c>
      <c r="AH56" s="1">
        <v>1494</v>
      </c>
      <c r="AI56" s="1">
        <v>499</v>
      </c>
      <c r="AJ56" s="1">
        <v>27</v>
      </c>
      <c r="AK56" s="1">
        <v>14342</v>
      </c>
      <c r="AL56" s="1">
        <v>0.5</v>
      </c>
      <c r="AM56" s="1">
        <v>1598</v>
      </c>
      <c r="AN56" s="1">
        <v>525</v>
      </c>
      <c r="AO56" s="1">
        <v>21</v>
      </c>
      <c r="AP56" s="1">
        <v>11736</v>
      </c>
      <c r="AQ56" s="1">
        <v>0.4</v>
      </c>
      <c r="AR56" s="1">
        <v>1748</v>
      </c>
      <c r="AS56" s="1">
        <v>1703</v>
      </c>
      <c r="AT56" s="1">
        <v>181</v>
      </c>
      <c r="AU56" s="1">
        <v>328115</v>
      </c>
      <c r="AV56" s="1">
        <v>11.6</v>
      </c>
    </row>
    <row r="57" spans="1:48">
      <c r="A57" s="1" t="s">
        <v>687</v>
      </c>
      <c r="B57" s="1" t="s">
        <v>375</v>
      </c>
      <c r="C57" s="1">
        <v>0.96907299999999996</v>
      </c>
      <c r="D57" s="1">
        <v>1369</v>
      </c>
      <c r="E57" s="1">
        <v>5189</v>
      </c>
      <c r="F57" s="1">
        <v>250</v>
      </c>
      <c r="G57" s="1">
        <v>1380880</v>
      </c>
      <c r="H57" s="1">
        <v>53.3</v>
      </c>
      <c r="I57" s="1">
        <v>1588</v>
      </c>
      <c r="J57" s="1">
        <v>6641</v>
      </c>
      <c r="K57" s="1">
        <v>116</v>
      </c>
      <c r="L57" s="1">
        <v>820019</v>
      </c>
      <c r="M57" s="1">
        <v>31.7</v>
      </c>
      <c r="N57" s="1">
        <v>1013</v>
      </c>
      <c r="O57" s="1">
        <v>155</v>
      </c>
      <c r="P57" s="1">
        <v>9</v>
      </c>
      <c r="Q57" s="1">
        <v>1485</v>
      </c>
      <c r="R57" s="1">
        <v>0.1</v>
      </c>
      <c r="S57" s="1">
        <v>1156</v>
      </c>
      <c r="T57" s="1">
        <v>443</v>
      </c>
      <c r="U57" s="1">
        <v>43</v>
      </c>
      <c r="V57" s="1">
        <v>20277</v>
      </c>
      <c r="W57" s="1">
        <v>0.8</v>
      </c>
      <c r="X57" s="1">
        <v>1298</v>
      </c>
      <c r="Y57" s="1">
        <v>1</v>
      </c>
      <c r="Z57" s="1">
        <v>1</v>
      </c>
      <c r="AA57" s="1">
        <v>1</v>
      </c>
      <c r="AB57" s="1">
        <v>0</v>
      </c>
      <c r="AC57" s="1">
        <v>1456</v>
      </c>
      <c r="AD57" s="1">
        <v>689</v>
      </c>
      <c r="AE57" s="1">
        <v>55</v>
      </c>
      <c r="AF57" s="1">
        <v>40338</v>
      </c>
      <c r="AG57" s="1">
        <v>1.6</v>
      </c>
      <c r="AH57" s="1">
        <v>1494</v>
      </c>
      <c r="AI57" s="1">
        <v>409</v>
      </c>
      <c r="AJ57" s="1">
        <v>33</v>
      </c>
      <c r="AK57" s="1">
        <v>14367</v>
      </c>
      <c r="AL57" s="1">
        <v>0.6</v>
      </c>
      <c r="AM57" s="1">
        <v>1592</v>
      </c>
      <c r="AN57" s="1">
        <v>501</v>
      </c>
      <c r="AO57" s="1">
        <v>1</v>
      </c>
      <c r="AP57" s="1">
        <v>533</v>
      </c>
      <c r="AQ57" s="1">
        <v>0</v>
      </c>
      <c r="AR57" s="1">
        <v>1748</v>
      </c>
      <c r="AS57" s="1">
        <v>1467</v>
      </c>
      <c r="AT57" s="1">
        <v>199</v>
      </c>
      <c r="AU57" s="1">
        <v>310753</v>
      </c>
      <c r="AV57" s="1">
        <v>12</v>
      </c>
    </row>
    <row r="58" spans="1:48">
      <c r="A58" s="1" t="s">
        <v>688</v>
      </c>
      <c r="B58" s="1" t="s">
        <v>689</v>
      </c>
      <c r="C58" s="1">
        <v>0.98584799999999995</v>
      </c>
      <c r="D58" s="1">
        <v>1369</v>
      </c>
      <c r="E58" s="1">
        <v>13185</v>
      </c>
      <c r="F58" s="1">
        <v>298</v>
      </c>
      <c r="G58" s="1">
        <v>4182429</v>
      </c>
      <c r="H58" s="1">
        <v>69.400000000000006</v>
      </c>
      <c r="I58" s="1">
        <v>1592</v>
      </c>
      <c r="J58" s="1">
        <v>13143</v>
      </c>
      <c r="K58" s="1">
        <v>100</v>
      </c>
      <c r="L58" s="1">
        <v>1399029</v>
      </c>
      <c r="M58" s="1">
        <v>23.2</v>
      </c>
      <c r="N58" s="1">
        <v>1053</v>
      </c>
      <c r="O58" s="1">
        <v>779</v>
      </c>
      <c r="P58" s="1">
        <v>109</v>
      </c>
      <c r="Q58" s="1">
        <v>90385</v>
      </c>
      <c r="R58" s="1">
        <v>1.5</v>
      </c>
      <c r="S58" s="1">
        <v>1156</v>
      </c>
      <c r="T58" s="1">
        <v>115</v>
      </c>
      <c r="U58" s="1">
        <v>1</v>
      </c>
      <c r="V58" s="1">
        <v>122</v>
      </c>
      <c r="W58" s="1">
        <v>0</v>
      </c>
      <c r="X58" s="1">
        <v>1270</v>
      </c>
      <c r="Y58" s="1">
        <v>1</v>
      </c>
      <c r="Z58" s="1">
        <v>1</v>
      </c>
      <c r="AA58" s="1">
        <v>1</v>
      </c>
      <c r="AB58" s="1">
        <v>0</v>
      </c>
      <c r="AC58" s="1">
        <v>1400</v>
      </c>
      <c r="AD58" s="1">
        <v>1</v>
      </c>
      <c r="AE58" s="1">
        <v>1</v>
      </c>
      <c r="AF58" s="1">
        <v>1</v>
      </c>
      <c r="AG58" s="1">
        <v>0</v>
      </c>
      <c r="AH58" s="1">
        <v>1500</v>
      </c>
      <c r="AI58" s="1">
        <v>365</v>
      </c>
      <c r="AJ58" s="1">
        <v>25</v>
      </c>
      <c r="AK58" s="1">
        <v>9713</v>
      </c>
      <c r="AL58" s="1">
        <v>0.2</v>
      </c>
      <c r="AM58" s="1">
        <v>1596</v>
      </c>
      <c r="AN58" s="1">
        <v>2141</v>
      </c>
      <c r="AO58" s="1">
        <v>27</v>
      </c>
      <c r="AP58" s="1">
        <v>61534</v>
      </c>
      <c r="AQ58" s="1">
        <v>1</v>
      </c>
      <c r="AR58" s="1">
        <v>1740</v>
      </c>
      <c r="AS58" s="1">
        <v>1435</v>
      </c>
      <c r="AT58" s="1">
        <v>183</v>
      </c>
      <c r="AU58" s="1">
        <v>279534</v>
      </c>
      <c r="AV58" s="1">
        <v>4.5999999999999996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A631-A43B-4DCC-AB4B-886571DAE43D}">
  <dimension ref="A1:AV40"/>
  <sheetViews>
    <sheetView topLeftCell="A28" workbookViewId="0">
      <selection activeCell="J51" sqref="J51"/>
    </sheetView>
  </sheetViews>
  <sheetFormatPr defaultColWidth="11.5703125" defaultRowHeight="15.95"/>
  <cols>
    <col min="1" max="16384" width="11.5703125" style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690</v>
      </c>
      <c r="B2" s="1" t="s">
        <v>691</v>
      </c>
      <c r="C2" s="1">
        <v>0.98516099999999995</v>
      </c>
      <c r="D2" s="1">
        <v>1369</v>
      </c>
      <c r="E2" s="1">
        <v>23313</v>
      </c>
      <c r="F2" s="1">
        <v>300</v>
      </c>
      <c r="G2" s="1">
        <v>7444776</v>
      </c>
      <c r="H2" s="1">
        <v>62.4</v>
      </c>
      <c r="I2" s="1">
        <v>1586</v>
      </c>
      <c r="J2" s="1">
        <v>29001</v>
      </c>
      <c r="K2" s="1">
        <v>124</v>
      </c>
      <c r="L2" s="1">
        <v>3827955</v>
      </c>
      <c r="M2" s="1">
        <v>32.1</v>
      </c>
      <c r="N2" s="1">
        <v>1029</v>
      </c>
      <c r="O2" s="1">
        <v>941</v>
      </c>
      <c r="P2" s="1">
        <v>45</v>
      </c>
      <c r="Q2" s="1">
        <v>45075</v>
      </c>
      <c r="R2" s="1">
        <v>0.4</v>
      </c>
      <c r="S2" s="1">
        <v>1160</v>
      </c>
      <c r="T2" s="1">
        <v>109</v>
      </c>
      <c r="U2" s="1">
        <v>1</v>
      </c>
      <c r="V2" s="1">
        <v>116</v>
      </c>
      <c r="W2" s="1">
        <v>0</v>
      </c>
      <c r="X2" s="1">
        <v>1260</v>
      </c>
      <c r="Y2" s="1">
        <v>1</v>
      </c>
      <c r="Z2" s="1">
        <v>1</v>
      </c>
      <c r="AA2" s="1">
        <v>1</v>
      </c>
      <c r="AB2" s="1">
        <v>0</v>
      </c>
      <c r="AC2" s="1">
        <v>1434</v>
      </c>
      <c r="AD2" s="1">
        <v>1203</v>
      </c>
      <c r="AE2" s="1">
        <v>89</v>
      </c>
      <c r="AF2" s="1">
        <v>113969</v>
      </c>
      <c r="AG2" s="1">
        <v>1</v>
      </c>
      <c r="AH2" s="1">
        <v>1488</v>
      </c>
      <c r="AI2" s="1">
        <v>2635</v>
      </c>
      <c r="AJ2" s="1">
        <v>45</v>
      </c>
      <c r="AK2" s="1">
        <v>126219</v>
      </c>
      <c r="AL2" s="1">
        <v>1.1000000000000001</v>
      </c>
      <c r="AM2" s="1">
        <v>1598</v>
      </c>
      <c r="AN2" s="1">
        <v>743</v>
      </c>
      <c r="AO2" s="1">
        <v>25</v>
      </c>
      <c r="AP2" s="1">
        <v>19772</v>
      </c>
      <c r="AQ2" s="1">
        <v>0.2</v>
      </c>
      <c r="AR2" s="1">
        <v>1748</v>
      </c>
      <c r="AS2" s="1">
        <v>2861</v>
      </c>
      <c r="AT2" s="1">
        <v>115</v>
      </c>
      <c r="AU2" s="1">
        <v>350226</v>
      </c>
      <c r="AV2" s="1">
        <v>2.9</v>
      </c>
    </row>
    <row r="3" spans="1:48">
      <c r="A3" s="1" t="s">
        <v>692</v>
      </c>
      <c r="B3" s="1" t="s">
        <v>693</v>
      </c>
      <c r="C3" s="1">
        <v>0.98469300000000004</v>
      </c>
      <c r="D3" s="1">
        <v>1369</v>
      </c>
      <c r="E3" s="1">
        <v>11925</v>
      </c>
      <c r="F3" s="1">
        <v>342</v>
      </c>
      <c r="G3" s="1">
        <v>4341269</v>
      </c>
      <c r="H3" s="1">
        <v>66.8</v>
      </c>
      <c r="I3" s="1">
        <v>1584</v>
      </c>
      <c r="J3" s="1">
        <v>13305</v>
      </c>
      <c r="K3" s="1">
        <v>136</v>
      </c>
      <c r="L3" s="1">
        <v>1926132</v>
      </c>
      <c r="M3" s="1">
        <v>29.7</v>
      </c>
      <c r="N3" s="1">
        <v>1013</v>
      </c>
      <c r="O3" s="1">
        <v>189</v>
      </c>
      <c r="P3" s="1">
        <v>73</v>
      </c>
      <c r="Q3" s="1">
        <v>14686</v>
      </c>
      <c r="R3" s="1">
        <v>0.2</v>
      </c>
      <c r="S3" s="1">
        <v>1158</v>
      </c>
      <c r="T3" s="1">
        <v>1</v>
      </c>
      <c r="U3" s="1">
        <v>1</v>
      </c>
      <c r="V3" s="1">
        <v>1</v>
      </c>
      <c r="W3" s="1">
        <v>0</v>
      </c>
      <c r="X3" s="1">
        <v>1260</v>
      </c>
      <c r="Y3" s="1">
        <v>1</v>
      </c>
      <c r="Z3" s="1">
        <v>1</v>
      </c>
      <c r="AA3" s="1">
        <v>1</v>
      </c>
      <c r="AB3" s="1">
        <v>0</v>
      </c>
      <c r="AC3" s="1">
        <v>1434</v>
      </c>
      <c r="AD3" s="1">
        <v>385</v>
      </c>
      <c r="AE3" s="1">
        <v>97</v>
      </c>
      <c r="AF3" s="1">
        <v>39753</v>
      </c>
      <c r="AG3" s="1">
        <v>0.6</v>
      </c>
      <c r="AH3" s="1">
        <v>1482</v>
      </c>
      <c r="AI3" s="1">
        <v>1171</v>
      </c>
      <c r="AJ3" s="1">
        <v>53</v>
      </c>
      <c r="AK3" s="1">
        <v>66064</v>
      </c>
      <c r="AL3" s="1">
        <v>1</v>
      </c>
      <c r="AM3" s="1">
        <v>1598</v>
      </c>
      <c r="AN3" s="1">
        <v>445</v>
      </c>
      <c r="AO3" s="1">
        <v>1</v>
      </c>
      <c r="AP3" s="1">
        <v>474</v>
      </c>
      <c r="AQ3" s="1">
        <v>0</v>
      </c>
      <c r="AR3" s="1">
        <v>1748</v>
      </c>
      <c r="AS3" s="1">
        <v>1409</v>
      </c>
      <c r="AT3" s="1">
        <v>71</v>
      </c>
      <c r="AU3" s="1">
        <v>106488</v>
      </c>
      <c r="AV3" s="1">
        <v>1.6</v>
      </c>
    </row>
    <row r="4" spans="1:48">
      <c r="A4" s="1" t="s">
        <v>694</v>
      </c>
      <c r="B4" s="1" t="s">
        <v>695</v>
      </c>
      <c r="C4" s="1">
        <v>0.98352799999999996</v>
      </c>
      <c r="D4" s="1">
        <v>1369</v>
      </c>
      <c r="E4" s="1">
        <v>5433</v>
      </c>
      <c r="F4" s="1">
        <v>302</v>
      </c>
      <c r="G4" s="1">
        <v>1746541</v>
      </c>
      <c r="H4" s="1">
        <v>61.8</v>
      </c>
      <c r="I4" s="1">
        <v>1594</v>
      </c>
      <c r="J4" s="1">
        <v>7709</v>
      </c>
      <c r="K4" s="1">
        <v>104</v>
      </c>
      <c r="L4" s="1">
        <v>853422</v>
      </c>
      <c r="M4" s="1">
        <v>30.2</v>
      </c>
      <c r="N4" s="1">
        <v>1005</v>
      </c>
      <c r="O4" s="1">
        <v>221</v>
      </c>
      <c r="P4" s="1">
        <v>15</v>
      </c>
      <c r="Q4" s="1">
        <v>3529</v>
      </c>
      <c r="R4" s="1">
        <v>0.1</v>
      </c>
      <c r="S4" s="1">
        <v>1156</v>
      </c>
      <c r="T4" s="1">
        <v>301</v>
      </c>
      <c r="U4" s="1">
        <v>21</v>
      </c>
      <c r="V4" s="1">
        <v>6728</v>
      </c>
      <c r="W4" s="1">
        <v>0.2</v>
      </c>
      <c r="X4" s="1">
        <v>1260</v>
      </c>
      <c r="Y4" s="1">
        <v>1</v>
      </c>
      <c r="Z4" s="1">
        <v>1</v>
      </c>
      <c r="AA4" s="1">
        <v>1</v>
      </c>
      <c r="AB4" s="1">
        <v>0</v>
      </c>
      <c r="AC4" s="1">
        <v>1418</v>
      </c>
      <c r="AD4" s="1">
        <v>135</v>
      </c>
      <c r="AE4" s="1">
        <v>119</v>
      </c>
      <c r="AF4" s="1">
        <v>17101</v>
      </c>
      <c r="AG4" s="1">
        <v>0.6</v>
      </c>
      <c r="AH4" s="1">
        <v>1502</v>
      </c>
      <c r="AI4" s="1">
        <v>785</v>
      </c>
      <c r="AJ4" s="1">
        <v>35</v>
      </c>
      <c r="AK4" s="1">
        <v>29246</v>
      </c>
      <c r="AL4" s="1">
        <v>1</v>
      </c>
      <c r="AM4" s="1">
        <v>1598</v>
      </c>
      <c r="AN4" s="1">
        <v>101</v>
      </c>
      <c r="AO4" s="1">
        <v>17</v>
      </c>
      <c r="AP4" s="1">
        <v>1828</v>
      </c>
      <c r="AQ4" s="1">
        <v>0.1</v>
      </c>
      <c r="AR4" s="1">
        <v>1748</v>
      </c>
      <c r="AS4" s="1">
        <v>783</v>
      </c>
      <c r="AT4" s="1">
        <v>199</v>
      </c>
      <c r="AU4" s="1">
        <v>165862</v>
      </c>
      <c r="AV4" s="1">
        <v>5.9</v>
      </c>
    </row>
    <row r="5" spans="1:48">
      <c r="A5" s="1" t="s">
        <v>696</v>
      </c>
      <c r="B5" s="1" t="s">
        <v>697</v>
      </c>
      <c r="C5" s="1">
        <v>0.98611800000000005</v>
      </c>
      <c r="D5" s="1">
        <v>1369</v>
      </c>
      <c r="E5" s="1">
        <v>5373</v>
      </c>
      <c r="F5" s="1">
        <v>282</v>
      </c>
      <c r="G5" s="1">
        <v>1612866</v>
      </c>
      <c r="H5" s="1">
        <v>62.7</v>
      </c>
      <c r="I5" s="1">
        <v>1594</v>
      </c>
      <c r="J5" s="1">
        <v>7283</v>
      </c>
      <c r="K5" s="1">
        <v>100</v>
      </c>
      <c r="L5" s="1">
        <v>775251</v>
      </c>
      <c r="M5" s="1">
        <v>30.1</v>
      </c>
      <c r="N5" s="1">
        <v>1049</v>
      </c>
      <c r="O5" s="1">
        <v>225</v>
      </c>
      <c r="P5" s="1">
        <v>109</v>
      </c>
      <c r="Q5" s="1">
        <v>26106</v>
      </c>
      <c r="R5" s="1">
        <v>1</v>
      </c>
      <c r="S5" s="1">
        <v>1156</v>
      </c>
      <c r="T5" s="1">
        <v>309</v>
      </c>
      <c r="U5" s="1">
        <v>11</v>
      </c>
      <c r="V5" s="1">
        <v>3618</v>
      </c>
      <c r="W5" s="1">
        <v>0.1</v>
      </c>
      <c r="X5" s="1">
        <v>1260</v>
      </c>
      <c r="Y5" s="1">
        <v>1</v>
      </c>
      <c r="Z5" s="1">
        <v>1</v>
      </c>
      <c r="AA5" s="1">
        <v>1</v>
      </c>
      <c r="AB5" s="1">
        <v>0</v>
      </c>
      <c r="AC5" s="1">
        <v>1450</v>
      </c>
      <c r="AD5" s="1">
        <v>307</v>
      </c>
      <c r="AE5" s="1">
        <v>93</v>
      </c>
      <c r="AF5" s="1">
        <v>30392</v>
      </c>
      <c r="AG5" s="1">
        <v>1.2</v>
      </c>
      <c r="AH5" s="1">
        <v>1528</v>
      </c>
      <c r="AI5" s="1">
        <v>121</v>
      </c>
      <c r="AJ5" s="1">
        <v>3</v>
      </c>
      <c r="AK5" s="1">
        <v>386</v>
      </c>
      <c r="AL5" s="1">
        <v>0</v>
      </c>
      <c r="AM5" s="1">
        <v>1592</v>
      </c>
      <c r="AN5" s="1">
        <v>255</v>
      </c>
      <c r="AO5" s="1">
        <v>27</v>
      </c>
      <c r="AP5" s="1">
        <v>7329</v>
      </c>
      <c r="AQ5" s="1">
        <v>0.3</v>
      </c>
      <c r="AR5" s="1">
        <v>1730</v>
      </c>
      <c r="AS5" s="1">
        <v>789</v>
      </c>
      <c r="AT5" s="1">
        <v>139</v>
      </c>
      <c r="AU5" s="1">
        <v>116741</v>
      </c>
      <c r="AV5" s="1">
        <v>4.5</v>
      </c>
    </row>
    <row r="6" spans="1:48">
      <c r="A6" s="1" t="s">
        <v>698</v>
      </c>
      <c r="B6" s="1" t="s">
        <v>699</v>
      </c>
      <c r="C6" s="1">
        <v>0.98255499999999996</v>
      </c>
      <c r="D6" s="1">
        <v>1365</v>
      </c>
      <c r="E6" s="1">
        <v>5779</v>
      </c>
      <c r="F6" s="1">
        <v>280</v>
      </c>
      <c r="G6" s="1">
        <v>1722435</v>
      </c>
      <c r="H6" s="1">
        <v>62.3</v>
      </c>
      <c r="I6" s="1">
        <v>1594</v>
      </c>
      <c r="J6" s="1">
        <v>7589</v>
      </c>
      <c r="K6" s="1">
        <v>100</v>
      </c>
      <c r="L6" s="1">
        <v>807824</v>
      </c>
      <c r="M6" s="1">
        <v>29.2</v>
      </c>
      <c r="N6" s="1">
        <v>1063</v>
      </c>
      <c r="O6" s="1">
        <v>257</v>
      </c>
      <c r="P6" s="1">
        <v>107</v>
      </c>
      <c r="Q6" s="1">
        <v>29272</v>
      </c>
      <c r="R6" s="1">
        <v>1.1000000000000001</v>
      </c>
      <c r="S6" s="1">
        <v>1152</v>
      </c>
      <c r="T6" s="1">
        <v>51</v>
      </c>
      <c r="U6" s="1">
        <v>1</v>
      </c>
      <c r="V6" s="1">
        <v>54</v>
      </c>
      <c r="W6" s="1">
        <v>0</v>
      </c>
      <c r="X6" s="1">
        <v>1260</v>
      </c>
      <c r="Y6" s="1">
        <v>1</v>
      </c>
      <c r="Z6" s="1">
        <v>1</v>
      </c>
      <c r="AA6" s="1">
        <v>1</v>
      </c>
      <c r="AB6" s="1">
        <v>0</v>
      </c>
      <c r="AC6" s="1">
        <v>1450</v>
      </c>
      <c r="AD6" s="1">
        <v>103</v>
      </c>
      <c r="AE6" s="1">
        <v>133</v>
      </c>
      <c r="AF6" s="1">
        <v>14582</v>
      </c>
      <c r="AG6" s="1">
        <v>0.5</v>
      </c>
      <c r="AH6" s="1">
        <v>1494</v>
      </c>
      <c r="AI6" s="1">
        <v>231</v>
      </c>
      <c r="AJ6" s="1">
        <v>25</v>
      </c>
      <c r="AK6" s="1">
        <v>6147</v>
      </c>
      <c r="AL6" s="1">
        <v>0.2</v>
      </c>
      <c r="AM6" s="1">
        <v>1582</v>
      </c>
      <c r="AN6" s="1">
        <v>175</v>
      </c>
      <c r="AO6" s="1">
        <v>7</v>
      </c>
      <c r="AP6" s="1">
        <v>1304</v>
      </c>
      <c r="AQ6" s="1">
        <v>0</v>
      </c>
      <c r="AR6" s="1">
        <v>1730</v>
      </c>
      <c r="AS6" s="1">
        <v>979</v>
      </c>
      <c r="AT6" s="1">
        <v>175</v>
      </c>
      <c r="AU6" s="1">
        <v>182370</v>
      </c>
      <c r="AV6" s="1">
        <v>6.6</v>
      </c>
    </row>
    <row r="7" spans="1:48">
      <c r="A7" s="1" t="s">
        <v>700</v>
      </c>
      <c r="B7" s="1" t="s">
        <v>701</v>
      </c>
      <c r="C7" s="1">
        <v>0.97623000000000004</v>
      </c>
      <c r="D7" s="1">
        <v>1363</v>
      </c>
      <c r="E7" s="1">
        <v>6801</v>
      </c>
      <c r="F7" s="1">
        <v>260</v>
      </c>
      <c r="G7" s="1">
        <v>1882254</v>
      </c>
      <c r="H7" s="1">
        <v>56.7</v>
      </c>
      <c r="I7" s="1">
        <v>1598</v>
      </c>
      <c r="J7" s="1">
        <v>9137</v>
      </c>
      <c r="K7" s="1">
        <v>100</v>
      </c>
      <c r="L7" s="1">
        <v>972604</v>
      </c>
      <c r="M7" s="1">
        <v>29.3</v>
      </c>
      <c r="N7" s="1">
        <v>1073</v>
      </c>
      <c r="O7" s="1">
        <v>201</v>
      </c>
      <c r="P7" s="1">
        <v>117</v>
      </c>
      <c r="Q7" s="1">
        <v>25033</v>
      </c>
      <c r="R7" s="1">
        <v>0.8</v>
      </c>
      <c r="S7" s="1">
        <v>1156</v>
      </c>
      <c r="T7" s="1">
        <v>231</v>
      </c>
      <c r="U7" s="1">
        <v>33</v>
      </c>
      <c r="V7" s="1">
        <v>8114</v>
      </c>
      <c r="W7" s="1">
        <v>0.2</v>
      </c>
      <c r="X7" s="1">
        <v>1260</v>
      </c>
      <c r="Y7" s="1">
        <v>1</v>
      </c>
      <c r="Z7" s="1">
        <v>1</v>
      </c>
      <c r="AA7" s="1">
        <v>1</v>
      </c>
      <c r="AB7" s="1">
        <v>0</v>
      </c>
      <c r="AC7" s="1">
        <v>1418</v>
      </c>
      <c r="AD7" s="1">
        <v>149</v>
      </c>
      <c r="AE7" s="1">
        <v>141</v>
      </c>
      <c r="AF7" s="1">
        <v>22363</v>
      </c>
      <c r="AG7" s="1">
        <v>0.7</v>
      </c>
      <c r="AH7" s="1">
        <v>1494</v>
      </c>
      <c r="AI7" s="1">
        <v>745</v>
      </c>
      <c r="AJ7" s="1">
        <v>55</v>
      </c>
      <c r="AK7" s="1">
        <v>43617</v>
      </c>
      <c r="AL7" s="1">
        <v>1.3</v>
      </c>
      <c r="AM7" s="1">
        <v>1598</v>
      </c>
      <c r="AN7" s="1">
        <v>539</v>
      </c>
      <c r="AO7" s="1">
        <v>25</v>
      </c>
      <c r="AP7" s="1">
        <v>14344</v>
      </c>
      <c r="AQ7" s="1">
        <v>0.4</v>
      </c>
      <c r="AR7" s="1">
        <v>1748</v>
      </c>
      <c r="AS7" s="1">
        <v>1667</v>
      </c>
      <c r="AT7" s="1">
        <v>199</v>
      </c>
      <c r="AU7" s="1">
        <v>353119</v>
      </c>
      <c r="AV7" s="1">
        <v>10.6</v>
      </c>
    </row>
    <row r="8" spans="1:48">
      <c r="A8" s="1" t="s">
        <v>702</v>
      </c>
      <c r="B8" s="1" t="s">
        <v>703</v>
      </c>
      <c r="C8" s="1">
        <v>0.98428000000000004</v>
      </c>
      <c r="D8" s="1">
        <v>1359</v>
      </c>
      <c r="E8" s="1">
        <v>6565</v>
      </c>
      <c r="F8" s="1">
        <v>256</v>
      </c>
      <c r="G8" s="1">
        <v>1788986</v>
      </c>
      <c r="H8" s="1">
        <v>58.9</v>
      </c>
      <c r="I8" s="1">
        <v>1596</v>
      </c>
      <c r="J8" s="1">
        <v>8787</v>
      </c>
      <c r="K8" s="1">
        <v>100</v>
      </c>
      <c r="L8" s="1">
        <v>935347</v>
      </c>
      <c r="M8" s="1">
        <v>30.8</v>
      </c>
      <c r="N8" s="1">
        <v>1073</v>
      </c>
      <c r="O8" s="1">
        <v>291</v>
      </c>
      <c r="P8" s="1">
        <v>119</v>
      </c>
      <c r="Q8" s="1">
        <v>36861</v>
      </c>
      <c r="R8" s="1">
        <v>1.2</v>
      </c>
      <c r="S8" s="1">
        <v>1150</v>
      </c>
      <c r="T8" s="1">
        <v>463</v>
      </c>
      <c r="U8" s="1">
        <v>1</v>
      </c>
      <c r="V8" s="1">
        <v>493</v>
      </c>
      <c r="W8" s="1">
        <v>0</v>
      </c>
      <c r="X8" s="1">
        <v>1260</v>
      </c>
      <c r="Y8" s="1">
        <v>1</v>
      </c>
      <c r="Z8" s="1">
        <v>1</v>
      </c>
      <c r="AA8" s="1">
        <v>1</v>
      </c>
      <c r="AB8" s="1">
        <v>0</v>
      </c>
      <c r="AC8" s="1">
        <v>1450</v>
      </c>
      <c r="AD8" s="1">
        <v>49</v>
      </c>
      <c r="AE8" s="1">
        <v>163</v>
      </c>
      <c r="AF8" s="1">
        <v>8502</v>
      </c>
      <c r="AG8" s="1">
        <v>0.3</v>
      </c>
      <c r="AH8" s="1">
        <v>1494</v>
      </c>
      <c r="AI8" s="1">
        <v>479</v>
      </c>
      <c r="AJ8" s="1">
        <v>45</v>
      </c>
      <c r="AK8" s="1">
        <v>22945</v>
      </c>
      <c r="AL8" s="1">
        <v>0.8</v>
      </c>
      <c r="AM8" s="1">
        <v>1598</v>
      </c>
      <c r="AN8" s="1">
        <v>1121</v>
      </c>
      <c r="AO8" s="1">
        <v>31</v>
      </c>
      <c r="AP8" s="1">
        <v>36991</v>
      </c>
      <c r="AQ8" s="1">
        <v>1.2</v>
      </c>
      <c r="AR8" s="1">
        <v>1748</v>
      </c>
      <c r="AS8" s="1">
        <v>989</v>
      </c>
      <c r="AT8" s="1">
        <v>199</v>
      </c>
      <c r="AU8" s="1">
        <v>209499</v>
      </c>
      <c r="AV8" s="1">
        <v>6.9</v>
      </c>
    </row>
    <row r="9" spans="1:48">
      <c r="A9" s="1" t="s">
        <v>704</v>
      </c>
      <c r="B9" s="1" t="s">
        <v>705</v>
      </c>
      <c r="C9" s="1">
        <v>0.95187900000000003</v>
      </c>
      <c r="D9" s="1">
        <v>1365</v>
      </c>
      <c r="E9" s="1">
        <v>4483</v>
      </c>
      <c r="F9" s="1">
        <v>222</v>
      </c>
      <c r="G9" s="1">
        <v>1059385</v>
      </c>
      <c r="H9" s="1">
        <v>45.1</v>
      </c>
      <c r="I9" s="1">
        <v>1592</v>
      </c>
      <c r="J9" s="1">
        <v>5545</v>
      </c>
      <c r="K9" s="1">
        <v>128</v>
      </c>
      <c r="L9" s="1">
        <v>755516</v>
      </c>
      <c r="M9" s="1">
        <v>32.1</v>
      </c>
      <c r="N9" s="1">
        <v>1025</v>
      </c>
      <c r="O9" s="1">
        <v>241</v>
      </c>
      <c r="P9" s="1">
        <v>33</v>
      </c>
      <c r="Q9" s="1">
        <v>8466</v>
      </c>
      <c r="R9" s="1">
        <v>0.4</v>
      </c>
      <c r="S9" s="1">
        <v>1166</v>
      </c>
      <c r="T9" s="1">
        <v>665</v>
      </c>
      <c r="U9" s="1">
        <v>35</v>
      </c>
      <c r="V9" s="1">
        <v>24775</v>
      </c>
      <c r="W9" s="1">
        <v>1.1000000000000001</v>
      </c>
      <c r="X9" s="1">
        <v>1260</v>
      </c>
      <c r="Y9" s="1">
        <v>1</v>
      </c>
      <c r="Z9" s="1">
        <v>1</v>
      </c>
      <c r="AA9" s="1">
        <v>1</v>
      </c>
      <c r="AB9" s="1">
        <v>0</v>
      </c>
      <c r="AC9" s="1">
        <v>1434</v>
      </c>
      <c r="AD9" s="1">
        <v>757</v>
      </c>
      <c r="AE9" s="1">
        <v>107</v>
      </c>
      <c r="AF9" s="1">
        <v>86221</v>
      </c>
      <c r="AG9" s="1">
        <v>3.7</v>
      </c>
      <c r="AH9" s="1">
        <v>1494</v>
      </c>
      <c r="AI9" s="1">
        <v>389</v>
      </c>
      <c r="AJ9" s="1">
        <v>37</v>
      </c>
      <c r="AK9" s="1">
        <v>15321</v>
      </c>
      <c r="AL9" s="1">
        <v>0.7</v>
      </c>
      <c r="AM9" s="1">
        <v>1598</v>
      </c>
      <c r="AN9" s="1">
        <v>355</v>
      </c>
      <c r="AO9" s="1">
        <v>11</v>
      </c>
      <c r="AP9" s="1">
        <v>4157</v>
      </c>
      <c r="AQ9" s="1">
        <v>0.2</v>
      </c>
      <c r="AR9" s="1">
        <v>1748</v>
      </c>
      <c r="AS9" s="1">
        <v>1891</v>
      </c>
      <c r="AT9" s="1">
        <v>197</v>
      </c>
      <c r="AU9" s="1">
        <v>396543</v>
      </c>
      <c r="AV9" s="1">
        <v>16.899999999999999</v>
      </c>
    </row>
    <row r="10" spans="1:48">
      <c r="A10" s="1" t="s">
        <v>706</v>
      </c>
      <c r="B10" s="1" t="s">
        <v>707</v>
      </c>
      <c r="C10" s="1">
        <v>0.98251200000000005</v>
      </c>
      <c r="D10" s="1">
        <v>1367</v>
      </c>
      <c r="E10" s="1">
        <v>3737</v>
      </c>
      <c r="F10" s="1">
        <v>212</v>
      </c>
      <c r="G10" s="1">
        <v>843318</v>
      </c>
      <c r="H10" s="1">
        <v>60.9</v>
      </c>
      <c r="I10" s="1">
        <v>1596</v>
      </c>
      <c r="J10" s="1">
        <v>3791</v>
      </c>
      <c r="K10" s="1">
        <v>100</v>
      </c>
      <c r="L10" s="1">
        <v>403539</v>
      </c>
      <c r="M10" s="1">
        <v>29.1</v>
      </c>
      <c r="N10" s="1">
        <v>1073</v>
      </c>
      <c r="O10" s="1">
        <v>321</v>
      </c>
      <c r="P10" s="1">
        <v>151</v>
      </c>
      <c r="Q10" s="1">
        <v>51596</v>
      </c>
      <c r="R10" s="1">
        <v>3.7</v>
      </c>
      <c r="S10" s="1">
        <v>1156</v>
      </c>
      <c r="T10" s="1">
        <v>355</v>
      </c>
      <c r="U10" s="1">
        <v>85</v>
      </c>
      <c r="V10" s="1">
        <v>32120</v>
      </c>
      <c r="W10" s="1">
        <v>2.2999999999999998</v>
      </c>
      <c r="X10" s="1">
        <v>1272</v>
      </c>
      <c r="Y10" s="1">
        <v>13</v>
      </c>
      <c r="Z10" s="1">
        <v>1</v>
      </c>
      <c r="AA10" s="1">
        <v>14</v>
      </c>
      <c r="AB10" s="1">
        <v>0</v>
      </c>
      <c r="AC10" s="1">
        <v>1400</v>
      </c>
      <c r="AD10" s="1">
        <v>1</v>
      </c>
      <c r="AE10" s="1">
        <v>1</v>
      </c>
      <c r="AF10" s="1">
        <v>1</v>
      </c>
      <c r="AG10" s="1">
        <v>0</v>
      </c>
      <c r="AH10" s="1">
        <v>1518</v>
      </c>
      <c r="AI10" s="1">
        <v>289</v>
      </c>
      <c r="AJ10" s="1">
        <v>31</v>
      </c>
      <c r="AK10" s="1">
        <v>9537</v>
      </c>
      <c r="AL10" s="1">
        <v>0.7</v>
      </c>
      <c r="AM10" s="1">
        <v>1598</v>
      </c>
      <c r="AN10" s="1">
        <v>327</v>
      </c>
      <c r="AO10" s="1">
        <v>21</v>
      </c>
      <c r="AP10" s="1">
        <v>7310</v>
      </c>
      <c r="AQ10" s="1">
        <v>0.5</v>
      </c>
      <c r="AR10" s="1">
        <v>1726</v>
      </c>
      <c r="AS10" s="1">
        <v>395</v>
      </c>
      <c r="AT10" s="1">
        <v>89</v>
      </c>
      <c r="AU10" s="1">
        <v>37421</v>
      </c>
      <c r="AV10" s="1">
        <v>2.7</v>
      </c>
    </row>
    <row r="11" spans="1:48">
      <c r="A11" s="1" t="s">
        <v>708</v>
      </c>
      <c r="B11" s="1" t="s">
        <v>709</v>
      </c>
      <c r="C11" s="1">
        <v>0.98082800000000003</v>
      </c>
      <c r="D11" s="1">
        <v>1361</v>
      </c>
      <c r="E11" s="1">
        <v>1461</v>
      </c>
      <c r="F11" s="1">
        <v>264</v>
      </c>
      <c r="G11" s="1">
        <v>410569</v>
      </c>
      <c r="H11" s="1">
        <v>65.599999999999994</v>
      </c>
      <c r="I11" s="1">
        <v>1592</v>
      </c>
      <c r="J11" s="1">
        <v>1593</v>
      </c>
      <c r="K11" s="1">
        <v>100</v>
      </c>
      <c r="L11" s="1">
        <v>169570</v>
      </c>
      <c r="M11" s="1">
        <v>27.1</v>
      </c>
      <c r="N11" s="1">
        <v>1073</v>
      </c>
      <c r="O11" s="1">
        <v>57</v>
      </c>
      <c r="P11" s="1">
        <v>111</v>
      </c>
      <c r="Q11" s="1">
        <v>6735</v>
      </c>
      <c r="R11" s="1">
        <v>1.1000000000000001</v>
      </c>
      <c r="S11" s="1">
        <v>1156</v>
      </c>
      <c r="T11" s="1">
        <v>17</v>
      </c>
      <c r="U11" s="1">
        <v>35</v>
      </c>
      <c r="V11" s="1">
        <v>633</v>
      </c>
      <c r="W11" s="1">
        <v>0.1</v>
      </c>
      <c r="X11" s="1">
        <v>1298</v>
      </c>
      <c r="Y11" s="1">
        <v>27</v>
      </c>
      <c r="Z11" s="1">
        <v>1</v>
      </c>
      <c r="AA11" s="1">
        <v>29</v>
      </c>
      <c r="AB11" s="1">
        <v>0</v>
      </c>
      <c r="AC11" s="1">
        <v>1400</v>
      </c>
      <c r="AD11" s="1">
        <v>1</v>
      </c>
      <c r="AE11" s="1">
        <v>1</v>
      </c>
      <c r="AF11" s="1">
        <v>1</v>
      </c>
      <c r="AG11" s="1">
        <v>0</v>
      </c>
      <c r="AH11" s="1">
        <v>1522</v>
      </c>
      <c r="AI11" s="1">
        <v>71</v>
      </c>
      <c r="AJ11" s="1">
        <v>23</v>
      </c>
      <c r="AK11" s="1">
        <v>1738</v>
      </c>
      <c r="AL11" s="1">
        <v>0.3</v>
      </c>
      <c r="AM11" s="1">
        <v>1598</v>
      </c>
      <c r="AN11" s="1">
        <v>313</v>
      </c>
      <c r="AO11" s="1">
        <v>21</v>
      </c>
      <c r="AP11" s="1">
        <v>6997</v>
      </c>
      <c r="AQ11" s="1">
        <v>1.1000000000000001</v>
      </c>
      <c r="AR11" s="1">
        <v>1744</v>
      </c>
      <c r="AS11" s="1">
        <v>141</v>
      </c>
      <c r="AT11" s="1">
        <v>199</v>
      </c>
      <c r="AU11" s="1">
        <v>29868</v>
      </c>
      <c r="AV11" s="1">
        <v>4.8</v>
      </c>
    </row>
    <row r="12" spans="1:48">
      <c r="A12" s="1" t="s">
        <v>710</v>
      </c>
      <c r="B12" s="1" t="s">
        <v>482</v>
      </c>
      <c r="C12" s="1">
        <v>0.98794300000000002</v>
      </c>
      <c r="D12" s="1">
        <v>1365</v>
      </c>
      <c r="E12" s="1">
        <v>4695</v>
      </c>
      <c r="F12" s="1">
        <v>270</v>
      </c>
      <c r="G12" s="1">
        <v>1349372</v>
      </c>
      <c r="H12" s="1">
        <v>63.5</v>
      </c>
      <c r="I12" s="1">
        <v>1594</v>
      </c>
      <c r="J12" s="1">
        <v>5669</v>
      </c>
      <c r="K12" s="1">
        <v>100</v>
      </c>
      <c r="L12" s="1">
        <v>603446</v>
      </c>
      <c r="M12" s="1">
        <v>28.4</v>
      </c>
      <c r="N12" s="1">
        <v>1073</v>
      </c>
      <c r="O12" s="1">
        <v>267</v>
      </c>
      <c r="P12" s="1">
        <v>125</v>
      </c>
      <c r="Q12" s="1">
        <v>35527</v>
      </c>
      <c r="R12" s="1">
        <v>1.7</v>
      </c>
      <c r="S12" s="1">
        <v>1170</v>
      </c>
      <c r="T12" s="1">
        <v>67</v>
      </c>
      <c r="U12" s="1">
        <v>21</v>
      </c>
      <c r="V12" s="1">
        <v>1498</v>
      </c>
      <c r="W12" s="1">
        <v>0.1</v>
      </c>
      <c r="X12" s="1">
        <v>1260</v>
      </c>
      <c r="Y12" s="1">
        <v>1</v>
      </c>
      <c r="Z12" s="1">
        <v>1</v>
      </c>
      <c r="AA12" s="1">
        <v>1</v>
      </c>
      <c r="AB12" s="1">
        <v>0</v>
      </c>
      <c r="AC12" s="1">
        <v>1440</v>
      </c>
      <c r="AD12" s="1">
        <v>37</v>
      </c>
      <c r="AE12" s="1">
        <v>167</v>
      </c>
      <c r="AF12" s="1">
        <v>6577</v>
      </c>
      <c r="AG12" s="1">
        <v>0.3</v>
      </c>
      <c r="AH12" s="1">
        <v>1528</v>
      </c>
      <c r="AI12" s="1">
        <v>51</v>
      </c>
      <c r="AJ12" s="1">
        <v>3</v>
      </c>
      <c r="AK12" s="1">
        <v>163</v>
      </c>
      <c r="AL12" s="1">
        <v>0</v>
      </c>
      <c r="AM12" s="1">
        <v>1592</v>
      </c>
      <c r="AN12" s="1">
        <v>187</v>
      </c>
      <c r="AO12" s="1">
        <v>27</v>
      </c>
      <c r="AP12" s="1">
        <v>5374</v>
      </c>
      <c r="AQ12" s="1">
        <v>0.3</v>
      </c>
      <c r="AR12" s="1">
        <v>1744</v>
      </c>
      <c r="AS12" s="1">
        <v>587</v>
      </c>
      <c r="AT12" s="1">
        <v>199</v>
      </c>
      <c r="AU12" s="1">
        <v>124344</v>
      </c>
      <c r="AV12" s="1">
        <v>5.8</v>
      </c>
    </row>
    <row r="13" spans="1:48">
      <c r="A13" s="1" t="s">
        <v>711</v>
      </c>
      <c r="B13" s="1" t="s">
        <v>712</v>
      </c>
      <c r="C13" s="1">
        <v>0.97363900000000003</v>
      </c>
      <c r="D13" s="1">
        <v>1361</v>
      </c>
      <c r="E13" s="1">
        <v>6293</v>
      </c>
      <c r="F13" s="1">
        <v>270</v>
      </c>
      <c r="G13" s="1">
        <v>1808647</v>
      </c>
      <c r="H13" s="1">
        <v>59</v>
      </c>
      <c r="I13" s="1">
        <v>1596</v>
      </c>
      <c r="J13" s="1">
        <v>7965</v>
      </c>
      <c r="K13" s="1">
        <v>102</v>
      </c>
      <c r="L13" s="1">
        <v>864805</v>
      </c>
      <c r="M13" s="1">
        <v>28.2</v>
      </c>
      <c r="N13" s="1">
        <v>1035</v>
      </c>
      <c r="O13" s="1">
        <v>307</v>
      </c>
      <c r="P13" s="1">
        <v>57</v>
      </c>
      <c r="Q13" s="1">
        <v>18627</v>
      </c>
      <c r="R13" s="1">
        <v>0.6</v>
      </c>
      <c r="S13" s="1">
        <v>1160</v>
      </c>
      <c r="T13" s="1">
        <v>327</v>
      </c>
      <c r="U13" s="1">
        <v>1</v>
      </c>
      <c r="V13" s="1">
        <v>348</v>
      </c>
      <c r="W13" s="1">
        <v>0</v>
      </c>
      <c r="X13" s="1">
        <v>1260</v>
      </c>
      <c r="Y13" s="1">
        <v>1</v>
      </c>
      <c r="Z13" s="1">
        <v>1</v>
      </c>
      <c r="AA13" s="1">
        <v>1</v>
      </c>
      <c r="AB13" s="1">
        <v>0</v>
      </c>
      <c r="AC13" s="1">
        <v>1434</v>
      </c>
      <c r="AD13" s="1">
        <v>31</v>
      </c>
      <c r="AE13" s="1">
        <v>153</v>
      </c>
      <c r="AF13" s="1">
        <v>5049</v>
      </c>
      <c r="AG13" s="1">
        <v>0.2</v>
      </c>
      <c r="AH13" s="1">
        <v>1528</v>
      </c>
      <c r="AI13" s="1">
        <v>207</v>
      </c>
      <c r="AJ13" s="1">
        <v>189</v>
      </c>
      <c r="AK13" s="1">
        <v>41645</v>
      </c>
      <c r="AL13" s="1">
        <v>1.4</v>
      </c>
      <c r="AM13" s="1">
        <v>1590</v>
      </c>
      <c r="AN13" s="1">
        <v>125</v>
      </c>
      <c r="AO13" s="1">
        <v>1</v>
      </c>
      <c r="AP13" s="1">
        <v>133</v>
      </c>
      <c r="AQ13" s="1">
        <v>0</v>
      </c>
      <c r="AR13" s="1">
        <v>1748</v>
      </c>
      <c r="AS13" s="1">
        <v>1537</v>
      </c>
      <c r="AT13" s="1">
        <v>199</v>
      </c>
      <c r="AU13" s="1">
        <v>325581</v>
      </c>
      <c r="AV13" s="1">
        <v>10.6</v>
      </c>
    </row>
    <row r="14" spans="1:48">
      <c r="A14" s="1" t="s">
        <v>713</v>
      </c>
      <c r="B14" s="1" t="s">
        <v>714</v>
      </c>
      <c r="C14" s="1">
        <v>0.88190800000000003</v>
      </c>
      <c r="D14" s="1">
        <v>1361</v>
      </c>
      <c r="E14" s="1">
        <v>2947</v>
      </c>
      <c r="F14" s="1">
        <v>254</v>
      </c>
      <c r="G14" s="1">
        <v>796794</v>
      </c>
      <c r="H14" s="1">
        <v>62.4</v>
      </c>
      <c r="I14" s="1">
        <v>1594</v>
      </c>
      <c r="J14" s="1">
        <v>3701</v>
      </c>
      <c r="K14" s="1">
        <v>100</v>
      </c>
      <c r="L14" s="1">
        <v>393959</v>
      </c>
      <c r="M14" s="1">
        <v>30.8</v>
      </c>
      <c r="N14" s="1">
        <v>1073</v>
      </c>
      <c r="O14" s="1">
        <v>123</v>
      </c>
      <c r="P14" s="1">
        <v>111</v>
      </c>
      <c r="Q14" s="1">
        <v>14533</v>
      </c>
      <c r="R14" s="1">
        <v>1.1000000000000001</v>
      </c>
      <c r="S14" s="1">
        <v>1150</v>
      </c>
      <c r="T14" s="1">
        <v>111</v>
      </c>
      <c r="U14" s="1">
        <v>35</v>
      </c>
      <c r="V14" s="1">
        <v>4135</v>
      </c>
      <c r="W14" s="1">
        <v>0.3</v>
      </c>
      <c r="X14" s="1">
        <v>1260</v>
      </c>
      <c r="Y14" s="1">
        <v>1</v>
      </c>
      <c r="Z14" s="1">
        <v>1</v>
      </c>
      <c r="AA14" s="1">
        <v>1</v>
      </c>
      <c r="AB14" s="1">
        <v>0</v>
      </c>
      <c r="AC14" s="1">
        <v>1402</v>
      </c>
      <c r="AD14" s="1">
        <v>79</v>
      </c>
      <c r="AE14" s="1">
        <v>105</v>
      </c>
      <c r="AF14" s="1">
        <v>8830</v>
      </c>
      <c r="AG14" s="1">
        <v>0.7</v>
      </c>
      <c r="AH14" s="1">
        <v>1528</v>
      </c>
      <c r="AI14" s="1">
        <v>93</v>
      </c>
      <c r="AJ14" s="1">
        <v>3</v>
      </c>
      <c r="AK14" s="1">
        <v>297</v>
      </c>
      <c r="AL14" s="1">
        <v>0</v>
      </c>
      <c r="AM14" s="1">
        <v>1586</v>
      </c>
      <c r="AN14" s="1">
        <v>171</v>
      </c>
      <c r="AO14" s="1">
        <v>3</v>
      </c>
      <c r="AP14" s="1">
        <v>546</v>
      </c>
      <c r="AQ14" s="1">
        <v>0</v>
      </c>
      <c r="AR14" s="1">
        <v>1736</v>
      </c>
      <c r="AS14" s="1">
        <v>315</v>
      </c>
      <c r="AT14" s="1">
        <v>173</v>
      </c>
      <c r="AU14" s="1">
        <v>58008</v>
      </c>
      <c r="AV14" s="1">
        <v>4.5</v>
      </c>
    </row>
    <row r="15" spans="1:48" s="2" customFormat="1">
      <c r="A15" s="2" t="s">
        <v>715</v>
      </c>
      <c r="B15" s="2" t="s">
        <v>716</v>
      </c>
      <c r="C15" s="2">
        <v>0.31500299999999998</v>
      </c>
      <c r="D15" s="2">
        <v>1351</v>
      </c>
      <c r="E15" s="2">
        <v>1</v>
      </c>
      <c r="F15" s="2">
        <v>100</v>
      </c>
      <c r="G15" s="2">
        <v>106</v>
      </c>
      <c r="H15" s="2">
        <v>1</v>
      </c>
      <c r="I15" s="2">
        <v>1584</v>
      </c>
      <c r="J15" s="2">
        <v>1</v>
      </c>
      <c r="K15" s="2">
        <v>100</v>
      </c>
      <c r="L15" s="2">
        <v>106</v>
      </c>
      <c r="M15" s="2">
        <v>1</v>
      </c>
      <c r="N15" s="2">
        <v>1041</v>
      </c>
      <c r="O15" s="2">
        <v>45</v>
      </c>
      <c r="P15" s="2">
        <v>1</v>
      </c>
      <c r="Q15" s="2">
        <v>48</v>
      </c>
      <c r="R15" s="2">
        <v>0.4</v>
      </c>
      <c r="S15" s="2">
        <v>1178</v>
      </c>
      <c r="T15" s="2">
        <v>3347</v>
      </c>
      <c r="U15" s="2">
        <v>3</v>
      </c>
      <c r="V15" s="2">
        <v>10688</v>
      </c>
      <c r="W15" s="2">
        <v>96.7</v>
      </c>
      <c r="X15" s="2">
        <v>1290</v>
      </c>
      <c r="Y15" s="2">
        <v>17</v>
      </c>
      <c r="Z15" s="2">
        <v>1</v>
      </c>
      <c r="AA15" s="2">
        <v>18</v>
      </c>
      <c r="AB15" s="2">
        <v>0.2</v>
      </c>
      <c r="AC15" s="2">
        <v>1430</v>
      </c>
      <c r="AD15" s="2">
        <v>15</v>
      </c>
      <c r="AE15" s="2">
        <v>1</v>
      </c>
      <c r="AF15" s="2">
        <v>16</v>
      </c>
      <c r="AG15" s="2">
        <v>0.1</v>
      </c>
      <c r="AH15" s="2">
        <v>1486</v>
      </c>
      <c r="AI15" s="2">
        <v>59</v>
      </c>
      <c r="AJ15" s="2">
        <v>1</v>
      </c>
      <c r="AK15" s="2">
        <v>63</v>
      </c>
      <c r="AL15" s="2">
        <v>0.6</v>
      </c>
      <c r="AM15" s="2">
        <v>1572</v>
      </c>
      <c r="AN15" s="2">
        <v>1</v>
      </c>
      <c r="AO15" s="2">
        <v>1</v>
      </c>
      <c r="AP15" s="2">
        <v>1</v>
      </c>
      <c r="AQ15" s="2">
        <v>0</v>
      </c>
      <c r="AR15" s="2">
        <v>1722</v>
      </c>
      <c r="AS15" s="2">
        <v>3</v>
      </c>
      <c r="AT15" s="2">
        <v>1</v>
      </c>
      <c r="AU15" s="2">
        <v>3</v>
      </c>
      <c r="AV15" s="2">
        <v>0</v>
      </c>
    </row>
    <row r="16" spans="1:48">
      <c r="A16" s="1" t="s">
        <v>717</v>
      </c>
      <c r="B16" s="1" t="s">
        <v>718</v>
      </c>
      <c r="C16" s="1">
        <v>0.94632000000000005</v>
      </c>
      <c r="D16" s="1">
        <v>1365</v>
      </c>
      <c r="E16" s="1">
        <v>397</v>
      </c>
      <c r="F16" s="1">
        <v>262</v>
      </c>
      <c r="G16" s="1">
        <v>110719</v>
      </c>
      <c r="H16" s="1">
        <v>62.9</v>
      </c>
      <c r="I16" s="1">
        <v>1596</v>
      </c>
      <c r="J16" s="1">
        <v>531</v>
      </c>
      <c r="K16" s="1">
        <v>100</v>
      </c>
      <c r="L16" s="1">
        <v>56523</v>
      </c>
      <c r="M16" s="1">
        <v>32.1</v>
      </c>
      <c r="N16" s="1">
        <v>1019</v>
      </c>
      <c r="O16" s="1">
        <v>33</v>
      </c>
      <c r="P16" s="1">
        <v>51</v>
      </c>
      <c r="Q16" s="1">
        <v>1791</v>
      </c>
      <c r="R16" s="1">
        <v>1</v>
      </c>
      <c r="S16" s="1">
        <v>1156</v>
      </c>
      <c r="T16" s="1">
        <v>19</v>
      </c>
      <c r="U16" s="1">
        <v>79</v>
      </c>
      <c r="V16" s="1">
        <v>1598</v>
      </c>
      <c r="W16" s="1">
        <v>0.9</v>
      </c>
      <c r="X16" s="1">
        <v>1276</v>
      </c>
      <c r="Y16" s="1">
        <v>21</v>
      </c>
      <c r="Z16" s="1">
        <v>1</v>
      </c>
      <c r="AA16" s="1">
        <v>22</v>
      </c>
      <c r="AB16" s="1">
        <v>0</v>
      </c>
      <c r="AC16" s="1">
        <v>1434</v>
      </c>
      <c r="AD16" s="1">
        <v>37</v>
      </c>
      <c r="AE16" s="1">
        <v>3</v>
      </c>
      <c r="AF16" s="1">
        <v>118</v>
      </c>
      <c r="AG16" s="1">
        <v>0.1</v>
      </c>
      <c r="AH16" s="1">
        <v>1534</v>
      </c>
      <c r="AI16" s="1">
        <v>55</v>
      </c>
      <c r="AJ16" s="1">
        <v>3</v>
      </c>
      <c r="AK16" s="1">
        <v>176</v>
      </c>
      <c r="AL16" s="1">
        <v>0.1</v>
      </c>
      <c r="AM16" s="1">
        <v>1592</v>
      </c>
      <c r="AN16" s="1">
        <v>99</v>
      </c>
      <c r="AO16" s="1">
        <v>7</v>
      </c>
      <c r="AP16" s="1">
        <v>738</v>
      </c>
      <c r="AQ16" s="1">
        <v>0.4</v>
      </c>
      <c r="AR16" s="1">
        <v>1728</v>
      </c>
      <c r="AS16" s="1">
        <v>43</v>
      </c>
      <c r="AT16" s="1">
        <v>97</v>
      </c>
      <c r="AU16" s="1">
        <v>4440</v>
      </c>
      <c r="AV16" s="1">
        <v>2.5</v>
      </c>
    </row>
    <row r="17" spans="1:48">
      <c r="A17" s="1" t="s">
        <v>719</v>
      </c>
      <c r="B17" s="1" t="s">
        <v>720</v>
      </c>
      <c r="C17" s="1">
        <v>0.97848000000000002</v>
      </c>
      <c r="D17" s="1">
        <v>1369</v>
      </c>
      <c r="E17" s="1">
        <v>3111</v>
      </c>
      <c r="F17" s="1">
        <v>320</v>
      </c>
      <c r="G17" s="1">
        <v>1059698</v>
      </c>
      <c r="H17" s="1">
        <v>70.599999999999994</v>
      </c>
      <c r="I17" s="1">
        <v>1594</v>
      </c>
      <c r="J17" s="1">
        <v>3041</v>
      </c>
      <c r="K17" s="1">
        <v>100</v>
      </c>
      <c r="L17" s="1">
        <v>323704</v>
      </c>
      <c r="M17" s="1">
        <v>21.6</v>
      </c>
      <c r="N17" s="1">
        <v>1047</v>
      </c>
      <c r="O17" s="1">
        <v>235</v>
      </c>
      <c r="P17" s="1">
        <v>109</v>
      </c>
      <c r="Q17" s="1">
        <v>27266</v>
      </c>
      <c r="R17" s="1">
        <v>1.8</v>
      </c>
      <c r="S17" s="1">
        <v>1154</v>
      </c>
      <c r="T17" s="1">
        <v>1</v>
      </c>
      <c r="U17" s="1">
        <v>1</v>
      </c>
      <c r="V17" s="1">
        <v>1</v>
      </c>
      <c r="W17" s="1">
        <v>0</v>
      </c>
      <c r="X17" s="1">
        <v>1296</v>
      </c>
      <c r="Y17" s="1">
        <v>59</v>
      </c>
      <c r="Z17" s="1">
        <v>1</v>
      </c>
      <c r="AA17" s="1">
        <v>63</v>
      </c>
      <c r="AB17" s="1">
        <v>0</v>
      </c>
      <c r="AC17" s="1">
        <v>1402</v>
      </c>
      <c r="AD17" s="1">
        <v>91</v>
      </c>
      <c r="AE17" s="1">
        <v>127</v>
      </c>
      <c r="AF17" s="1">
        <v>12302</v>
      </c>
      <c r="AG17" s="1">
        <v>0.8</v>
      </c>
      <c r="AH17" s="1">
        <v>1500</v>
      </c>
      <c r="AI17" s="1">
        <v>111</v>
      </c>
      <c r="AJ17" s="1">
        <v>3</v>
      </c>
      <c r="AK17" s="1">
        <v>354</v>
      </c>
      <c r="AL17" s="1">
        <v>0</v>
      </c>
      <c r="AM17" s="1">
        <v>1592</v>
      </c>
      <c r="AN17" s="1">
        <v>299</v>
      </c>
      <c r="AO17" s="1">
        <v>27</v>
      </c>
      <c r="AP17" s="1">
        <v>8593</v>
      </c>
      <c r="AQ17" s="1">
        <v>0.6</v>
      </c>
      <c r="AR17" s="1">
        <v>1748</v>
      </c>
      <c r="AS17" s="1">
        <v>383</v>
      </c>
      <c r="AT17" s="1">
        <v>171</v>
      </c>
      <c r="AU17" s="1">
        <v>69715</v>
      </c>
      <c r="AV17" s="1">
        <v>4.5999999999999996</v>
      </c>
    </row>
    <row r="18" spans="1:48">
      <c r="A18" s="1" t="s">
        <v>721</v>
      </c>
      <c r="B18" s="1" t="s">
        <v>211</v>
      </c>
      <c r="C18" s="1">
        <v>0.975858</v>
      </c>
      <c r="D18" s="1">
        <v>1369</v>
      </c>
      <c r="E18" s="1">
        <v>3565</v>
      </c>
      <c r="F18" s="1">
        <v>338</v>
      </c>
      <c r="G18" s="1">
        <v>1282651</v>
      </c>
      <c r="H18" s="1">
        <v>74.400000000000006</v>
      </c>
      <c r="I18" s="1">
        <v>1592</v>
      </c>
      <c r="J18" s="1">
        <v>3201</v>
      </c>
      <c r="K18" s="1">
        <v>100</v>
      </c>
      <c r="L18" s="1">
        <v>340736</v>
      </c>
      <c r="M18" s="1">
        <v>19.8</v>
      </c>
      <c r="N18" s="1">
        <v>1023</v>
      </c>
      <c r="O18" s="1">
        <v>149</v>
      </c>
      <c r="P18" s="1">
        <v>93</v>
      </c>
      <c r="Q18" s="1">
        <v>14750</v>
      </c>
      <c r="R18" s="1">
        <v>0.9</v>
      </c>
      <c r="S18" s="1">
        <v>1154</v>
      </c>
      <c r="T18" s="1">
        <v>1</v>
      </c>
      <c r="U18" s="1">
        <v>1</v>
      </c>
      <c r="V18" s="1">
        <v>1</v>
      </c>
      <c r="W18" s="1">
        <v>0</v>
      </c>
      <c r="X18" s="1">
        <v>1270</v>
      </c>
      <c r="Y18" s="1">
        <v>1</v>
      </c>
      <c r="Z18" s="1">
        <v>1</v>
      </c>
      <c r="AA18" s="1">
        <v>1</v>
      </c>
      <c r="AB18" s="1">
        <v>0</v>
      </c>
      <c r="AC18" s="1">
        <v>1402</v>
      </c>
      <c r="AD18" s="1">
        <v>3</v>
      </c>
      <c r="AE18" s="1">
        <v>1</v>
      </c>
      <c r="AF18" s="1">
        <v>3</v>
      </c>
      <c r="AG18" s="1">
        <v>0</v>
      </c>
      <c r="AH18" s="1">
        <v>1500</v>
      </c>
      <c r="AI18" s="1">
        <v>7</v>
      </c>
      <c r="AJ18" s="1">
        <v>1</v>
      </c>
      <c r="AK18" s="1">
        <v>7</v>
      </c>
      <c r="AL18" s="1">
        <v>0</v>
      </c>
      <c r="AM18" s="1">
        <v>1592</v>
      </c>
      <c r="AN18" s="1">
        <v>295</v>
      </c>
      <c r="AO18" s="1">
        <v>27</v>
      </c>
      <c r="AP18" s="1">
        <v>8478</v>
      </c>
      <c r="AQ18" s="1">
        <v>0.5</v>
      </c>
      <c r="AR18" s="1">
        <v>1748</v>
      </c>
      <c r="AS18" s="1">
        <v>365</v>
      </c>
      <c r="AT18" s="1">
        <v>199</v>
      </c>
      <c r="AU18" s="1">
        <v>77318</v>
      </c>
      <c r="AV18" s="1">
        <v>4.5</v>
      </c>
    </row>
    <row r="19" spans="1:48">
      <c r="A19" s="1" t="s">
        <v>722</v>
      </c>
      <c r="B19" s="1" t="s">
        <v>723</v>
      </c>
      <c r="C19" s="1">
        <v>0.98255199999999998</v>
      </c>
      <c r="D19" s="1">
        <v>1369</v>
      </c>
      <c r="E19" s="1">
        <v>16497</v>
      </c>
      <c r="F19" s="1">
        <v>332</v>
      </c>
      <c r="G19" s="1">
        <v>5830090</v>
      </c>
      <c r="H19" s="1">
        <v>69.400000000000006</v>
      </c>
      <c r="I19" s="1">
        <v>1590</v>
      </c>
      <c r="J19" s="1">
        <v>19081</v>
      </c>
      <c r="K19" s="1">
        <v>102</v>
      </c>
      <c r="L19" s="1">
        <v>2071732</v>
      </c>
      <c r="M19" s="1">
        <v>24.7</v>
      </c>
      <c r="N19" s="1">
        <v>1027</v>
      </c>
      <c r="O19" s="1">
        <v>673</v>
      </c>
      <c r="P19" s="1">
        <v>65</v>
      </c>
      <c r="Q19" s="1">
        <v>46565</v>
      </c>
      <c r="R19" s="1">
        <v>0.6</v>
      </c>
      <c r="S19" s="1">
        <v>1154</v>
      </c>
      <c r="T19" s="1">
        <v>1</v>
      </c>
      <c r="U19" s="1">
        <v>1</v>
      </c>
      <c r="V19" s="1">
        <v>1</v>
      </c>
      <c r="W19" s="1">
        <v>0</v>
      </c>
      <c r="X19" s="1">
        <v>1270</v>
      </c>
      <c r="Y19" s="1">
        <v>1</v>
      </c>
      <c r="Z19" s="1">
        <v>1</v>
      </c>
      <c r="AA19" s="1">
        <v>1</v>
      </c>
      <c r="AB19" s="1">
        <v>0</v>
      </c>
      <c r="AC19" s="1">
        <v>1456</v>
      </c>
      <c r="AD19" s="1">
        <v>403</v>
      </c>
      <c r="AE19" s="1">
        <v>127</v>
      </c>
      <c r="AF19" s="1">
        <v>54480</v>
      </c>
      <c r="AG19" s="1">
        <v>0.6</v>
      </c>
      <c r="AH19" s="1">
        <v>1500</v>
      </c>
      <c r="AI19" s="1">
        <v>705</v>
      </c>
      <c r="AJ19" s="1">
        <v>35</v>
      </c>
      <c r="AK19" s="1">
        <v>26266</v>
      </c>
      <c r="AL19" s="1">
        <v>0.3</v>
      </c>
      <c r="AM19" s="1">
        <v>1598</v>
      </c>
      <c r="AN19" s="1">
        <v>1019</v>
      </c>
      <c r="AO19" s="1">
        <v>27</v>
      </c>
      <c r="AP19" s="1">
        <v>29287</v>
      </c>
      <c r="AQ19" s="1">
        <v>0.3</v>
      </c>
      <c r="AR19" s="1">
        <v>1740</v>
      </c>
      <c r="AS19" s="1">
        <v>1973</v>
      </c>
      <c r="AT19" s="1">
        <v>161</v>
      </c>
      <c r="AU19" s="1">
        <v>338131</v>
      </c>
      <c r="AV19" s="1">
        <v>4</v>
      </c>
    </row>
    <row r="20" spans="1:48">
      <c r="A20" s="1" t="s">
        <v>724</v>
      </c>
      <c r="B20" s="1" t="s">
        <v>725</v>
      </c>
      <c r="C20" s="1">
        <v>0.92681000000000002</v>
      </c>
      <c r="D20" s="1">
        <v>1369</v>
      </c>
      <c r="E20" s="1">
        <v>7139</v>
      </c>
      <c r="F20" s="1">
        <v>316</v>
      </c>
      <c r="G20" s="1">
        <v>2401357</v>
      </c>
      <c r="H20" s="1">
        <v>48.9</v>
      </c>
      <c r="I20" s="1">
        <v>1592</v>
      </c>
      <c r="J20" s="1">
        <v>10889</v>
      </c>
      <c r="K20" s="1">
        <v>140</v>
      </c>
      <c r="L20" s="1">
        <v>1622737</v>
      </c>
      <c r="M20" s="1">
        <v>33.1</v>
      </c>
      <c r="N20" s="1">
        <v>1009</v>
      </c>
      <c r="O20" s="1">
        <v>497</v>
      </c>
      <c r="P20" s="1">
        <v>9</v>
      </c>
      <c r="Q20" s="1">
        <v>4761</v>
      </c>
      <c r="R20" s="1">
        <v>0.1</v>
      </c>
      <c r="S20" s="1">
        <v>1156</v>
      </c>
      <c r="T20" s="1">
        <v>3779</v>
      </c>
      <c r="U20" s="1">
        <v>19</v>
      </c>
      <c r="V20" s="1">
        <v>76430</v>
      </c>
      <c r="W20" s="1">
        <v>1.6</v>
      </c>
      <c r="X20" s="1">
        <v>1260</v>
      </c>
      <c r="Y20" s="1">
        <v>1</v>
      </c>
      <c r="Z20" s="1">
        <v>1</v>
      </c>
      <c r="AA20" s="1">
        <v>1</v>
      </c>
      <c r="AB20" s="1">
        <v>0</v>
      </c>
      <c r="AC20" s="1">
        <v>1434</v>
      </c>
      <c r="AD20" s="1">
        <v>1035</v>
      </c>
      <c r="AE20" s="1">
        <v>131</v>
      </c>
      <c r="AF20" s="1">
        <v>144326</v>
      </c>
      <c r="AG20" s="1">
        <v>2.9</v>
      </c>
      <c r="AH20" s="1">
        <v>1508</v>
      </c>
      <c r="AI20" s="1">
        <v>7631</v>
      </c>
      <c r="AJ20" s="1">
        <v>17</v>
      </c>
      <c r="AK20" s="1">
        <v>138090</v>
      </c>
      <c r="AL20" s="1">
        <v>2.8</v>
      </c>
      <c r="AM20" s="1">
        <v>1592</v>
      </c>
      <c r="AN20" s="1">
        <v>793</v>
      </c>
      <c r="AO20" s="1">
        <v>23</v>
      </c>
      <c r="AP20" s="1">
        <v>19415</v>
      </c>
      <c r="AQ20" s="1">
        <v>0.4</v>
      </c>
      <c r="AR20" s="1">
        <v>1748</v>
      </c>
      <c r="AS20" s="1">
        <v>2509</v>
      </c>
      <c r="AT20" s="1">
        <v>187</v>
      </c>
      <c r="AU20" s="1">
        <v>499430</v>
      </c>
      <c r="AV20" s="1">
        <v>10.199999999999999</v>
      </c>
    </row>
    <row r="21" spans="1:48">
      <c r="A21" s="1" t="s">
        <v>726</v>
      </c>
      <c r="B21" s="1" t="s">
        <v>727</v>
      </c>
      <c r="C21" s="1">
        <v>0.94776899999999997</v>
      </c>
      <c r="D21" s="1">
        <v>1369</v>
      </c>
      <c r="E21" s="1">
        <v>6093</v>
      </c>
      <c r="F21" s="1">
        <v>254</v>
      </c>
      <c r="G21" s="1">
        <v>1647393</v>
      </c>
      <c r="H21" s="1">
        <v>47.3</v>
      </c>
      <c r="I21" s="1">
        <v>1592</v>
      </c>
      <c r="J21" s="1">
        <v>8921</v>
      </c>
      <c r="K21" s="1">
        <v>128</v>
      </c>
      <c r="L21" s="1">
        <v>1215502</v>
      </c>
      <c r="M21" s="1">
        <v>34.9</v>
      </c>
      <c r="N21" s="1">
        <v>1023</v>
      </c>
      <c r="O21" s="1">
        <v>273</v>
      </c>
      <c r="P21" s="1">
        <v>29</v>
      </c>
      <c r="Q21" s="1">
        <v>8427</v>
      </c>
      <c r="R21" s="1">
        <v>0.2</v>
      </c>
      <c r="S21" s="1">
        <v>1174</v>
      </c>
      <c r="T21" s="1">
        <v>627</v>
      </c>
      <c r="U21" s="1">
        <v>7</v>
      </c>
      <c r="V21" s="1">
        <v>4672</v>
      </c>
      <c r="W21" s="1">
        <v>0.1</v>
      </c>
      <c r="X21" s="1">
        <v>1260</v>
      </c>
      <c r="Y21" s="1">
        <v>1</v>
      </c>
      <c r="Z21" s="1">
        <v>1</v>
      </c>
      <c r="AA21" s="1">
        <v>1</v>
      </c>
      <c r="AB21" s="1">
        <v>0</v>
      </c>
      <c r="AC21" s="1">
        <v>1434</v>
      </c>
      <c r="AD21" s="1">
        <v>571</v>
      </c>
      <c r="AE21" s="1">
        <v>135</v>
      </c>
      <c r="AF21" s="1">
        <v>82054</v>
      </c>
      <c r="AG21" s="1">
        <v>2.4</v>
      </c>
      <c r="AH21" s="1">
        <v>1504</v>
      </c>
      <c r="AI21" s="1">
        <v>2055</v>
      </c>
      <c r="AJ21" s="1">
        <v>25</v>
      </c>
      <c r="AK21" s="1">
        <v>54687</v>
      </c>
      <c r="AL21" s="1">
        <v>1.6</v>
      </c>
      <c r="AM21" s="1">
        <v>1592</v>
      </c>
      <c r="AN21" s="1">
        <v>161</v>
      </c>
      <c r="AO21" s="1">
        <v>35</v>
      </c>
      <c r="AP21" s="1">
        <v>5998</v>
      </c>
      <c r="AQ21" s="1">
        <v>0.2</v>
      </c>
      <c r="AR21" s="1">
        <v>1748</v>
      </c>
      <c r="AS21" s="1">
        <v>2299</v>
      </c>
      <c r="AT21" s="1">
        <v>191</v>
      </c>
      <c r="AU21" s="1">
        <v>467417</v>
      </c>
      <c r="AV21" s="1">
        <v>13.4</v>
      </c>
    </row>
    <row r="22" spans="1:48">
      <c r="A22" s="1" t="s">
        <v>728</v>
      </c>
      <c r="B22" s="1" t="s">
        <v>729</v>
      </c>
      <c r="C22" s="1">
        <v>0.98326000000000002</v>
      </c>
      <c r="D22" s="1">
        <v>1369</v>
      </c>
      <c r="E22" s="1">
        <v>7387</v>
      </c>
      <c r="F22" s="1">
        <v>282</v>
      </c>
      <c r="G22" s="1">
        <v>2217427</v>
      </c>
      <c r="H22" s="1">
        <v>59.5</v>
      </c>
      <c r="I22" s="1">
        <v>1596</v>
      </c>
      <c r="J22" s="1">
        <v>9919</v>
      </c>
      <c r="K22" s="1">
        <v>100</v>
      </c>
      <c r="L22" s="1">
        <v>1055845</v>
      </c>
      <c r="M22" s="1">
        <v>28.3</v>
      </c>
      <c r="N22" s="1">
        <v>1051</v>
      </c>
      <c r="O22" s="1">
        <v>157</v>
      </c>
      <c r="P22" s="1">
        <v>15</v>
      </c>
      <c r="Q22" s="1">
        <v>2507</v>
      </c>
      <c r="R22" s="1">
        <v>0.1</v>
      </c>
      <c r="S22" s="1">
        <v>1158</v>
      </c>
      <c r="T22" s="1">
        <v>1249</v>
      </c>
      <c r="U22" s="1">
        <v>21</v>
      </c>
      <c r="V22" s="1">
        <v>27920</v>
      </c>
      <c r="W22" s="1">
        <v>0.7</v>
      </c>
      <c r="X22" s="1">
        <v>1260</v>
      </c>
      <c r="Y22" s="1">
        <v>1</v>
      </c>
      <c r="Z22" s="1">
        <v>1</v>
      </c>
      <c r="AA22" s="1">
        <v>1</v>
      </c>
      <c r="AB22" s="1">
        <v>0</v>
      </c>
      <c r="AC22" s="1">
        <v>1408</v>
      </c>
      <c r="AD22" s="1">
        <v>279</v>
      </c>
      <c r="AE22" s="1">
        <v>127</v>
      </c>
      <c r="AF22" s="1">
        <v>37717</v>
      </c>
      <c r="AG22" s="1">
        <v>1</v>
      </c>
      <c r="AH22" s="1">
        <v>1504</v>
      </c>
      <c r="AI22" s="1">
        <v>1857</v>
      </c>
      <c r="AJ22" s="1">
        <v>29</v>
      </c>
      <c r="AK22" s="1">
        <v>57325</v>
      </c>
      <c r="AL22" s="1">
        <v>1.5</v>
      </c>
      <c r="AM22" s="1">
        <v>1598</v>
      </c>
      <c r="AN22" s="1">
        <v>17</v>
      </c>
      <c r="AO22" s="1">
        <v>33</v>
      </c>
      <c r="AP22" s="1">
        <v>597</v>
      </c>
      <c r="AQ22" s="1">
        <v>0</v>
      </c>
      <c r="AR22" s="1">
        <v>1748</v>
      </c>
      <c r="AS22" s="1">
        <v>1543</v>
      </c>
      <c r="AT22" s="1">
        <v>199</v>
      </c>
      <c r="AU22" s="1">
        <v>326852</v>
      </c>
      <c r="AV22" s="1">
        <v>8.8000000000000007</v>
      </c>
    </row>
    <row r="23" spans="1:48">
      <c r="A23" s="1" t="s">
        <v>730</v>
      </c>
      <c r="B23" s="1" t="s">
        <v>731</v>
      </c>
      <c r="C23" s="1">
        <v>0.982352</v>
      </c>
      <c r="D23" s="1">
        <v>1369</v>
      </c>
      <c r="E23" s="1">
        <v>30771</v>
      </c>
      <c r="F23" s="1">
        <v>276</v>
      </c>
      <c r="G23" s="1">
        <v>9040301</v>
      </c>
      <c r="H23" s="1">
        <v>58.9</v>
      </c>
      <c r="I23" s="1">
        <v>1590</v>
      </c>
      <c r="J23" s="1">
        <v>41053</v>
      </c>
      <c r="K23" s="1">
        <v>114</v>
      </c>
      <c r="L23" s="1">
        <v>4981750</v>
      </c>
      <c r="M23" s="1">
        <v>32.5</v>
      </c>
      <c r="N23" s="1">
        <v>1031</v>
      </c>
      <c r="O23" s="1">
        <v>781</v>
      </c>
      <c r="P23" s="1">
        <v>37</v>
      </c>
      <c r="Q23" s="1">
        <v>30760</v>
      </c>
      <c r="R23" s="1">
        <v>0.2</v>
      </c>
      <c r="S23" s="1">
        <v>1156</v>
      </c>
      <c r="T23" s="1">
        <v>783</v>
      </c>
      <c r="U23" s="1">
        <v>29</v>
      </c>
      <c r="V23" s="1">
        <v>24171</v>
      </c>
      <c r="W23" s="1">
        <v>0.2</v>
      </c>
      <c r="X23" s="1">
        <v>1270</v>
      </c>
      <c r="Y23" s="1">
        <v>1</v>
      </c>
      <c r="Z23" s="1">
        <v>1</v>
      </c>
      <c r="AA23" s="1">
        <v>1</v>
      </c>
      <c r="AB23" s="1">
        <v>0</v>
      </c>
      <c r="AC23" s="1">
        <v>1456</v>
      </c>
      <c r="AD23" s="1">
        <v>2401</v>
      </c>
      <c r="AE23" s="1">
        <v>71</v>
      </c>
      <c r="AF23" s="1">
        <v>181461</v>
      </c>
      <c r="AG23" s="1">
        <v>1.2</v>
      </c>
      <c r="AH23" s="1">
        <v>1496</v>
      </c>
      <c r="AI23" s="1">
        <v>3067</v>
      </c>
      <c r="AJ23" s="1">
        <v>37</v>
      </c>
      <c r="AK23" s="1">
        <v>120795</v>
      </c>
      <c r="AL23" s="1">
        <v>0.8</v>
      </c>
      <c r="AM23" s="1">
        <v>1592</v>
      </c>
      <c r="AN23" s="1">
        <v>315</v>
      </c>
      <c r="AO23" s="1">
        <v>23</v>
      </c>
      <c r="AP23" s="1">
        <v>7712</v>
      </c>
      <c r="AQ23" s="1">
        <v>0.1</v>
      </c>
      <c r="AR23" s="1">
        <v>1748</v>
      </c>
      <c r="AS23" s="1">
        <v>4877</v>
      </c>
      <c r="AT23" s="1">
        <v>185</v>
      </c>
      <c r="AU23" s="1">
        <v>960410</v>
      </c>
      <c r="AV23" s="1">
        <v>6.3</v>
      </c>
    </row>
    <row r="24" spans="1:48">
      <c r="A24" s="1" t="s">
        <v>732</v>
      </c>
      <c r="B24" s="1" t="s">
        <v>733</v>
      </c>
      <c r="C24" s="1">
        <v>0.98802299999999998</v>
      </c>
      <c r="D24" s="1">
        <v>1369</v>
      </c>
      <c r="E24" s="1">
        <v>16559</v>
      </c>
      <c r="F24" s="1">
        <v>326</v>
      </c>
      <c r="G24" s="1">
        <v>5746242</v>
      </c>
      <c r="H24" s="1">
        <v>70.400000000000006</v>
      </c>
      <c r="I24" s="1">
        <v>1590</v>
      </c>
      <c r="J24" s="1">
        <v>18439</v>
      </c>
      <c r="K24" s="1">
        <v>102</v>
      </c>
      <c r="L24" s="1">
        <v>2002026</v>
      </c>
      <c r="M24" s="1">
        <v>24.5</v>
      </c>
      <c r="N24" s="1">
        <v>1041</v>
      </c>
      <c r="O24" s="1">
        <v>697</v>
      </c>
      <c r="P24" s="1">
        <v>61</v>
      </c>
      <c r="Q24" s="1">
        <v>45258</v>
      </c>
      <c r="R24" s="1">
        <v>0.6</v>
      </c>
      <c r="S24" s="1">
        <v>1154</v>
      </c>
      <c r="T24" s="1">
        <v>1</v>
      </c>
      <c r="U24" s="1">
        <v>1</v>
      </c>
      <c r="V24" s="1">
        <v>1</v>
      </c>
      <c r="W24" s="1">
        <v>0</v>
      </c>
      <c r="X24" s="1">
        <v>1270</v>
      </c>
      <c r="Y24" s="1">
        <v>1</v>
      </c>
      <c r="Z24" s="1">
        <v>1</v>
      </c>
      <c r="AA24" s="1">
        <v>1</v>
      </c>
      <c r="AB24" s="1">
        <v>0</v>
      </c>
      <c r="AC24" s="1">
        <v>1402</v>
      </c>
      <c r="AD24" s="1">
        <v>341</v>
      </c>
      <c r="AE24" s="1">
        <v>111</v>
      </c>
      <c r="AF24" s="1">
        <v>40291</v>
      </c>
      <c r="AG24" s="1">
        <v>0.5</v>
      </c>
      <c r="AH24" s="1">
        <v>1500</v>
      </c>
      <c r="AI24" s="1">
        <v>581</v>
      </c>
      <c r="AJ24" s="1">
        <v>35</v>
      </c>
      <c r="AK24" s="1">
        <v>21646</v>
      </c>
      <c r="AL24" s="1">
        <v>0.3</v>
      </c>
      <c r="AM24" s="1">
        <v>1596</v>
      </c>
      <c r="AN24" s="1">
        <v>1247</v>
      </c>
      <c r="AO24" s="1">
        <v>27</v>
      </c>
      <c r="AP24" s="1">
        <v>35840</v>
      </c>
      <c r="AQ24" s="1">
        <v>0.4</v>
      </c>
      <c r="AR24" s="1">
        <v>1730</v>
      </c>
      <c r="AS24" s="1">
        <v>1899</v>
      </c>
      <c r="AT24" s="1">
        <v>135</v>
      </c>
      <c r="AU24" s="1">
        <v>272892</v>
      </c>
      <c r="AV24" s="1">
        <v>3.3</v>
      </c>
    </row>
    <row r="25" spans="1:48">
      <c r="A25" s="1" t="s">
        <v>734</v>
      </c>
      <c r="B25" s="1" t="s">
        <v>735</v>
      </c>
      <c r="C25" s="1">
        <v>0.98684300000000003</v>
      </c>
      <c r="D25" s="1">
        <v>1369</v>
      </c>
      <c r="E25" s="1">
        <v>10749</v>
      </c>
      <c r="F25" s="1">
        <v>322</v>
      </c>
      <c r="G25" s="1">
        <v>3684310</v>
      </c>
      <c r="H25" s="1">
        <v>69.400000000000006</v>
      </c>
      <c r="I25" s="1">
        <v>1590</v>
      </c>
      <c r="J25" s="1">
        <v>12071</v>
      </c>
      <c r="K25" s="1">
        <v>102</v>
      </c>
      <c r="L25" s="1">
        <v>1310617</v>
      </c>
      <c r="M25" s="1">
        <v>24.7</v>
      </c>
      <c r="N25" s="1">
        <v>1029</v>
      </c>
      <c r="O25" s="1">
        <v>497</v>
      </c>
      <c r="P25" s="1">
        <v>67</v>
      </c>
      <c r="Q25" s="1">
        <v>35446</v>
      </c>
      <c r="R25" s="1">
        <v>0.7</v>
      </c>
      <c r="S25" s="1">
        <v>1154</v>
      </c>
      <c r="T25" s="1">
        <v>1</v>
      </c>
      <c r="U25" s="1">
        <v>1</v>
      </c>
      <c r="V25" s="1">
        <v>1</v>
      </c>
      <c r="W25" s="1">
        <v>0</v>
      </c>
      <c r="X25" s="1">
        <v>1270</v>
      </c>
      <c r="Y25" s="1">
        <v>1</v>
      </c>
      <c r="Z25" s="1">
        <v>1</v>
      </c>
      <c r="AA25" s="1">
        <v>1</v>
      </c>
      <c r="AB25" s="1">
        <v>0</v>
      </c>
      <c r="AC25" s="1">
        <v>1456</v>
      </c>
      <c r="AD25" s="1">
        <v>59</v>
      </c>
      <c r="AE25" s="1">
        <v>149</v>
      </c>
      <c r="AF25" s="1">
        <v>9358</v>
      </c>
      <c r="AG25" s="1">
        <v>0.2</v>
      </c>
      <c r="AH25" s="1">
        <v>1500</v>
      </c>
      <c r="AI25" s="1">
        <v>511</v>
      </c>
      <c r="AJ25" s="1">
        <v>35</v>
      </c>
      <c r="AK25" s="1">
        <v>19038</v>
      </c>
      <c r="AL25" s="1">
        <v>0.4</v>
      </c>
      <c r="AM25" s="1">
        <v>1598</v>
      </c>
      <c r="AN25" s="1">
        <v>701</v>
      </c>
      <c r="AO25" s="1">
        <v>27</v>
      </c>
      <c r="AP25" s="1">
        <v>20147</v>
      </c>
      <c r="AQ25" s="1">
        <v>0.4</v>
      </c>
      <c r="AR25" s="1">
        <v>1732</v>
      </c>
      <c r="AS25" s="1">
        <v>1427</v>
      </c>
      <c r="AT25" s="1">
        <v>153</v>
      </c>
      <c r="AU25" s="1">
        <v>232406</v>
      </c>
      <c r="AV25" s="1">
        <v>4.4000000000000004</v>
      </c>
    </row>
    <row r="26" spans="1:48">
      <c r="A26" s="1" t="s">
        <v>736</v>
      </c>
      <c r="B26" s="1" t="s">
        <v>737</v>
      </c>
      <c r="C26" s="1">
        <v>0.98916999999999999</v>
      </c>
      <c r="D26" s="1">
        <v>1369</v>
      </c>
      <c r="E26" s="1">
        <v>8171</v>
      </c>
      <c r="F26" s="1">
        <v>340</v>
      </c>
      <c r="G26" s="1">
        <v>2957238</v>
      </c>
      <c r="H26" s="1">
        <v>69.5</v>
      </c>
      <c r="I26" s="1">
        <v>1584</v>
      </c>
      <c r="J26" s="1">
        <v>9071</v>
      </c>
      <c r="K26" s="1">
        <v>116</v>
      </c>
      <c r="L26" s="1">
        <v>1120071</v>
      </c>
      <c r="M26" s="1">
        <v>26.3</v>
      </c>
      <c r="N26" s="1">
        <v>1009</v>
      </c>
      <c r="O26" s="1">
        <v>219</v>
      </c>
      <c r="P26" s="1">
        <v>81</v>
      </c>
      <c r="Q26" s="1">
        <v>18883</v>
      </c>
      <c r="R26" s="1">
        <v>0.4</v>
      </c>
      <c r="S26" s="1">
        <v>1154</v>
      </c>
      <c r="T26" s="1">
        <v>1</v>
      </c>
      <c r="U26" s="1">
        <v>1</v>
      </c>
      <c r="V26" s="1">
        <v>1</v>
      </c>
      <c r="W26" s="1">
        <v>0</v>
      </c>
      <c r="X26" s="1">
        <v>1270</v>
      </c>
      <c r="Y26" s="1">
        <v>1</v>
      </c>
      <c r="Z26" s="1">
        <v>1</v>
      </c>
      <c r="AA26" s="1">
        <v>1</v>
      </c>
      <c r="AB26" s="1">
        <v>0</v>
      </c>
      <c r="AC26" s="1">
        <v>1456</v>
      </c>
      <c r="AD26" s="1">
        <v>339</v>
      </c>
      <c r="AE26" s="1">
        <v>79</v>
      </c>
      <c r="AF26" s="1">
        <v>28507</v>
      </c>
      <c r="AG26" s="1">
        <v>0.7</v>
      </c>
      <c r="AH26" s="1">
        <v>1488</v>
      </c>
      <c r="AI26" s="1">
        <v>211</v>
      </c>
      <c r="AJ26" s="1">
        <v>29</v>
      </c>
      <c r="AK26" s="1">
        <v>6513</v>
      </c>
      <c r="AL26" s="1">
        <v>0.2</v>
      </c>
      <c r="AM26" s="1">
        <v>1598</v>
      </c>
      <c r="AN26" s="1">
        <v>1</v>
      </c>
      <c r="AO26" s="1">
        <v>21</v>
      </c>
      <c r="AP26" s="1">
        <v>22</v>
      </c>
      <c r="AQ26" s="1">
        <v>0</v>
      </c>
      <c r="AR26" s="1">
        <v>1742</v>
      </c>
      <c r="AS26" s="1">
        <v>941</v>
      </c>
      <c r="AT26" s="1">
        <v>121</v>
      </c>
      <c r="AU26" s="1">
        <v>121201</v>
      </c>
      <c r="AV26" s="1">
        <v>2.9</v>
      </c>
    </row>
    <row r="27" spans="1:48">
      <c r="A27" s="1" t="s">
        <v>738</v>
      </c>
      <c r="B27" s="1" t="s">
        <v>739</v>
      </c>
      <c r="C27" s="1">
        <v>0.98946800000000001</v>
      </c>
      <c r="D27" s="1">
        <v>1369</v>
      </c>
      <c r="E27" s="1">
        <v>8761</v>
      </c>
      <c r="F27" s="1">
        <v>334</v>
      </c>
      <c r="G27" s="1">
        <v>3114816</v>
      </c>
      <c r="H27" s="1">
        <v>68.099999999999994</v>
      </c>
      <c r="I27" s="1">
        <v>1586</v>
      </c>
      <c r="J27" s="1">
        <v>10339</v>
      </c>
      <c r="K27" s="1">
        <v>114</v>
      </c>
      <c r="L27" s="1">
        <v>1254630</v>
      </c>
      <c r="M27" s="1">
        <v>27.4</v>
      </c>
      <c r="N27" s="1">
        <v>1039</v>
      </c>
      <c r="O27" s="1">
        <v>341</v>
      </c>
      <c r="P27" s="1">
        <v>63</v>
      </c>
      <c r="Q27" s="1">
        <v>22868</v>
      </c>
      <c r="R27" s="1">
        <v>0.5</v>
      </c>
      <c r="S27" s="1">
        <v>1154</v>
      </c>
      <c r="T27" s="1">
        <v>1</v>
      </c>
      <c r="U27" s="1">
        <v>1</v>
      </c>
      <c r="V27" s="1">
        <v>1</v>
      </c>
      <c r="W27" s="1">
        <v>0</v>
      </c>
      <c r="X27" s="1">
        <v>1270</v>
      </c>
      <c r="Y27" s="1">
        <v>1</v>
      </c>
      <c r="Z27" s="1">
        <v>1</v>
      </c>
      <c r="AA27" s="1">
        <v>1</v>
      </c>
      <c r="AB27" s="1">
        <v>0</v>
      </c>
      <c r="AC27" s="1">
        <v>1456</v>
      </c>
      <c r="AD27" s="1">
        <v>649</v>
      </c>
      <c r="AE27" s="1">
        <v>71</v>
      </c>
      <c r="AF27" s="1">
        <v>49050</v>
      </c>
      <c r="AG27" s="1">
        <v>1.1000000000000001</v>
      </c>
      <c r="AH27" s="1">
        <v>1500</v>
      </c>
      <c r="AI27" s="1">
        <v>39</v>
      </c>
      <c r="AJ27" s="1">
        <v>25</v>
      </c>
      <c r="AK27" s="1">
        <v>1038</v>
      </c>
      <c r="AL27" s="1">
        <v>0</v>
      </c>
      <c r="AM27" s="1">
        <v>1592</v>
      </c>
      <c r="AN27" s="1">
        <v>375</v>
      </c>
      <c r="AO27" s="1">
        <v>15</v>
      </c>
      <c r="AP27" s="1">
        <v>5988</v>
      </c>
      <c r="AQ27" s="1">
        <v>0.1</v>
      </c>
      <c r="AR27" s="1">
        <v>1738</v>
      </c>
      <c r="AS27" s="1">
        <v>1039</v>
      </c>
      <c r="AT27" s="1">
        <v>115</v>
      </c>
      <c r="AU27" s="1">
        <v>127188</v>
      </c>
      <c r="AV27" s="1">
        <v>2.8</v>
      </c>
    </row>
    <row r="28" spans="1:48">
      <c r="A28" s="1" t="s">
        <v>740</v>
      </c>
      <c r="B28" s="1" t="s">
        <v>741</v>
      </c>
      <c r="C28" s="1">
        <v>0.989371</v>
      </c>
      <c r="D28" s="1">
        <v>1369</v>
      </c>
      <c r="E28" s="1">
        <v>7977</v>
      </c>
      <c r="F28" s="1">
        <v>340</v>
      </c>
      <c r="G28" s="1">
        <v>2887026</v>
      </c>
      <c r="H28" s="1">
        <v>66.599999999999994</v>
      </c>
      <c r="I28" s="1">
        <v>1586</v>
      </c>
      <c r="J28" s="1">
        <v>10053</v>
      </c>
      <c r="K28" s="1">
        <v>114</v>
      </c>
      <c r="L28" s="1">
        <v>1219924</v>
      </c>
      <c r="M28" s="1">
        <v>28.1</v>
      </c>
      <c r="N28" s="1">
        <v>1043</v>
      </c>
      <c r="O28" s="1">
        <v>253</v>
      </c>
      <c r="P28" s="1">
        <v>61</v>
      </c>
      <c r="Q28" s="1">
        <v>16428</v>
      </c>
      <c r="R28" s="1">
        <v>0.4</v>
      </c>
      <c r="S28" s="1">
        <v>1154</v>
      </c>
      <c r="T28" s="1">
        <v>1</v>
      </c>
      <c r="U28" s="1">
        <v>1</v>
      </c>
      <c r="V28" s="1">
        <v>1</v>
      </c>
      <c r="W28" s="1">
        <v>0</v>
      </c>
      <c r="X28" s="1">
        <v>1270</v>
      </c>
      <c r="Y28" s="1">
        <v>1</v>
      </c>
      <c r="Z28" s="1">
        <v>1</v>
      </c>
      <c r="AA28" s="1">
        <v>1</v>
      </c>
      <c r="AB28" s="1">
        <v>0</v>
      </c>
      <c r="AC28" s="1">
        <v>1456</v>
      </c>
      <c r="AD28" s="1">
        <v>521</v>
      </c>
      <c r="AE28" s="1">
        <v>83</v>
      </c>
      <c r="AF28" s="1">
        <v>46031</v>
      </c>
      <c r="AG28" s="1">
        <v>1.1000000000000001</v>
      </c>
      <c r="AH28" s="1">
        <v>1500</v>
      </c>
      <c r="AI28" s="1">
        <v>381</v>
      </c>
      <c r="AJ28" s="1">
        <v>19</v>
      </c>
      <c r="AK28" s="1">
        <v>7706</v>
      </c>
      <c r="AL28" s="1">
        <v>0.2</v>
      </c>
      <c r="AM28" s="1">
        <v>1598</v>
      </c>
      <c r="AN28" s="1">
        <v>443</v>
      </c>
      <c r="AO28" s="1">
        <v>23</v>
      </c>
      <c r="AP28" s="1">
        <v>10846</v>
      </c>
      <c r="AQ28" s="1">
        <v>0.3</v>
      </c>
      <c r="AR28" s="1">
        <v>1748</v>
      </c>
      <c r="AS28" s="1">
        <v>973</v>
      </c>
      <c r="AT28" s="1">
        <v>143</v>
      </c>
      <c r="AU28" s="1">
        <v>148109</v>
      </c>
      <c r="AV28" s="1">
        <v>3.4</v>
      </c>
    </row>
    <row r="29" spans="1:48">
      <c r="A29" s="1" t="s">
        <v>742</v>
      </c>
      <c r="B29" s="1" t="s">
        <v>743</v>
      </c>
      <c r="C29" s="1">
        <v>0.98962000000000006</v>
      </c>
      <c r="D29" s="1">
        <v>1369</v>
      </c>
      <c r="E29" s="1">
        <v>4829</v>
      </c>
      <c r="F29" s="1">
        <v>326</v>
      </c>
      <c r="G29" s="1">
        <v>1675741</v>
      </c>
      <c r="H29" s="1">
        <v>68.900000000000006</v>
      </c>
      <c r="I29" s="1">
        <v>1592</v>
      </c>
      <c r="J29" s="1">
        <v>5927</v>
      </c>
      <c r="K29" s="1">
        <v>100</v>
      </c>
      <c r="L29" s="1">
        <v>630910</v>
      </c>
      <c r="M29" s="1">
        <v>25.9</v>
      </c>
      <c r="N29" s="1">
        <v>1037</v>
      </c>
      <c r="O29" s="1">
        <v>191</v>
      </c>
      <c r="P29" s="1">
        <v>69</v>
      </c>
      <c r="Q29" s="1">
        <v>14029</v>
      </c>
      <c r="R29" s="1">
        <v>0.6</v>
      </c>
      <c r="S29" s="1">
        <v>1166</v>
      </c>
      <c r="T29" s="1">
        <v>27</v>
      </c>
      <c r="U29" s="1">
        <v>1</v>
      </c>
      <c r="V29" s="1">
        <v>29</v>
      </c>
      <c r="W29" s="1">
        <v>0</v>
      </c>
      <c r="X29" s="1">
        <v>1270</v>
      </c>
      <c r="Y29" s="1">
        <v>1</v>
      </c>
      <c r="Z29" s="1">
        <v>1</v>
      </c>
      <c r="AA29" s="1">
        <v>1</v>
      </c>
      <c r="AB29" s="1">
        <v>0</v>
      </c>
      <c r="AC29" s="1">
        <v>1456</v>
      </c>
      <c r="AD29" s="1">
        <v>37</v>
      </c>
      <c r="AE29" s="1">
        <v>147</v>
      </c>
      <c r="AF29" s="1">
        <v>5790</v>
      </c>
      <c r="AG29" s="1">
        <v>0.2</v>
      </c>
      <c r="AH29" s="1">
        <v>1500</v>
      </c>
      <c r="AI29" s="1">
        <v>237</v>
      </c>
      <c r="AJ29" s="1">
        <v>27</v>
      </c>
      <c r="AK29" s="1">
        <v>6812</v>
      </c>
      <c r="AL29" s="1">
        <v>0.3</v>
      </c>
      <c r="AM29" s="1">
        <v>1598</v>
      </c>
      <c r="AN29" s="1">
        <v>605</v>
      </c>
      <c r="AO29" s="1">
        <v>27</v>
      </c>
      <c r="AP29" s="1">
        <v>17388</v>
      </c>
      <c r="AQ29" s="1">
        <v>0.7</v>
      </c>
      <c r="AR29" s="1">
        <v>1734</v>
      </c>
      <c r="AS29" s="1">
        <v>587</v>
      </c>
      <c r="AT29" s="1">
        <v>131</v>
      </c>
      <c r="AU29" s="1">
        <v>81854</v>
      </c>
      <c r="AV29" s="1">
        <v>3.4</v>
      </c>
    </row>
    <row r="30" spans="1:48">
      <c r="A30" s="1" t="s">
        <v>744</v>
      </c>
      <c r="B30" s="1" t="s">
        <v>745</v>
      </c>
      <c r="C30" s="1">
        <v>0.98836800000000002</v>
      </c>
      <c r="D30" s="1">
        <v>1369</v>
      </c>
      <c r="E30" s="1">
        <v>4757</v>
      </c>
      <c r="F30" s="1">
        <v>352</v>
      </c>
      <c r="G30" s="1">
        <v>1782412</v>
      </c>
      <c r="H30" s="1">
        <v>73.099999999999994</v>
      </c>
      <c r="I30" s="1">
        <v>1590</v>
      </c>
      <c r="J30" s="1">
        <v>4991</v>
      </c>
      <c r="K30" s="1">
        <v>100</v>
      </c>
      <c r="L30" s="1">
        <v>531275</v>
      </c>
      <c r="M30" s="1">
        <v>21.8</v>
      </c>
      <c r="N30" s="1">
        <v>1023</v>
      </c>
      <c r="O30" s="1">
        <v>177</v>
      </c>
      <c r="P30" s="1">
        <v>83</v>
      </c>
      <c r="Q30" s="1">
        <v>15638</v>
      </c>
      <c r="R30" s="1">
        <v>0.6</v>
      </c>
      <c r="S30" s="1">
        <v>1154</v>
      </c>
      <c r="T30" s="1">
        <v>1</v>
      </c>
      <c r="U30" s="1">
        <v>1</v>
      </c>
      <c r="V30" s="1">
        <v>1</v>
      </c>
      <c r="W30" s="1">
        <v>0</v>
      </c>
      <c r="X30" s="1">
        <v>1270</v>
      </c>
      <c r="Y30" s="1">
        <v>1</v>
      </c>
      <c r="Z30" s="1">
        <v>1</v>
      </c>
      <c r="AA30" s="1">
        <v>1</v>
      </c>
      <c r="AB30" s="1">
        <v>0</v>
      </c>
      <c r="AC30" s="1">
        <v>1434</v>
      </c>
      <c r="AD30" s="1">
        <v>121</v>
      </c>
      <c r="AE30" s="1">
        <v>1</v>
      </c>
      <c r="AF30" s="1">
        <v>129</v>
      </c>
      <c r="AG30" s="1">
        <v>0</v>
      </c>
      <c r="AH30" s="1">
        <v>1500</v>
      </c>
      <c r="AI30" s="1">
        <v>121</v>
      </c>
      <c r="AJ30" s="1">
        <v>21</v>
      </c>
      <c r="AK30" s="1">
        <v>2705</v>
      </c>
      <c r="AL30" s="1">
        <v>0.1</v>
      </c>
      <c r="AM30" s="1">
        <v>1596</v>
      </c>
      <c r="AN30" s="1">
        <v>601</v>
      </c>
      <c r="AO30" s="1">
        <v>31</v>
      </c>
      <c r="AP30" s="1">
        <v>19832</v>
      </c>
      <c r="AQ30" s="1">
        <v>0.8</v>
      </c>
      <c r="AR30" s="1">
        <v>1742</v>
      </c>
      <c r="AS30" s="1">
        <v>457</v>
      </c>
      <c r="AT30" s="1">
        <v>175</v>
      </c>
      <c r="AU30" s="1">
        <v>85131</v>
      </c>
      <c r="AV30" s="1">
        <v>3.5</v>
      </c>
    </row>
    <row r="31" spans="1:48">
      <c r="A31" s="1" t="s">
        <v>746</v>
      </c>
      <c r="B31" s="1" t="s">
        <v>747</v>
      </c>
      <c r="C31" s="1">
        <v>0.97929999999999995</v>
      </c>
      <c r="D31" s="1">
        <v>1369</v>
      </c>
      <c r="E31" s="1">
        <v>15841</v>
      </c>
      <c r="F31" s="1">
        <v>296</v>
      </c>
      <c r="G31" s="1">
        <v>4991218</v>
      </c>
      <c r="H31" s="1">
        <v>65.599999999999994</v>
      </c>
      <c r="I31" s="1">
        <v>1592</v>
      </c>
      <c r="J31" s="1">
        <v>17777</v>
      </c>
      <c r="K31" s="1">
        <v>102</v>
      </c>
      <c r="L31" s="1">
        <v>1930149</v>
      </c>
      <c r="M31" s="1">
        <v>25.4</v>
      </c>
      <c r="N31" s="1">
        <v>1031</v>
      </c>
      <c r="O31" s="1">
        <v>931</v>
      </c>
      <c r="P31" s="1">
        <v>65</v>
      </c>
      <c r="Q31" s="1">
        <v>64416</v>
      </c>
      <c r="R31" s="1">
        <v>0.8</v>
      </c>
      <c r="S31" s="1">
        <v>1152</v>
      </c>
      <c r="T31" s="1">
        <v>403</v>
      </c>
      <c r="U31" s="1">
        <v>13</v>
      </c>
      <c r="V31" s="1">
        <v>5577</v>
      </c>
      <c r="W31" s="1">
        <v>0.1</v>
      </c>
      <c r="X31" s="1">
        <v>1270</v>
      </c>
      <c r="Y31" s="1">
        <v>1</v>
      </c>
      <c r="Z31" s="1">
        <v>1</v>
      </c>
      <c r="AA31" s="1">
        <v>1</v>
      </c>
      <c r="AB31" s="1">
        <v>0</v>
      </c>
      <c r="AC31" s="1">
        <v>1456</v>
      </c>
      <c r="AD31" s="1">
        <v>39</v>
      </c>
      <c r="AE31" s="1">
        <v>173</v>
      </c>
      <c r="AF31" s="1">
        <v>7182</v>
      </c>
      <c r="AG31" s="1">
        <v>0.1</v>
      </c>
      <c r="AH31" s="1">
        <v>1500</v>
      </c>
      <c r="AI31" s="1">
        <v>827</v>
      </c>
      <c r="AJ31" s="1">
        <v>51</v>
      </c>
      <c r="AK31" s="1">
        <v>44896</v>
      </c>
      <c r="AL31" s="1">
        <v>0.6</v>
      </c>
      <c r="AM31" s="1">
        <v>1592</v>
      </c>
      <c r="AN31" s="1">
        <v>859</v>
      </c>
      <c r="AO31" s="1">
        <v>7</v>
      </c>
      <c r="AP31" s="1">
        <v>6401</v>
      </c>
      <c r="AQ31" s="1">
        <v>0.1</v>
      </c>
      <c r="AR31" s="1">
        <v>1748</v>
      </c>
      <c r="AS31" s="1">
        <v>2627</v>
      </c>
      <c r="AT31" s="1">
        <v>199</v>
      </c>
      <c r="AU31" s="1">
        <v>556475</v>
      </c>
      <c r="AV31" s="1">
        <v>7.3</v>
      </c>
    </row>
    <row r="32" spans="1:48">
      <c r="A32" s="1" t="s">
        <v>748</v>
      </c>
      <c r="B32" s="1" t="s">
        <v>749</v>
      </c>
      <c r="C32" s="1">
        <v>0.98340899999999998</v>
      </c>
      <c r="D32" s="1">
        <v>1369</v>
      </c>
      <c r="E32" s="1">
        <v>5765</v>
      </c>
      <c r="F32" s="1">
        <v>348</v>
      </c>
      <c r="G32" s="1">
        <v>2135555</v>
      </c>
      <c r="H32" s="1">
        <v>74.8</v>
      </c>
      <c r="I32" s="1">
        <v>1588</v>
      </c>
      <c r="J32" s="1">
        <v>5421</v>
      </c>
      <c r="K32" s="1">
        <v>102</v>
      </c>
      <c r="L32" s="1">
        <v>588589</v>
      </c>
      <c r="M32" s="1">
        <v>20.6</v>
      </c>
      <c r="N32" s="1">
        <v>1039</v>
      </c>
      <c r="O32" s="1">
        <v>157</v>
      </c>
      <c r="P32" s="1">
        <v>59</v>
      </c>
      <c r="Q32" s="1">
        <v>9860</v>
      </c>
      <c r="R32" s="1">
        <v>0.3</v>
      </c>
      <c r="S32" s="1">
        <v>1154</v>
      </c>
      <c r="T32" s="1">
        <v>1</v>
      </c>
      <c r="U32" s="1">
        <v>1</v>
      </c>
      <c r="V32" s="1">
        <v>1</v>
      </c>
      <c r="W32" s="1">
        <v>0</v>
      </c>
      <c r="X32" s="1">
        <v>1270</v>
      </c>
      <c r="Y32" s="1">
        <v>1</v>
      </c>
      <c r="Z32" s="1">
        <v>1</v>
      </c>
      <c r="AA32" s="1">
        <v>1</v>
      </c>
      <c r="AB32" s="1">
        <v>0</v>
      </c>
      <c r="AC32" s="1">
        <v>1402</v>
      </c>
      <c r="AD32" s="1">
        <v>39</v>
      </c>
      <c r="AE32" s="1">
        <v>1</v>
      </c>
      <c r="AF32" s="1">
        <v>42</v>
      </c>
      <c r="AG32" s="1">
        <v>0</v>
      </c>
      <c r="AH32" s="1">
        <v>1500</v>
      </c>
      <c r="AI32" s="1">
        <v>279</v>
      </c>
      <c r="AJ32" s="1">
        <v>17</v>
      </c>
      <c r="AK32" s="1">
        <v>5049</v>
      </c>
      <c r="AL32" s="1">
        <v>0.2</v>
      </c>
      <c r="AM32" s="1">
        <v>1592</v>
      </c>
      <c r="AN32" s="1">
        <v>535</v>
      </c>
      <c r="AO32" s="1">
        <v>19</v>
      </c>
      <c r="AP32" s="1">
        <v>10820</v>
      </c>
      <c r="AQ32" s="1">
        <v>0.4</v>
      </c>
      <c r="AR32" s="1">
        <v>1748</v>
      </c>
      <c r="AS32" s="1">
        <v>499</v>
      </c>
      <c r="AT32" s="1">
        <v>199</v>
      </c>
      <c r="AU32" s="1">
        <v>105703</v>
      </c>
      <c r="AV32" s="1">
        <v>3.7</v>
      </c>
    </row>
    <row r="33" spans="1:48">
      <c r="A33" s="1" t="s">
        <v>750</v>
      </c>
      <c r="B33" s="1" t="s">
        <v>751</v>
      </c>
      <c r="C33" s="1">
        <v>0.98417100000000002</v>
      </c>
      <c r="D33" s="1">
        <v>1369</v>
      </c>
      <c r="E33" s="1">
        <v>9979</v>
      </c>
      <c r="F33" s="1">
        <v>344</v>
      </c>
      <c r="G33" s="1">
        <v>3654077</v>
      </c>
      <c r="H33" s="1">
        <v>74.2</v>
      </c>
      <c r="I33" s="1">
        <v>1588</v>
      </c>
      <c r="J33" s="1">
        <v>9277</v>
      </c>
      <c r="K33" s="1">
        <v>102</v>
      </c>
      <c r="L33" s="1">
        <v>1007256</v>
      </c>
      <c r="M33" s="1">
        <v>20.5</v>
      </c>
      <c r="N33" s="1">
        <v>1019</v>
      </c>
      <c r="O33" s="1">
        <v>389</v>
      </c>
      <c r="P33" s="1">
        <v>81</v>
      </c>
      <c r="Q33" s="1">
        <v>33540</v>
      </c>
      <c r="R33" s="1">
        <v>0.7</v>
      </c>
      <c r="S33" s="1">
        <v>1154</v>
      </c>
      <c r="T33" s="1">
        <v>1</v>
      </c>
      <c r="U33" s="1">
        <v>1</v>
      </c>
      <c r="V33" s="1">
        <v>1</v>
      </c>
      <c r="W33" s="1">
        <v>0</v>
      </c>
      <c r="X33" s="1">
        <v>1292</v>
      </c>
      <c r="Y33" s="1">
        <v>657</v>
      </c>
      <c r="Z33" s="1">
        <v>1</v>
      </c>
      <c r="AA33" s="1">
        <v>699</v>
      </c>
      <c r="AB33" s="1">
        <v>0</v>
      </c>
      <c r="AC33" s="1">
        <v>1400</v>
      </c>
      <c r="AD33" s="1">
        <v>1</v>
      </c>
      <c r="AE33" s="1">
        <v>127</v>
      </c>
      <c r="AF33" s="1">
        <v>135</v>
      </c>
      <c r="AG33" s="1">
        <v>0</v>
      </c>
      <c r="AH33" s="1">
        <v>1500</v>
      </c>
      <c r="AI33" s="1">
        <v>315</v>
      </c>
      <c r="AJ33" s="1">
        <v>23</v>
      </c>
      <c r="AK33" s="1">
        <v>7712</v>
      </c>
      <c r="AL33" s="1">
        <v>0.2</v>
      </c>
      <c r="AM33" s="1">
        <v>1598</v>
      </c>
      <c r="AN33" s="1">
        <v>929</v>
      </c>
      <c r="AO33" s="1">
        <v>25</v>
      </c>
      <c r="AP33" s="1">
        <v>24722</v>
      </c>
      <c r="AQ33" s="1">
        <v>0.5</v>
      </c>
      <c r="AR33" s="1">
        <v>1744</v>
      </c>
      <c r="AS33" s="1">
        <v>925</v>
      </c>
      <c r="AT33" s="1">
        <v>199</v>
      </c>
      <c r="AU33" s="1">
        <v>195942</v>
      </c>
      <c r="AV33" s="1">
        <v>4</v>
      </c>
    </row>
    <row r="34" spans="1:48">
      <c r="A34" s="1" t="s">
        <v>752</v>
      </c>
      <c r="B34" s="1" t="s">
        <v>753</v>
      </c>
      <c r="C34" s="1">
        <v>0.98808799999999997</v>
      </c>
      <c r="D34" s="1">
        <v>1369</v>
      </c>
      <c r="E34" s="1">
        <v>9311</v>
      </c>
      <c r="F34" s="1">
        <v>304</v>
      </c>
      <c r="G34" s="1">
        <v>3013021</v>
      </c>
      <c r="H34" s="1">
        <v>68.599999999999994</v>
      </c>
      <c r="I34" s="1">
        <v>1592</v>
      </c>
      <c r="J34" s="1">
        <v>10347</v>
      </c>
      <c r="K34" s="1">
        <v>100</v>
      </c>
      <c r="L34" s="1">
        <v>1101404</v>
      </c>
      <c r="M34" s="1">
        <v>25.1</v>
      </c>
      <c r="N34" s="1">
        <v>1051</v>
      </c>
      <c r="O34" s="1">
        <v>519</v>
      </c>
      <c r="P34" s="1">
        <v>105</v>
      </c>
      <c r="Q34" s="1">
        <v>58008</v>
      </c>
      <c r="R34" s="1">
        <v>1.3</v>
      </c>
      <c r="S34" s="1">
        <v>1150</v>
      </c>
      <c r="T34" s="1">
        <v>1</v>
      </c>
      <c r="U34" s="1">
        <v>3</v>
      </c>
      <c r="V34" s="1">
        <v>3</v>
      </c>
      <c r="W34" s="1">
        <v>0</v>
      </c>
      <c r="X34" s="1">
        <v>1270</v>
      </c>
      <c r="Y34" s="1">
        <v>1</v>
      </c>
      <c r="Z34" s="1">
        <v>1</v>
      </c>
      <c r="AA34" s="1">
        <v>1</v>
      </c>
      <c r="AB34" s="1">
        <v>0</v>
      </c>
      <c r="AC34" s="1">
        <v>1402</v>
      </c>
      <c r="AD34" s="1">
        <v>273</v>
      </c>
      <c r="AE34" s="1">
        <v>3</v>
      </c>
      <c r="AF34" s="1">
        <v>872</v>
      </c>
      <c r="AG34" s="1">
        <v>0</v>
      </c>
      <c r="AH34" s="1">
        <v>1500</v>
      </c>
      <c r="AI34" s="1">
        <v>259</v>
      </c>
      <c r="AJ34" s="1">
        <v>21</v>
      </c>
      <c r="AK34" s="1">
        <v>5790</v>
      </c>
      <c r="AL34" s="1">
        <v>0.1</v>
      </c>
      <c r="AM34" s="1">
        <v>1592</v>
      </c>
      <c r="AN34" s="1">
        <v>967</v>
      </c>
      <c r="AO34" s="1">
        <v>23</v>
      </c>
      <c r="AP34" s="1">
        <v>23675</v>
      </c>
      <c r="AQ34" s="1">
        <v>0.5</v>
      </c>
      <c r="AR34" s="1">
        <v>1740</v>
      </c>
      <c r="AS34" s="1">
        <v>1027</v>
      </c>
      <c r="AT34" s="1">
        <v>173</v>
      </c>
      <c r="AU34" s="1">
        <v>189125</v>
      </c>
      <c r="AV34" s="1">
        <v>4.3</v>
      </c>
    </row>
    <row r="35" spans="1:48">
      <c r="A35" s="1" t="s">
        <v>754</v>
      </c>
      <c r="B35" s="1" t="s">
        <v>755</v>
      </c>
      <c r="C35" s="1">
        <v>0.98884700000000003</v>
      </c>
      <c r="D35" s="1">
        <v>1369</v>
      </c>
      <c r="E35" s="1">
        <v>12535</v>
      </c>
      <c r="F35" s="1">
        <v>324</v>
      </c>
      <c r="G35" s="1">
        <v>4323163</v>
      </c>
      <c r="H35" s="1">
        <v>71.7</v>
      </c>
      <c r="I35" s="1">
        <v>1590</v>
      </c>
      <c r="J35" s="1">
        <v>12953</v>
      </c>
      <c r="K35" s="1">
        <v>100</v>
      </c>
      <c r="L35" s="1">
        <v>1378804</v>
      </c>
      <c r="M35" s="1">
        <v>22.9</v>
      </c>
      <c r="N35" s="1">
        <v>1035</v>
      </c>
      <c r="O35" s="1">
        <v>579</v>
      </c>
      <c r="P35" s="1">
        <v>81</v>
      </c>
      <c r="Q35" s="1">
        <v>49922</v>
      </c>
      <c r="R35" s="1">
        <v>0.8</v>
      </c>
      <c r="S35" s="1">
        <v>1154</v>
      </c>
      <c r="T35" s="1">
        <v>1</v>
      </c>
      <c r="U35" s="1">
        <v>1</v>
      </c>
      <c r="V35" s="1">
        <v>1</v>
      </c>
      <c r="W35" s="1">
        <v>0</v>
      </c>
      <c r="X35" s="1">
        <v>1270</v>
      </c>
      <c r="Y35" s="1">
        <v>1</v>
      </c>
      <c r="Z35" s="1">
        <v>1</v>
      </c>
      <c r="AA35" s="1">
        <v>1</v>
      </c>
      <c r="AB35" s="1">
        <v>0</v>
      </c>
      <c r="AC35" s="1">
        <v>1402</v>
      </c>
      <c r="AD35" s="1">
        <v>91</v>
      </c>
      <c r="AE35" s="1">
        <v>1</v>
      </c>
      <c r="AF35" s="1">
        <v>97</v>
      </c>
      <c r="AG35" s="1">
        <v>0</v>
      </c>
      <c r="AH35" s="1">
        <v>1500</v>
      </c>
      <c r="AI35" s="1">
        <v>423</v>
      </c>
      <c r="AJ35" s="1">
        <v>31</v>
      </c>
      <c r="AK35" s="1">
        <v>13958</v>
      </c>
      <c r="AL35" s="1">
        <v>0.2</v>
      </c>
      <c r="AM35" s="1">
        <v>1598</v>
      </c>
      <c r="AN35" s="1">
        <v>1209</v>
      </c>
      <c r="AO35" s="1">
        <v>29</v>
      </c>
      <c r="AP35" s="1">
        <v>37321</v>
      </c>
      <c r="AQ35" s="1">
        <v>0.6</v>
      </c>
      <c r="AR35" s="1">
        <v>1732</v>
      </c>
      <c r="AS35" s="1">
        <v>1357</v>
      </c>
      <c r="AT35" s="1">
        <v>157</v>
      </c>
      <c r="AU35" s="1">
        <v>226784</v>
      </c>
      <c r="AV35" s="1">
        <v>3.8</v>
      </c>
    </row>
    <row r="36" spans="1:48">
      <c r="A36" s="1" t="s">
        <v>756</v>
      </c>
      <c r="B36" s="1" t="s">
        <v>757</v>
      </c>
      <c r="C36" s="1">
        <v>0.90198500000000004</v>
      </c>
      <c r="D36" s="1">
        <v>1359</v>
      </c>
      <c r="E36" s="1">
        <v>3201</v>
      </c>
      <c r="F36" s="1">
        <v>246</v>
      </c>
      <c r="G36" s="1">
        <v>838210</v>
      </c>
      <c r="H36" s="1">
        <v>60</v>
      </c>
      <c r="I36" s="1">
        <v>1596</v>
      </c>
      <c r="J36" s="1">
        <v>3921</v>
      </c>
      <c r="K36" s="1">
        <v>100</v>
      </c>
      <c r="L36" s="1">
        <v>417378</v>
      </c>
      <c r="M36" s="1">
        <v>29.9</v>
      </c>
      <c r="N36" s="1">
        <v>1073</v>
      </c>
      <c r="O36" s="1">
        <v>177</v>
      </c>
      <c r="P36" s="1">
        <v>121</v>
      </c>
      <c r="Q36" s="1">
        <v>22798</v>
      </c>
      <c r="R36" s="1">
        <v>1.6</v>
      </c>
      <c r="S36" s="1">
        <v>1154</v>
      </c>
      <c r="T36" s="1">
        <v>167</v>
      </c>
      <c r="U36" s="1">
        <v>23</v>
      </c>
      <c r="V36" s="1">
        <v>4089</v>
      </c>
      <c r="W36" s="1">
        <v>0.3</v>
      </c>
      <c r="X36" s="1">
        <v>1260</v>
      </c>
      <c r="Y36" s="1">
        <v>1</v>
      </c>
      <c r="Z36" s="1">
        <v>1</v>
      </c>
      <c r="AA36" s="1">
        <v>1</v>
      </c>
      <c r="AB36" s="1">
        <v>0</v>
      </c>
      <c r="AC36" s="1">
        <v>1456</v>
      </c>
      <c r="AD36" s="1">
        <v>19</v>
      </c>
      <c r="AE36" s="1">
        <v>199</v>
      </c>
      <c r="AF36" s="1">
        <v>4025</v>
      </c>
      <c r="AG36" s="1">
        <v>0.3</v>
      </c>
      <c r="AH36" s="1">
        <v>1494</v>
      </c>
      <c r="AI36" s="1">
        <v>237</v>
      </c>
      <c r="AJ36" s="1">
        <v>47</v>
      </c>
      <c r="AK36" s="1">
        <v>11857</v>
      </c>
      <c r="AL36" s="1">
        <v>0.8</v>
      </c>
      <c r="AM36" s="1">
        <v>1598</v>
      </c>
      <c r="AN36" s="1">
        <v>497</v>
      </c>
      <c r="AO36" s="1">
        <v>29</v>
      </c>
      <c r="AP36" s="1">
        <v>15342</v>
      </c>
      <c r="AQ36" s="1">
        <v>1.1000000000000001</v>
      </c>
      <c r="AR36" s="1">
        <v>1744</v>
      </c>
      <c r="AS36" s="1">
        <v>417</v>
      </c>
      <c r="AT36" s="1">
        <v>189</v>
      </c>
      <c r="AU36" s="1">
        <v>83894</v>
      </c>
      <c r="AV36" s="1">
        <v>6</v>
      </c>
    </row>
    <row r="37" spans="1:48">
      <c r="A37" s="1" t="s">
        <v>758</v>
      </c>
      <c r="B37" s="1" t="s">
        <v>222</v>
      </c>
      <c r="C37" s="1">
        <v>0.987317</v>
      </c>
      <c r="D37" s="1">
        <v>1369</v>
      </c>
      <c r="E37" s="1">
        <v>10983</v>
      </c>
      <c r="F37" s="1">
        <v>316</v>
      </c>
      <c r="G37" s="1">
        <v>3694369</v>
      </c>
      <c r="H37" s="1">
        <v>71</v>
      </c>
      <c r="I37" s="1">
        <v>1592</v>
      </c>
      <c r="J37" s="1">
        <v>11639</v>
      </c>
      <c r="K37" s="1">
        <v>100</v>
      </c>
      <c r="L37" s="1">
        <v>1238933</v>
      </c>
      <c r="M37" s="1">
        <v>23.8</v>
      </c>
      <c r="N37" s="1">
        <v>1037</v>
      </c>
      <c r="O37" s="1">
        <v>553</v>
      </c>
      <c r="P37" s="1">
        <v>97</v>
      </c>
      <c r="Q37" s="1">
        <v>57099</v>
      </c>
      <c r="R37" s="1">
        <v>1.1000000000000001</v>
      </c>
      <c r="S37" s="1">
        <v>1154</v>
      </c>
      <c r="T37" s="1">
        <v>1</v>
      </c>
      <c r="U37" s="1">
        <v>1</v>
      </c>
      <c r="V37" s="1">
        <v>1</v>
      </c>
      <c r="W37" s="1">
        <v>0</v>
      </c>
      <c r="X37" s="1">
        <v>1270</v>
      </c>
      <c r="Y37" s="1">
        <v>1</v>
      </c>
      <c r="Z37" s="1">
        <v>1</v>
      </c>
      <c r="AA37" s="1">
        <v>1</v>
      </c>
      <c r="AB37" s="1">
        <v>0</v>
      </c>
      <c r="AC37" s="1">
        <v>1402</v>
      </c>
      <c r="AD37" s="1">
        <v>137</v>
      </c>
      <c r="AE37" s="1">
        <v>1</v>
      </c>
      <c r="AF37" s="1">
        <v>146</v>
      </c>
      <c r="AG37" s="1">
        <v>0</v>
      </c>
      <c r="AH37" s="1">
        <v>1506</v>
      </c>
      <c r="AI37" s="1">
        <v>121</v>
      </c>
      <c r="AJ37" s="1">
        <v>25</v>
      </c>
      <c r="AK37" s="1">
        <v>3220</v>
      </c>
      <c r="AL37" s="1">
        <v>0.1</v>
      </c>
      <c r="AM37" s="1">
        <v>1598</v>
      </c>
      <c r="AN37" s="1">
        <v>1511</v>
      </c>
      <c r="AO37" s="1">
        <v>29</v>
      </c>
      <c r="AP37" s="1">
        <v>46644</v>
      </c>
      <c r="AQ37" s="1">
        <v>0.9</v>
      </c>
      <c r="AR37" s="1">
        <v>1734</v>
      </c>
      <c r="AS37" s="1">
        <v>1069</v>
      </c>
      <c r="AT37" s="1">
        <v>145</v>
      </c>
      <c r="AU37" s="1">
        <v>164998</v>
      </c>
      <c r="AV37" s="1">
        <v>3.2</v>
      </c>
    </row>
    <row r="38" spans="1:48">
      <c r="A38" s="1" t="s">
        <v>759</v>
      </c>
      <c r="B38" s="1" t="s">
        <v>87</v>
      </c>
      <c r="C38" s="1">
        <v>0.98249399999999998</v>
      </c>
      <c r="D38" s="1">
        <v>1361</v>
      </c>
      <c r="E38" s="1">
        <v>7209</v>
      </c>
      <c r="F38" s="1">
        <v>252</v>
      </c>
      <c r="G38" s="1">
        <v>1933783</v>
      </c>
      <c r="H38" s="1">
        <v>60.8</v>
      </c>
      <c r="I38" s="1">
        <v>1594</v>
      </c>
      <c r="J38" s="1">
        <v>9711</v>
      </c>
      <c r="K38" s="1">
        <v>100</v>
      </c>
      <c r="L38" s="1">
        <v>1033704</v>
      </c>
      <c r="M38" s="1">
        <v>32.5</v>
      </c>
      <c r="N38" s="1">
        <v>1073</v>
      </c>
      <c r="O38" s="1">
        <v>139</v>
      </c>
      <c r="P38" s="1">
        <v>103</v>
      </c>
      <c r="Q38" s="1">
        <v>15240</v>
      </c>
      <c r="R38" s="1">
        <v>0.5</v>
      </c>
      <c r="S38" s="1">
        <v>1156</v>
      </c>
      <c r="T38" s="1">
        <v>217</v>
      </c>
      <c r="U38" s="1">
        <v>25</v>
      </c>
      <c r="V38" s="1">
        <v>5775</v>
      </c>
      <c r="W38" s="1">
        <v>0.2</v>
      </c>
      <c r="X38" s="1">
        <v>1260</v>
      </c>
      <c r="Y38" s="1">
        <v>1</v>
      </c>
      <c r="Z38" s="1">
        <v>1</v>
      </c>
      <c r="AA38" s="1">
        <v>1</v>
      </c>
      <c r="AB38" s="1">
        <v>0</v>
      </c>
      <c r="AC38" s="1">
        <v>1434</v>
      </c>
      <c r="AD38" s="1">
        <v>109</v>
      </c>
      <c r="AE38" s="1">
        <v>133</v>
      </c>
      <c r="AF38" s="1">
        <v>15432</v>
      </c>
      <c r="AG38" s="1">
        <v>0.5</v>
      </c>
      <c r="AH38" s="1">
        <v>1494</v>
      </c>
      <c r="AI38" s="1">
        <v>357</v>
      </c>
      <c r="AJ38" s="1">
        <v>33</v>
      </c>
      <c r="AK38" s="1">
        <v>12540</v>
      </c>
      <c r="AL38" s="1">
        <v>0.4</v>
      </c>
      <c r="AM38" s="1">
        <v>1590</v>
      </c>
      <c r="AN38" s="1">
        <v>823</v>
      </c>
      <c r="AO38" s="1">
        <v>1</v>
      </c>
      <c r="AP38" s="1">
        <v>876</v>
      </c>
      <c r="AQ38" s="1">
        <v>0</v>
      </c>
      <c r="AR38" s="1">
        <v>1726</v>
      </c>
      <c r="AS38" s="1">
        <v>927</v>
      </c>
      <c r="AT38" s="1">
        <v>163</v>
      </c>
      <c r="AU38" s="1">
        <v>160842</v>
      </c>
      <c r="AV38" s="1">
        <v>5.0999999999999996</v>
      </c>
    </row>
    <row r="39" spans="1:48">
      <c r="A39" s="1" t="s">
        <v>760</v>
      </c>
      <c r="B39" s="1" t="s">
        <v>761</v>
      </c>
      <c r="C39" s="1">
        <v>0.98782499999999995</v>
      </c>
      <c r="D39" s="1">
        <v>1361</v>
      </c>
      <c r="E39" s="1">
        <v>5751</v>
      </c>
      <c r="F39" s="1">
        <v>252</v>
      </c>
      <c r="G39" s="1">
        <v>1542681</v>
      </c>
      <c r="H39" s="1">
        <v>61.6</v>
      </c>
      <c r="I39" s="1">
        <v>1594</v>
      </c>
      <c r="J39" s="1">
        <v>7565</v>
      </c>
      <c r="K39" s="1">
        <v>100</v>
      </c>
      <c r="L39" s="1">
        <v>805269</v>
      </c>
      <c r="M39" s="1">
        <v>32.1</v>
      </c>
      <c r="N39" s="1">
        <v>1073</v>
      </c>
      <c r="O39" s="1">
        <v>225</v>
      </c>
      <c r="P39" s="1">
        <v>123</v>
      </c>
      <c r="Q39" s="1">
        <v>29459</v>
      </c>
      <c r="R39" s="1">
        <v>1.2</v>
      </c>
      <c r="S39" s="1">
        <v>1158</v>
      </c>
      <c r="T39" s="1">
        <v>199</v>
      </c>
      <c r="U39" s="1">
        <v>29</v>
      </c>
      <c r="V39" s="1">
        <v>6143</v>
      </c>
      <c r="W39" s="1">
        <v>0.2</v>
      </c>
      <c r="X39" s="1">
        <v>1260</v>
      </c>
      <c r="Y39" s="1">
        <v>1</v>
      </c>
      <c r="Z39" s="1">
        <v>1</v>
      </c>
      <c r="AA39" s="1">
        <v>1</v>
      </c>
      <c r="AB39" s="1">
        <v>0</v>
      </c>
      <c r="AC39" s="1">
        <v>1450</v>
      </c>
      <c r="AD39" s="1">
        <v>119</v>
      </c>
      <c r="AE39" s="1">
        <v>135</v>
      </c>
      <c r="AF39" s="1">
        <v>17101</v>
      </c>
      <c r="AG39" s="1">
        <v>0.7</v>
      </c>
      <c r="AH39" s="1">
        <v>1494</v>
      </c>
      <c r="AI39" s="1">
        <v>277</v>
      </c>
      <c r="AJ39" s="1">
        <v>27</v>
      </c>
      <c r="AK39" s="1">
        <v>7961</v>
      </c>
      <c r="AL39" s="1">
        <v>0.3</v>
      </c>
      <c r="AM39" s="1">
        <v>1594</v>
      </c>
      <c r="AN39" s="1">
        <v>523</v>
      </c>
      <c r="AO39" s="1">
        <v>21</v>
      </c>
      <c r="AP39" s="1">
        <v>11691</v>
      </c>
      <c r="AQ39" s="1">
        <v>0.5</v>
      </c>
      <c r="AR39" s="1">
        <v>1724</v>
      </c>
      <c r="AS39" s="1">
        <v>721</v>
      </c>
      <c r="AT39" s="1">
        <v>111</v>
      </c>
      <c r="AU39" s="1">
        <v>85190</v>
      </c>
      <c r="AV39" s="1">
        <v>3.4</v>
      </c>
    </row>
    <row r="40" spans="1:48">
      <c r="A40" s="1" t="s">
        <v>762</v>
      </c>
      <c r="B40" s="1" t="s">
        <v>763</v>
      </c>
      <c r="C40" s="1">
        <v>0.98752300000000004</v>
      </c>
      <c r="D40" s="1">
        <v>1369</v>
      </c>
      <c r="E40" s="1">
        <v>12079</v>
      </c>
      <c r="F40" s="1">
        <v>312</v>
      </c>
      <c r="G40" s="1">
        <v>4011602</v>
      </c>
      <c r="H40" s="1">
        <v>63</v>
      </c>
      <c r="I40" s="1">
        <v>1584</v>
      </c>
      <c r="J40" s="1">
        <v>13901</v>
      </c>
      <c r="K40" s="1">
        <v>148</v>
      </c>
      <c r="L40" s="1">
        <v>2189979</v>
      </c>
      <c r="M40" s="1">
        <v>34.4</v>
      </c>
      <c r="N40" s="1">
        <v>1013</v>
      </c>
      <c r="O40" s="1">
        <v>235</v>
      </c>
      <c r="P40" s="1">
        <v>71</v>
      </c>
      <c r="Q40" s="1">
        <v>17761</v>
      </c>
      <c r="R40" s="1">
        <v>0.3</v>
      </c>
      <c r="S40" s="1">
        <v>1166</v>
      </c>
      <c r="T40" s="1">
        <v>49</v>
      </c>
      <c r="U40" s="1">
        <v>1</v>
      </c>
      <c r="V40" s="1">
        <v>52</v>
      </c>
      <c r="W40" s="1">
        <v>0</v>
      </c>
      <c r="X40" s="1">
        <v>1260</v>
      </c>
      <c r="Y40" s="1">
        <v>1</v>
      </c>
      <c r="Z40" s="1">
        <v>1</v>
      </c>
      <c r="AA40" s="1">
        <v>1</v>
      </c>
      <c r="AB40" s="1">
        <v>0</v>
      </c>
      <c r="AC40" s="1">
        <v>1434</v>
      </c>
      <c r="AD40" s="1">
        <v>421</v>
      </c>
      <c r="AE40" s="1">
        <v>93</v>
      </c>
      <c r="AF40" s="1">
        <v>41677</v>
      </c>
      <c r="AG40" s="1">
        <v>0.7</v>
      </c>
      <c r="AH40" s="1">
        <v>1480</v>
      </c>
      <c r="AI40" s="1">
        <v>435</v>
      </c>
      <c r="AJ40" s="1">
        <v>47</v>
      </c>
      <c r="AK40" s="1">
        <v>21763</v>
      </c>
      <c r="AL40" s="1">
        <v>0.3</v>
      </c>
      <c r="AM40" s="1">
        <v>1592</v>
      </c>
      <c r="AN40" s="1">
        <v>143</v>
      </c>
      <c r="AO40" s="1">
        <v>15</v>
      </c>
      <c r="AP40" s="1">
        <v>2283</v>
      </c>
      <c r="AQ40" s="1">
        <v>0</v>
      </c>
      <c r="AR40" s="1">
        <v>1748</v>
      </c>
      <c r="AS40" s="1">
        <v>1187</v>
      </c>
      <c r="AT40" s="1">
        <v>65</v>
      </c>
      <c r="AU40" s="1">
        <v>82129</v>
      </c>
      <c r="AV40" s="1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8E92-9B2C-45F5-A6C9-881BECB4C019}">
  <dimension ref="A1:AV46"/>
  <sheetViews>
    <sheetView topLeftCell="A31" workbookViewId="0">
      <selection activeCell="J56" sqref="J56"/>
    </sheetView>
  </sheetViews>
  <sheetFormatPr defaultColWidth="11.5703125" defaultRowHeight="15.95"/>
  <cols>
    <col min="1" max="16384" width="11.5703125" style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1" t="s">
        <v>764</v>
      </c>
      <c r="B2" s="1" t="s">
        <v>765</v>
      </c>
      <c r="C2" s="1">
        <v>0.99087800000000004</v>
      </c>
      <c r="D2" s="1">
        <v>1369</v>
      </c>
      <c r="E2" s="1">
        <v>3851</v>
      </c>
      <c r="F2" s="1">
        <v>298</v>
      </c>
      <c r="G2" s="1">
        <v>1221580</v>
      </c>
      <c r="H2" s="1">
        <v>68.099999999999994</v>
      </c>
      <c r="I2" s="1">
        <v>1592</v>
      </c>
      <c r="J2" s="1">
        <v>4533</v>
      </c>
      <c r="K2" s="1">
        <v>102</v>
      </c>
      <c r="L2" s="1">
        <v>492173</v>
      </c>
      <c r="M2" s="1">
        <v>27.4</v>
      </c>
      <c r="N2" s="1">
        <v>1063</v>
      </c>
      <c r="O2" s="1">
        <v>117</v>
      </c>
      <c r="P2" s="1">
        <v>81</v>
      </c>
      <c r="Q2" s="1">
        <v>10088</v>
      </c>
      <c r="R2" s="1">
        <v>0.6</v>
      </c>
      <c r="S2" s="1">
        <v>1170</v>
      </c>
      <c r="T2" s="1">
        <v>3</v>
      </c>
      <c r="U2" s="1">
        <v>3</v>
      </c>
      <c r="V2" s="1">
        <v>10</v>
      </c>
      <c r="W2" s="1">
        <v>0</v>
      </c>
      <c r="X2" s="1">
        <v>1260</v>
      </c>
      <c r="Y2" s="1">
        <v>1</v>
      </c>
      <c r="Z2" s="1">
        <v>1</v>
      </c>
      <c r="AA2" s="1">
        <v>1</v>
      </c>
      <c r="AB2" s="1">
        <v>0</v>
      </c>
      <c r="AC2" s="1">
        <v>1450</v>
      </c>
      <c r="AD2" s="1">
        <v>13</v>
      </c>
      <c r="AE2" s="1">
        <v>5</v>
      </c>
      <c r="AF2" s="1">
        <v>69</v>
      </c>
      <c r="AG2" s="1">
        <v>0</v>
      </c>
      <c r="AH2" s="1">
        <v>1494</v>
      </c>
      <c r="AI2" s="1">
        <v>155</v>
      </c>
      <c r="AJ2" s="1">
        <v>27</v>
      </c>
      <c r="AK2" s="1">
        <v>4455</v>
      </c>
      <c r="AL2" s="1">
        <v>0.2</v>
      </c>
      <c r="AM2" s="1">
        <v>1598</v>
      </c>
      <c r="AN2" s="1">
        <v>247</v>
      </c>
      <c r="AO2" s="1">
        <v>27</v>
      </c>
      <c r="AP2" s="1">
        <v>7099</v>
      </c>
      <c r="AQ2" s="1">
        <v>0.4</v>
      </c>
      <c r="AR2" s="1">
        <v>1730</v>
      </c>
      <c r="AS2" s="1">
        <v>447</v>
      </c>
      <c r="AT2" s="1">
        <v>125</v>
      </c>
      <c r="AU2" s="1">
        <v>59477</v>
      </c>
      <c r="AV2" s="1">
        <v>3.3</v>
      </c>
    </row>
    <row r="3" spans="1:48">
      <c r="A3" s="1" t="s">
        <v>766</v>
      </c>
      <c r="B3" s="1" t="s">
        <v>767</v>
      </c>
      <c r="C3" s="1">
        <v>0.99065300000000001</v>
      </c>
      <c r="D3" s="1">
        <v>1369</v>
      </c>
      <c r="E3" s="1">
        <v>9593</v>
      </c>
      <c r="F3" s="1">
        <v>320</v>
      </c>
      <c r="G3" s="1">
        <v>3267658</v>
      </c>
      <c r="H3" s="1">
        <v>71.400000000000006</v>
      </c>
      <c r="I3" s="1">
        <v>1592</v>
      </c>
      <c r="J3" s="1">
        <v>10303</v>
      </c>
      <c r="K3" s="1">
        <v>100</v>
      </c>
      <c r="L3" s="1">
        <v>1096720</v>
      </c>
      <c r="M3" s="1">
        <v>24</v>
      </c>
      <c r="N3" s="1">
        <v>1045</v>
      </c>
      <c r="O3" s="1">
        <v>343</v>
      </c>
      <c r="P3" s="1">
        <v>85</v>
      </c>
      <c r="Q3" s="1">
        <v>31035</v>
      </c>
      <c r="R3" s="1">
        <v>0.7</v>
      </c>
      <c r="S3" s="1">
        <v>1158</v>
      </c>
      <c r="T3" s="1">
        <v>1</v>
      </c>
      <c r="U3" s="1">
        <v>1</v>
      </c>
      <c r="V3" s="1">
        <v>1</v>
      </c>
      <c r="W3" s="1">
        <v>0</v>
      </c>
      <c r="X3" s="1">
        <v>1260</v>
      </c>
      <c r="Y3" s="1">
        <v>1</v>
      </c>
      <c r="Z3" s="1">
        <v>1</v>
      </c>
      <c r="AA3" s="1">
        <v>1</v>
      </c>
      <c r="AB3" s="1">
        <v>0</v>
      </c>
      <c r="AC3" s="1">
        <v>1400</v>
      </c>
      <c r="AD3" s="1">
        <v>1</v>
      </c>
      <c r="AE3" s="1">
        <v>1</v>
      </c>
      <c r="AF3" s="1">
        <v>1</v>
      </c>
      <c r="AG3" s="1">
        <v>0</v>
      </c>
      <c r="AH3" s="1">
        <v>1494</v>
      </c>
      <c r="AI3" s="1">
        <v>383</v>
      </c>
      <c r="AJ3" s="1">
        <v>13</v>
      </c>
      <c r="AK3" s="1">
        <v>5300</v>
      </c>
      <c r="AL3" s="1">
        <v>0.1</v>
      </c>
      <c r="AM3" s="1">
        <v>1594</v>
      </c>
      <c r="AN3" s="1">
        <v>1075</v>
      </c>
      <c r="AO3" s="1">
        <v>29</v>
      </c>
      <c r="AP3" s="1">
        <v>33185</v>
      </c>
      <c r="AQ3" s="1">
        <v>0.7</v>
      </c>
      <c r="AR3" s="1">
        <v>1744</v>
      </c>
      <c r="AS3" s="1">
        <v>749</v>
      </c>
      <c r="AT3" s="1">
        <v>177</v>
      </c>
      <c r="AU3" s="1">
        <v>141120</v>
      </c>
      <c r="AV3" s="1">
        <v>3.1</v>
      </c>
    </row>
    <row r="4" spans="1:48">
      <c r="A4" s="1" t="s">
        <v>768</v>
      </c>
      <c r="B4" s="1" t="s">
        <v>769</v>
      </c>
      <c r="C4" s="1">
        <v>0.98836500000000005</v>
      </c>
      <c r="D4" s="1">
        <v>1369</v>
      </c>
      <c r="E4" s="1">
        <v>2815</v>
      </c>
      <c r="F4" s="1">
        <v>298</v>
      </c>
      <c r="G4" s="1">
        <v>892949</v>
      </c>
      <c r="H4" s="1">
        <v>67.3</v>
      </c>
      <c r="I4" s="1">
        <v>1592</v>
      </c>
      <c r="J4" s="1">
        <v>3349</v>
      </c>
      <c r="K4" s="1">
        <v>104</v>
      </c>
      <c r="L4" s="1">
        <v>370750</v>
      </c>
      <c r="M4" s="1">
        <v>27.9</v>
      </c>
      <c r="N4" s="1">
        <v>1047</v>
      </c>
      <c r="O4" s="1">
        <v>113</v>
      </c>
      <c r="P4" s="1">
        <v>81</v>
      </c>
      <c r="Q4" s="1">
        <v>9743</v>
      </c>
      <c r="R4" s="1">
        <v>0.7</v>
      </c>
      <c r="S4" s="1">
        <v>1152</v>
      </c>
      <c r="T4" s="1">
        <v>13</v>
      </c>
      <c r="U4" s="1">
        <v>11</v>
      </c>
      <c r="V4" s="1">
        <v>152</v>
      </c>
      <c r="W4" s="1">
        <v>0</v>
      </c>
      <c r="X4" s="1">
        <v>1260</v>
      </c>
      <c r="Y4" s="1">
        <v>1</v>
      </c>
      <c r="Z4" s="1">
        <v>1</v>
      </c>
      <c r="AA4" s="1">
        <v>1</v>
      </c>
      <c r="AB4" s="1">
        <v>0</v>
      </c>
      <c r="AC4" s="1">
        <v>1456</v>
      </c>
      <c r="AD4" s="1">
        <v>47</v>
      </c>
      <c r="AE4" s="1">
        <v>103</v>
      </c>
      <c r="AF4" s="1">
        <v>5153</v>
      </c>
      <c r="AG4" s="1">
        <v>0.4</v>
      </c>
      <c r="AH4" s="1">
        <v>1510</v>
      </c>
      <c r="AI4" s="1">
        <v>289</v>
      </c>
      <c r="AJ4" s="1">
        <v>37</v>
      </c>
      <c r="AK4" s="1">
        <v>11382</v>
      </c>
      <c r="AL4" s="1">
        <v>0.9</v>
      </c>
      <c r="AM4" s="1">
        <v>1598</v>
      </c>
      <c r="AN4" s="1">
        <v>1</v>
      </c>
      <c r="AO4" s="1">
        <v>21</v>
      </c>
      <c r="AP4" s="1">
        <v>22</v>
      </c>
      <c r="AQ4" s="1">
        <v>0</v>
      </c>
      <c r="AR4" s="1">
        <v>1732</v>
      </c>
      <c r="AS4" s="1">
        <v>297</v>
      </c>
      <c r="AT4" s="1">
        <v>117</v>
      </c>
      <c r="AU4" s="1">
        <v>36989</v>
      </c>
      <c r="AV4" s="1">
        <v>2.8</v>
      </c>
    </row>
    <row r="5" spans="1:48">
      <c r="A5" s="1" t="s">
        <v>770</v>
      </c>
      <c r="B5" s="1" t="s">
        <v>771</v>
      </c>
      <c r="C5" s="1">
        <v>0.98890500000000003</v>
      </c>
      <c r="D5" s="1">
        <v>1369</v>
      </c>
      <c r="E5" s="1">
        <v>10029</v>
      </c>
      <c r="F5" s="1">
        <v>332</v>
      </c>
      <c r="G5" s="1">
        <v>3544279</v>
      </c>
      <c r="H5" s="1">
        <v>72.2</v>
      </c>
      <c r="I5" s="1">
        <v>1590</v>
      </c>
      <c r="J5" s="1">
        <v>10315</v>
      </c>
      <c r="K5" s="1">
        <v>106</v>
      </c>
      <c r="L5" s="1">
        <v>1163878</v>
      </c>
      <c r="M5" s="1">
        <v>23.7</v>
      </c>
      <c r="N5" s="1">
        <v>1037</v>
      </c>
      <c r="O5" s="1">
        <v>347</v>
      </c>
      <c r="P5" s="1">
        <v>55</v>
      </c>
      <c r="Q5" s="1">
        <v>20315</v>
      </c>
      <c r="R5" s="1">
        <v>0.4</v>
      </c>
      <c r="S5" s="1">
        <v>1158</v>
      </c>
      <c r="T5" s="1">
        <v>1</v>
      </c>
      <c r="U5" s="1">
        <v>1</v>
      </c>
      <c r="V5" s="1">
        <v>1</v>
      </c>
      <c r="W5" s="1">
        <v>0</v>
      </c>
      <c r="X5" s="1">
        <v>1260</v>
      </c>
      <c r="Y5" s="1">
        <v>1</v>
      </c>
      <c r="Z5" s="1">
        <v>1</v>
      </c>
      <c r="AA5" s="1">
        <v>1</v>
      </c>
      <c r="AB5" s="1">
        <v>0</v>
      </c>
      <c r="AC5" s="1">
        <v>1456</v>
      </c>
      <c r="AD5" s="1">
        <v>31</v>
      </c>
      <c r="AE5" s="1">
        <v>133</v>
      </c>
      <c r="AF5" s="1">
        <v>4389</v>
      </c>
      <c r="AG5" s="1">
        <v>0.1</v>
      </c>
      <c r="AH5" s="1">
        <v>1506</v>
      </c>
      <c r="AI5" s="1">
        <v>779</v>
      </c>
      <c r="AJ5" s="1">
        <v>43</v>
      </c>
      <c r="AK5" s="1">
        <v>35656</v>
      </c>
      <c r="AL5" s="1">
        <v>0.7</v>
      </c>
      <c r="AM5" s="1">
        <v>1598</v>
      </c>
      <c r="AN5" s="1">
        <v>321</v>
      </c>
      <c r="AO5" s="1">
        <v>1</v>
      </c>
      <c r="AP5" s="1">
        <v>342</v>
      </c>
      <c r="AQ5" s="1">
        <v>0</v>
      </c>
      <c r="AR5" s="1">
        <v>1730</v>
      </c>
      <c r="AS5" s="1">
        <v>1057</v>
      </c>
      <c r="AT5" s="1">
        <v>125</v>
      </c>
      <c r="AU5" s="1">
        <v>140643</v>
      </c>
      <c r="AV5" s="1">
        <v>2.9</v>
      </c>
    </row>
    <row r="6" spans="1:48">
      <c r="A6" s="1" t="s">
        <v>772</v>
      </c>
      <c r="B6" s="1" t="s">
        <v>773</v>
      </c>
      <c r="C6" s="1">
        <v>0.98520799999999997</v>
      </c>
      <c r="D6" s="1">
        <v>1369</v>
      </c>
      <c r="E6" s="1">
        <v>9613</v>
      </c>
      <c r="F6" s="1">
        <v>346</v>
      </c>
      <c r="G6" s="1">
        <v>3540522</v>
      </c>
      <c r="H6" s="1">
        <v>69.8</v>
      </c>
      <c r="I6" s="1">
        <v>1590</v>
      </c>
      <c r="J6" s="1">
        <v>11435</v>
      </c>
      <c r="K6" s="1">
        <v>102</v>
      </c>
      <c r="L6" s="1">
        <v>1241562</v>
      </c>
      <c r="M6" s="1">
        <v>24.5</v>
      </c>
      <c r="N6" s="1">
        <v>1035</v>
      </c>
      <c r="O6" s="1">
        <v>365</v>
      </c>
      <c r="P6" s="1">
        <v>51</v>
      </c>
      <c r="Q6" s="1">
        <v>19815</v>
      </c>
      <c r="R6" s="1">
        <v>0.4</v>
      </c>
      <c r="S6" s="1">
        <v>1158</v>
      </c>
      <c r="T6" s="1">
        <v>1</v>
      </c>
      <c r="U6" s="1">
        <v>1</v>
      </c>
      <c r="V6" s="1">
        <v>1</v>
      </c>
      <c r="W6" s="1">
        <v>0</v>
      </c>
      <c r="X6" s="1">
        <v>1260</v>
      </c>
      <c r="Y6" s="1">
        <v>1</v>
      </c>
      <c r="Z6" s="1">
        <v>1</v>
      </c>
      <c r="AA6" s="1">
        <v>1</v>
      </c>
      <c r="AB6" s="1">
        <v>0</v>
      </c>
      <c r="AC6" s="1">
        <v>1408</v>
      </c>
      <c r="AD6" s="1">
        <v>93</v>
      </c>
      <c r="AE6" s="1">
        <v>109</v>
      </c>
      <c r="AF6" s="1">
        <v>10791</v>
      </c>
      <c r="AG6" s="1">
        <v>0.2</v>
      </c>
      <c r="AH6" s="1">
        <v>1494</v>
      </c>
      <c r="AI6" s="1">
        <v>351</v>
      </c>
      <c r="AJ6" s="1">
        <v>39</v>
      </c>
      <c r="AK6" s="1">
        <v>14571</v>
      </c>
      <c r="AL6" s="1">
        <v>0.3</v>
      </c>
      <c r="AM6" s="1">
        <v>1594</v>
      </c>
      <c r="AN6" s="1">
        <v>129</v>
      </c>
      <c r="AO6" s="1">
        <v>21</v>
      </c>
      <c r="AP6" s="1">
        <v>2884</v>
      </c>
      <c r="AQ6" s="1">
        <v>0.1</v>
      </c>
      <c r="AR6" s="1">
        <v>1742</v>
      </c>
      <c r="AS6" s="1">
        <v>1177</v>
      </c>
      <c r="AT6" s="1">
        <v>191</v>
      </c>
      <c r="AU6" s="1">
        <v>239300</v>
      </c>
      <c r="AV6" s="1">
        <v>4.7</v>
      </c>
    </row>
    <row r="7" spans="1:48">
      <c r="A7" s="1" t="s">
        <v>774</v>
      </c>
      <c r="B7" s="1" t="s">
        <v>775</v>
      </c>
      <c r="C7" s="1">
        <v>0.98672700000000002</v>
      </c>
      <c r="D7" s="1">
        <v>1369</v>
      </c>
      <c r="E7" s="1">
        <v>10725</v>
      </c>
      <c r="F7" s="1">
        <v>348</v>
      </c>
      <c r="G7" s="1">
        <v>3972910</v>
      </c>
      <c r="H7" s="1">
        <v>70.7</v>
      </c>
      <c r="I7" s="1">
        <v>1590</v>
      </c>
      <c r="J7" s="1">
        <v>12871</v>
      </c>
      <c r="K7" s="1">
        <v>104</v>
      </c>
      <c r="L7" s="1">
        <v>1424879</v>
      </c>
      <c r="M7" s="1">
        <v>25.3</v>
      </c>
      <c r="N7" s="1">
        <v>1029</v>
      </c>
      <c r="O7" s="1">
        <v>397</v>
      </c>
      <c r="P7" s="1">
        <v>51</v>
      </c>
      <c r="Q7" s="1">
        <v>21552</v>
      </c>
      <c r="R7" s="1">
        <v>0.4</v>
      </c>
      <c r="S7" s="1">
        <v>1158</v>
      </c>
      <c r="T7" s="1">
        <v>1</v>
      </c>
      <c r="U7" s="1">
        <v>1</v>
      </c>
      <c r="V7" s="1">
        <v>1</v>
      </c>
      <c r="W7" s="1">
        <v>0</v>
      </c>
      <c r="X7" s="1">
        <v>1260</v>
      </c>
      <c r="Y7" s="1">
        <v>1</v>
      </c>
      <c r="Z7" s="1">
        <v>1</v>
      </c>
      <c r="AA7" s="1">
        <v>1</v>
      </c>
      <c r="AB7" s="1">
        <v>0</v>
      </c>
      <c r="AC7" s="1">
        <v>1456</v>
      </c>
      <c r="AD7" s="1">
        <v>123</v>
      </c>
      <c r="AE7" s="1">
        <v>123</v>
      </c>
      <c r="AF7" s="1">
        <v>16104</v>
      </c>
      <c r="AG7" s="1">
        <v>0.3</v>
      </c>
      <c r="AH7" s="1">
        <v>1500</v>
      </c>
      <c r="AI7" s="1">
        <v>481</v>
      </c>
      <c r="AJ7" s="1">
        <v>43</v>
      </c>
      <c r="AK7" s="1">
        <v>22016</v>
      </c>
      <c r="AL7" s="1">
        <v>0.4</v>
      </c>
      <c r="AM7" s="1">
        <v>1598</v>
      </c>
      <c r="AN7" s="1">
        <v>139</v>
      </c>
      <c r="AO7" s="1">
        <v>21</v>
      </c>
      <c r="AP7" s="1">
        <v>3107</v>
      </c>
      <c r="AQ7" s="1">
        <v>0.1</v>
      </c>
      <c r="AR7" s="1">
        <v>1738</v>
      </c>
      <c r="AS7" s="1">
        <v>1163</v>
      </c>
      <c r="AT7" s="1">
        <v>131</v>
      </c>
      <c r="AU7" s="1">
        <v>162175</v>
      </c>
      <c r="AV7" s="1">
        <v>2.9</v>
      </c>
    </row>
    <row r="8" spans="1:48">
      <c r="A8" s="1" t="s">
        <v>776</v>
      </c>
      <c r="B8" s="1" t="s">
        <v>777</v>
      </c>
      <c r="C8" s="1">
        <v>0.98884899999999998</v>
      </c>
      <c r="D8" s="1">
        <v>1369</v>
      </c>
      <c r="E8" s="1">
        <v>12993</v>
      </c>
      <c r="F8" s="1">
        <v>332</v>
      </c>
      <c r="G8" s="1">
        <v>4591766</v>
      </c>
      <c r="H8" s="1">
        <v>69.400000000000006</v>
      </c>
      <c r="I8" s="1">
        <v>1590</v>
      </c>
      <c r="J8" s="1">
        <v>15287</v>
      </c>
      <c r="K8" s="1">
        <v>104</v>
      </c>
      <c r="L8" s="1">
        <v>1692341</v>
      </c>
      <c r="M8" s="1">
        <v>25.6</v>
      </c>
      <c r="N8" s="1">
        <v>1013</v>
      </c>
      <c r="O8" s="1">
        <v>301</v>
      </c>
      <c r="P8" s="1">
        <v>45</v>
      </c>
      <c r="Q8" s="1">
        <v>14418</v>
      </c>
      <c r="R8" s="1">
        <v>0.2</v>
      </c>
      <c r="S8" s="1">
        <v>1158</v>
      </c>
      <c r="T8" s="1">
        <v>1</v>
      </c>
      <c r="U8" s="1">
        <v>1</v>
      </c>
      <c r="V8" s="1">
        <v>1</v>
      </c>
      <c r="W8" s="1">
        <v>0</v>
      </c>
      <c r="X8" s="1">
        <v>1260</v>
      </c>
      <c r="Y8" s="1">
        <v>1</v>
      </c>
      <c r="Z8" s="1">
        <v>1</v>
      </c>
      <c r="AA8" s="1">
        <v>1</v>
      </c>
      <c r="AB8" s="1">
        <v>0</v>
      </c>
      <c r="AC8" s="1">
        <v>1456</v>
      </c>
      <c r="AD8" s="1">
        <v>483</v>
      </c>
      <c r="AE8" s="1">
        <v>91</v>
      </c>
      <c r="AF8" s="1">
        <v>46787</v>
      </c>
      <c r="AG8" s="1">
        <v>0.7</v>
      </c>
      <c r="AH8" s="1">
        <v>1512</v>
      </c>
      <c r="AI8" s="1">
        <v>945</v>
      </c>
      <c r="AJ8" s="1">
        <v>43</v>
      </c>
      <c r="AK8" s="1">
        <v>43255</v>
      </c>
      <c r="AL8" s="1">
        <v>0.7</v>
      </c>
      <c r="AM8" s="1">
        <v>1588</v>
      </c>
      <c r="AN8" s="1">
        <v>23</v>
      </c>
      <c r="AO8" s="1">
        <v>7</v>
      </c>
      <c r="AP8" s="1">
        <v>171</v>
      </c>
      <c r="AQ8" s="1">
        <v>0</v>
      </c>
      <c r="AR8" s="1">
        <v>1748</v>
      </c>
      <c r="AS8" s="1">
        <v>1309</v>
      </c>
      <c r="AT8" s="1">
        <v>163</v>
      </c>
      <c r="AU8" s="1">
        <v>227122</v>
      </c>
      <c r="AV8" s="1">
        <v>3.4</v>
      </c>
    </row>
    <row r="9" spans="1:48">
      <c r="A9" s="1" t="s">
        <v>778</v>
      </c>
      <c r="B9" s="1" t="s">
        <v>779</v>
      </c>
      <c r="C9" s="1">
        <v>0.99202299999999999</v>
      </c>
      <c r="D9" s="1">
        <v>1367</v>
      </c>
      <c r="E9" s="1">
        <v>14743</v>
      </c>
      <c r="F9" s="1">
        <v>316</v>
      </c>
      <c r="G9" s="1">
        <v>4959126</v>
      </c>
      <c r="H9" s="1">
        <v>68.7</v>
      </c>
      <c r="I9" s="1">
        <v>1588</v>
      </c>
      <c r="J9" s="1">
        <v>17307</v>
      </c>
      <c r="K9" s="1">
        <v>102</v>
      </c>
      <c r="L9" s="1">
        <v>1879119</v>
      </c>
      <c r="M9" s="1">
        <v>26</v>
      </c>
      <c r="N9" s="1">
        <v>1029</v>
      </c>
      <c r="O9" s="1">
        <v>541</v>
      </c>
      <c r="P9" s="1">
        <v>55</v>
      </c>
      <c r="Q9" s="1">
        <v>31673</v>
      </c>
      <c r="R9" s="1">
        <v>0.4</v>
      </c>
      <c r="S9" s="1">
        <v>1158</v>
      </c>
      <c r="T9" s="1">
        <v>1</v>
      </c>
      <c r="U9" s="1">
        <v>1</v>
      </c>
      <c r="V9" s="1">
        <v>1</v>
      </c>
      <c r="W9" s="1">
        <v>0</v>
      </c>
      <c r="X9" s="1">
        <v>1260</v>
      </c>
      <c r="Y9" s="1">
        <v>1</v>
      </c>
      <c r="Z9" s="1">
        <v>1</v>
      </c>
      <c r="AA9" s="1">
        <v>1</v>
      </c>
      <c r="AB9" s="1">
        <v>0</v>
      </c>
      <c r="AC9" s="1">
        <v>1450</v>
      </c>
      <c r="AD9" s="1">
        <v>33</v>
      </c>
      <c r="AE9" s="1">
        <v>1</v>
      </c>
      <c r="AF9" s="1">
        <v>35</v>
      </c>
      <c r="AG9" s="1">
        <v>0</v>
      </c>
      <c r="AH9" s="1">
        <v>1498</v>
      </c>
      <c r="AI9" s="1">
        <v>575</v>
      </c>
      <c r="AJ9" s="1">
        <v>37</v>
      </c>
      <c r="AK9" s="1">
        <v>22647</v>
      </c>
      <c r="AL9" s="1">
        <v>0.3</v>
      </c>
      <c r="AM9" s="1">
        <v>1598</v>
      </c>
      <c r="AN9" s="1">
        <v>1223</v>
      </c>
      <c r="AO9" s="1">
        <v>27</v>
      </c>
      <c r="AP9" s="1">
        <v>35150</v>
      </c>
      <c r="AQ9" s="1">
        <v>0.5</v>
      </c>
      <c r="AR9" s="1">
        <v>1746</v>
      </c>
      <c r="AS9" s="1">
        <v>1515</v>
      </c>
      <c r="AT9" s="1">
        <v>179</v>
      </c>
      <c r="AU9" s="1">
        <v>288667</v>
      </c>
      <c r="AV9" s="1">
        <v>4</v>
      </c>
    </row>
    <row r="10" spans="1:48">
      <c r="A10" s="1" t="s">
        <v>780</v>
      </c>
      <c r="B10" s="1" t="s">
        <v>781</v>
      </c>
      <c r="C10" s="1">
        <v>0.97359799999999996</v>
      </c>
      <c r="D10" s="1">
        <v>1369</v>
      </c>
      <c r="E10" s="1">
        <v>3059</v>
      </c>
      <c r="F10" s="1">
        <v>320</v>
      </c>
      <c r="G10" s="1">
        <v>1041985</v>
      </c>
      <c r="H10" s="1">
        <v>67.400000000000006</v>
      </c>
      <c r="I10" s="1">
        <v>1598</v>
      </c>
      <c r="J10" s="1">
        <v>3241</v>
      </c>
      <c r="K10" s="1">
        <v>100</v>
      </c>
      <c r="L10" s="1">
        <v>344994</v>
      </c>
      <c r="M10" s="1">
        <v>22.3</v>
      </c>
      <c r="N10" s="1">
        <v>1047</v>
      </c>
      <c r="O10" s="1">
        <v>307</v>
      </c>
      <c r="P10" s="1">
        <v>107</v>
      </c>
      <c r="Q10" s="1">
        <v>34967</v>
      </c>
      <c r="R10" s="1">
        <v>2.2999999999999998</v>
      </c>
      <c r="S10" s="1">
        <v>1160</v>
      </c>
      <c r="T10" s="1">
        <v>73</v>
      </c>
      <c r="U10" s="1">
        <v>3</v>
      </c>
      <c r="V10" s="1">
        <v>233</v>
      </c>
      <c r="W10" s="1">
        <v>0</v>
      </c>
      <c r="X10" s="1">
        <v>1260</v>
      </c>
      <c r="Y10" s="1">
        <v>1</v>
      </c>
      <c r="Z10" s="1">
        <v>1</v>
      </c>
      <c r="AA10" s="1">
        <v>1</v>
      </c>
      <c r="AB10" s="1">
        <v>0</v>
      </c>
      <c r="AC10" s="1">
        <v>1456</v>
      </c>
      <c r="AD10" s="1">
        <v>7</v>
      </c>
      <c r="AE10" s="1">
        <v>199</v>
      </c>
      <c r="AF10" s="1">
        <v>1483</v>
      </c>
      <c r="AG10" s="1">
        <v>0.1</v>
      </c>
      <c r="AH10" s="1">
        <v>1510</v>
      </c>
      <c r="AI10" s="1">
        <v>61</v>
      </c>
      <c r="AJ10" s="1">
        <v>11</v>
      </c>
      <c r="AK10" s="1">
        <v>714</v>
      </c>
      <c r="AL10" s="1">
        <v>0</v>
      </c>
      <c r="AM10" s="1">
        <v>1592</v>
      </c>
      <c r="AN10" s="1">
        <v>191</v>
      </c>
      <c r="AO10" s="1">
        <v>27</v>
      </c>
      <c r="AP10" s="1">
        <v>5489</v>
      </c>
      <c r="AQ10" s="1">
        <v>0.4</v>
      </c>
      <c r="AR10" s="1">
        <v>1748</v>
      </c>
      <c r="AS10" s="1">
        <v>547</v>
      </c>
      <c r="AT10" s="1">
        <v>199</v>
      </c>
      <c r="AU10" s="1">
        <v>115870</v>
      </c>
      <c r="AV10" s="1">
        <v>7.5</v>
      </c>
    </row>
    <row r="11" spans="1:48">
      <c r="A11" s="1" t="s">
        <v>782</v>
      </c>
      <c r="B11" s="1" t="s">
        <v>783</v>
      </c>
      <c r="C11" s="1">
        <v>0.96760999999999997</v>
      </c>
      <c r="D11" s="1">
        <v>1369</v>
      </c>
      <c r="E11" s="1">
        <v>3053</v>
      </c>
      <c r="F11" s="1">
        <v>350</v>
      </c>
      <c r="G11" s="1">
        <v>1137436</v>
      </c>
      <c r="H11" s="1">
        <v>68.7</v>
      </c>
      <c r="I11" s="1">
        <v>1598</v>
      </c>
      <c r="J11" s="1">
        <v>3193</v>
      </c>
      <c r="K11" s="1">
        <v>100</v>
      </c>
      <c r="L11" s="1">
        <v>339884</v>
      </c>
      <c r="M11" s="1">
        <v>20.5</v>
      </c>
      <c r="N11" s="1">
        <v>1025</v>
      </c>
      <c r="O11" s="1">
        <v>245</v>
      </c>
      <c r="P11" s="1">
        <v>91</v>
      </c>
      <c r="Q11" s="1">
        <v>23732</v>
      </c>
      <c r="R11" s="1">
        <v>1.4</v>
      </c>
      <c r="S11" s="1">
        <v>1160</v>
      </c>
      <c r="T11" s="1">
        <v>31</v>
      </c>
      <c r="U11" s="1">
        <v>1</v>
      </c>
      <c r="V11" s="1">
        <v>33</v>
      </c>
      <c r="W11" s="1">
        <v>0</v>
      </c>
      <c r="X11" s="1">
        <v>1260</v>
      </c>
      <c r="Y11" s="1">
        <v>1</v>
      </c>
      <c r="Z11" s="1">
        <v>1</v>
      </c>
      <c r="AA11" s="1">
        <v>1</v>
      </c>
      <c r="AB11" s="1">
        <v>0</v>
      </c>
      <c r="AC11" s="1">
        <v>1408</v>
      </c>
      <c r="AD11" s="1">
        <v>299</v>
      </c>
      <c r="AE11" s="1">
        <v>87</v>
      </c>
      <c r="AF11" s="1">
        <v>27690</v>
      </c>
      <c r="AG11" s="1">
        <v>1.7</v>
      </c>
      <c r="AH11" s="1">
        <v>1500</v>
      </c>
      <c r="AI11" s="1">
        <v>97</v>
      </c>
      <c r="AJ11" s="1">
        <v>3</v>
      </c>
      <c r="AK11" s="1">
        <v>310</v>
      </c>
      <c r="AL11" s="1">
        <v>0</v>
      </c>
      <c r="AM11" s="1">
        <v>1598</v>
      </c>
      <c r="AN11" s="1">
        <v>313</v>
      </c>
      <c r="AO11" s="1">
        <v>23</v>
      </c>
      <c r="AP11" s="1">
        <v>7663</v>
      </c>
      <c r="AQ11" s="1">
        <v>0.5</v>
      </c>
      <c r="AR11" s="1">
        <v>1748</v>
      </c>
      <c r="AS11" s="1">
        <v>557</v>
      </c>
      <c r="AT11" s="1">
        <v>199</v>
      </c>
      <c r="AU11" s="1">
        <v>117989</v>
      </c>
      <c r="AV11" s="1">
        <v>7.1</v>
      </c>
    </row>
    <row r="12" spans="1:48">
      <c r="A12" s="1" t="s">
        <v>784</v>
      </c>
      <c r="B12" s="1" t="s">
        <v>785</v>
      </c>
      <c r="C12" s="1">
        <v>0.98668500000000003</v>
      </c>
      <c r="D12" s="1">
        <v>1369</v>
      </c>
      <c r="E12" s="1">
        <v>3603</v>
      </c>
      <c r="F12" s="1">
        <v>324</v>
      </c>
      <c r="G12" s="1">
        <v>1242629</v>
      </c>
      <c r="H12" s="1">
        <v>64.900000000000006</v>
      </c>
      <c r="I12" s="1">
        <v>1596</v>
      </c>
      <c r="J12" s="1">
        <v>4951</v>
      </c>
      <c r="K12" s="1">
        <v>100</v>
      </c>
      <c r="L12" s="1">
        <v>527018</v>
      </c>
      <c r="M12" s="1">
        <v>27.5</v>
      </c>
      <c r="N12" s="1">
        <v>1045</v>
      </c>
      <c r="O12" s="1">
        <v>227</v>
      </c>
      <c r="P12" s="1">
        <v>85</v>
      </c>
      <c r="Q12" s="1">
        <v>20539</v>
      </c>
      <c r="R12" s="1">
        <v>1.1000000000000001</v>
      </c>
      <c r="S12" s="1">
        <v>1156</v>
      </c>
      <c r="T12" s="1">
        <v>47</v>
      </c>
      <c r="U12" s="1">
        <v>13</v>
      </c>
      <c r="V12" s="1">
        <v>650</v>
      </c>
      <c r="W12" s="1">
        <v>0</v>
      </c>
      <c r="X12" s="1">
        <v>1260</v>
      </c>
      <c r="Y12" s="1">
        <v>1</v>
      </c>
      <c r="Z12" s="1">
        <v>1</v>
      </c>
      <c r="AA12" s="1">
        <v>1</v>
      </c>
      <c r="AB12" s="1">
        <v>0</v>
      </c>
      <c r="AC12" s="1">
        <v>1434</v>
      </c>
      <c r="AD12" s="1">
        <v>143</v>
      </c>
      <c r="AE12" s="1">
        <v>125</v>
      </c>
      <c r="AF12" s="1">
        <v>19027</v>
      </c>
      <c r="AG12" s="1">
        <v>1</v>
      </c>
      <c r="AH12" s="1">
        <v>1500</v>
      </c>
      <c r="AI12" s="1">
        <v>119</v>
      </c>
      <c r="AJ12" s="1">
        <v>7</v>
      </c>
      <c r="AK12" s="1">
        <v>887</v>
      </c>
      <c r="AL12" s="1">
        <v>0</v>
      </c>
      <c r="AM12" s="1">
        <v>1590</v>
      </c>
      <c r="AN12" s="1">
        <v>1103</v>
      </c>
      <c r="AO12" s="1">
        <v>1</v>
      </c>
      <c r="AP12" s="1">
        <v>1174</v>
      </c>
      <c r="AQ12" s="1">
        <v>0.1</v>
      </c>
      <c r="AR12" s="1">
        <v>1744</v>
      </c>
      <c r="AS12" s="1">
        <v>481</v>
      </c>
      <c r="AT12" s="1">
        <v>199</v>
      </c>
      <c r="AU12" s="1">
        <v>101890</v>
      </c>
      <c r="AV12" s="1">
        <v>5.3</v>
      </c>
    </row>
    <row r="13" spans="1:48">
      <c r="A13" s="1" t="s">
        <v>786</v>
      </c>
      <c r="B13" s="1" t="s">
        <v>787</v>
      </c>
      <c r="C13" s="1">
        <v>0.99195599999999995</v>
      </c>
      <c r="D13" s="1">
        <v>1369</v>
      </c>
      <c r="E13" s="1">
        <v>17593</v>
      </c>
      <c r="F13" s="1">
        <v>330</v>
      </c>
      <c r="G13" s="1">
        <v>6179966</v>
      </c>
      <c r="H13" s="1">
        <v>71</v>
      </c>
      <c r="I13" s="1">
        <v>1588</v>
      </c>
      <c r="J13" s="1">
        <v>18843</v>
      </c>
      <c r="K13" s="1">
        <v>104</v>
      </c>
      <c r="L13" s="1">
        <v>2086006</v>
      </c>
      <c r="M13" s="1">
        <v>24</v>
      </c>
      <c r="N13" s="1">
        <v>1037</v>
      </c>
      <c r="O13" s="1">
        <v>607</v>
      </c>
      <c r="P13" s="1">
        <v>69</v>
      </c>
      <c r="Q13" s="1">
        <v>44583</v>
      </c>
      <c r="R13" s="1">
        <v>0.5</v>
      </c>
      <c r="S13" s="1">
        <v>1158</v>
      </c>
      <c r="T13" s="1">
        <v>1</v>
      </c>
      <c r="U13" s="1">
        <v>1</v>
      </c>
      <c r="V13" s="1">
        <v>1</v>
      </c>
      <c r="W13" s="1">
        <v>0</v>
      </c>
      <c r="X13" s="1">
        <v>1260</v>
      </c>
      <c r="Y13" s="1">
        <v>1</v>
      </c>
      <c r="Z13" s="1">
        <v>1</v>
      </c>
      <c r="AA13" s="1">
        <v>1</v>
      </c>
      <c r="AB13" s="1">
        <v>0</v>
      </c>
      <c r="AC13" s="1">
        <v>1456</v>
      </c>
      <c r="AD13" s="1">
        <v>45</v>
      </c>
      <c r="AE13" s="1">
        <v>151</v>
      </c>
      <c r="AF13" s="1">
        <v>7233</v>
      </c>
      <c r="AG13" s="1">
        <v>0.1</v>
      </c>
      <c r="AH13" s="1">
        <v>1494</v>
      </c>
      <c r="AI13" s="1">
        <v>723</v>
      </c>
      <c r="AJ13" s="1">
        <v>45</v>
      </c>
      <c r="AK13" s="1">
        <v>34632</v>
      </c>
      <c r="AL13" s="1">
        <v>0.4</v>
      </c>
      <c r="AM13" s="1">
        <v>1596</v>
      </c>
      <c r="AN13" s="1">
        <v>523</v>
      </c>
      <c r="AO13" s="1">
        <v>23</v>
      </c>
      <c r="AP13" s="1">
        <v>12804</v>
      </c>
      <c r="AQ13" s="1">
        <v>0.1</v>
      </c>
      <c r="AR13" s="1">
        <v>1740</v>
      </c>
      <c r="AS13" s="1">
        <v>1835</v>
      </c>
      <c r="AT13" s="1">
        <v>175</v>
      </c>
      <c r="AU13" s="1">
        <v>341827</v>
      </c>
      <c r="AV13" s="1">
        <v>3.9</v>
      </c>
    </row>
    <row r="14" spans="1:48">
      <c r="A14" s="1" t="s">
        <v>788</v>
      </c>
      <c r="B14" s="1" t="s">
        <v>789</v>
      </c>
      <c r="C14" s="1">
        <v>0.99186399999999997</v>
      </c>
      <c r="D14" s="1">
        <v>1369</v>
      </c>
      <c r="E14" s="1">
        <v>8035</v>
      </c>
      <c r="F14" s="1">
        <v>334</v>
      </c>
      <c r="G14" s="1">
        <v>2856700</v>
      </c>
      <c r="H14" s="1">
        <v>69.599999999999994</v>
      </c>
      <c r="I14" s="1">
        <v>1590</v>
      </c>
      <c r="J14" s="1">
        <v>10071</v>
      </c>
      <c r="K14" s="1">
        <v>100</v>
      </c>
      <c r="L14" s="1">
        <v>1072025</v>
      </c>
      <c r="M14" s="1">
        <v>26.1</v>
      </c>
      <c r="N14" s="1">
        <v>1031</v>
      </c>
      <c r="O14" s="1">
        <v>313</v>
      </c>
      <c r="P14" s="1">
        <v>57</v>
      </c>
      <c r="Q14" s="1">
        <v>18991</v>
      </c>
      <c r="R14" s="1">
        <v>0.5</v>
      </c>
      <c r="S14" s="1">
        <v>1158</v>
      </c>
      <c r="T14" s="1">
        <v>1</v>
      </c>
      <c r="U14" s="1">
        <v>1</v>
      </c>
      <c r="V14" s="1">
        <v>1</v>
      </c>
      <c r="W14" s="1">
        <v>0</v>
      </c>
      <c r="X14" s="1">
        <v>1260</v>
      </c>
      <c r="Y14" s="1">
        <v>1</v>
      </c>
      <c r="Z14" s="1">
        <v>1</v>
      </c>
      <c r="AA14" s="1">
        <v>1</v>
      </c>
      <c r="AB14" s="1">
        <v>0</v>
      </c>
      <c r="AC14" s="1">
        <v>1408</v>
      </c>
      <c r="AD14" s="1">
        <v>159</v>
      </c>
      <c r="AE14" s="1">
        <v>3</v>
      </c>
      <c r="AF14" s="1">
        <v>508</v>
      </c>
      <c r="AG14" s="1">
        <v>0</v>
      </c>
      <c r="AH14" s="1">
        <v>1494</v>
      </c>
      <c r="AI14" s="1">
        <v>411</v>
      </c>
      <c r="AJ14" s="1">
        <v>27</v>
      </c>
      <c r="AK14" s="1">
        <v>11812</v>
      </c>
      <c r="AL14" s="1">
        <v>0.3</v>
      </c>
      <c r="AM14" s="1">
        <v>1594</v>
      </c>
      <c r="AN14" s="1">
        <v>923</v>
      </c>
      <c r="AO14" s="1">
        <v>29</v>
      </c>
      <c r="AP14" s="1">
        <v>28493</v>
      </c>
      <c r="AQ14" s="1">
        <v>0.7</v>
      </c>
      <c r="AR14" s="1">
        <v>1742</v>
      </c>
      <c r="AS14" s="1">
        <v>757</v>
      </c>
      <c r="AT14" s="1">
        <v>147</v>
      </c>
      <c r="AU14" s="1">
        <v>118453</v>
      </c>
      <c r="AV14" s="1">
        <v>2.9</v>
      </c>
    </row>
    <row r="15" spans="1:48">
      <c r="A15" s="1" t="s">
        <v>790</v>
      </c>
      <c r="B15" s="1" t="s">
        <v>791</v>
      </c>
      <c r="C15" s="1">
        <v>0.98787400000000003</v>
      </c>
      <c r="D15" s="1">
        <v>1369</v>
      </c>
      <c r="E15" s="1">
        <v>9765</v>
      </c>
      <c r="F15" s="1">
        <v>336</v>
      </c>
      <c r="G15" s="1">
        <v>3492559</v>
      </c>
      <c r="H15" s="1">
        <v>69.900000000000006</v>
      </c>
      <c r="I15" s="1">
        <v>1588</v>
      </c>
      <c r="J15" s="1">
        <v>11039</v>
      </c>
      <c r="K15" s="1">
        <v>108</v>
      </c>
      <c r="L15" s="1">
        <v>1269070</v>
      </c>
      <c r="M15" s="1">
        <v>25.4</v>
      </c>
      <c r="N15" s="1">
        <v>1013</v>
      </c>
      <c r="O15" s="1">
        <v>97</v>
      </c>
      <c r="P15" s="1">
        <v>83</v>
      </c>
      <c r="Q15" s="1">
        <v>8570</v>
      </c>
      <c r="R15" s="1">
        <v>0.2</v>
      </c>
      <c r="S15" s="1">
        <v>1158</v>
      </c>
      <c r="T15" s="1">
        <v>1</v>
      </c>
      <c r="U15" s="1">
        <v>1</v>
      </c>
      <c r="V15" s="1">
        <v>1</v>
      </c>
      <c r="W15" s="1">
        <v>0</v>
      </c>
      <c r="X15" s="1">
        <v>1260</v>
      </c>
      <c r="Y15" s="1">
        <v>1</v>
      </c>
      <c r="Z15" s="1">
        <v>1</v>
      </c>
      <c r="AA15" s="1">
        <v>1</v>
      </c>
      <c r="AB15" s="1">
        <v>0</v>
      </c>
      <c r="AC15" s="1">
        <v>1450</v>
      </c>
      <c r="AD15" s="1">
        <v>119</v>
      </c>
      <c r="AE15" s="1">
        <v>123</v>
      </c>
      <c r="AF15" s="1">
        <v>15581</v>
      </c>
      <c r="AG15" s="1">
        <v>0.3</v>
      </c>
      <c r="AH15" s="1">
        <v>1494</v>
      </c>
      <c r="AI15" s="1">
        <v>627</v>
      </c>
      <c r="AJ15" s="1">
        <v>39</v>
      </c>
      <c r="AK15" s="1">
        <v>26029</v>
      </c>
      <c r="AL15" s="1">
        <v>0.5</v>
      </c>
      <c r="AM15" s="1">
        <v>1598</v>
      </c>
      <c r="AN15" s="1">
        <v>257</v>
      </c>
      <c r="AO15" s="1">
        <v>3</v>
      </c>
      <c r="AP15" s="1">
        <v>821</v>
      </c>
      <c r="AQ15" s="1">
        <v>0</v>
      </c>
      <c r="AR15" s="1">
        <v>1746</v>
      </c>
      <c r="AS15" s="1">
        <v>1015</v>
      </c>
      <c r="AT15" s="1">
        <v>167</v>
      </c>
      <c r="AU15" s="1">
        <v>180432</v>
      </c>
      <c r="AV15" s="1">
        <v>3.6</v>
      </c>
    </row>
    <row r="16" spans="1:48">
      <c r="A16" s="1" t="s">
        <v>792</v>
      </c>
      <c r="B16" s="1" t="s">
        <v>793</v>
      </c>
      <c r="C16" s="1">
        <v>0.98387599999999997</v>
      </c>
      <c r="D16" s="1">
        <v>1367</v>
      </c>
      <c r="E16" s="1">
        <v>6083</v>
      </c>
      <c r="F16" s="1">
        <v>334</v>
      </c>
      <c r="G16" s="1">
        <v>2162701</v>
      </c>
      <c r="H16" s="1">
        <v>74.599999999999994</v>
      </c>
      <c r="I16" s="1">
        <v>1588</v>
      </c>
      <c r="J16" s="1">
        <v>5475</v>
      </c>
      <c r="K16" s="1">
        <v>104</v>
      </c>
      <c r="L16" s="1">
        <v>606108</v>
      </c>
      <c r="M16" s="1">
        <v>20.9</v>
      </c>
      <c r="N16" s="1">
        <v>1037</v>
      </c>
      <c r="O16" s="1">
        <v>235</v>
      </c>
      <c r="P16" s="1">
        <v>71</v>
      </c>
      <c r="Q16" s="1">
        <v>17761</v>
      </c>
      <c r="R16" s="1">
        <v>0.6</v>
      </c>
      <c r="S16" s="1">
        <v>1158</v>
      </c>
      <c r="T16" s="1">
        <v>1</v>
      </c>
      <c r="U16" s="1">
        <v>1</v>
      </c>
      <c r="V16" s="1">
        <v>1</v>
      </c>
      <c r="W16" s="1">
        <v>0</v>
      </c>
      <c r="X16" s="1">
        <v>1260</v>
      </c>
      <c r="Y16" s="1">
        <v>1</v>
      </c>
      <c r="Z16" s="1">
        <v>1</v>
      </c>
      <c r="AA16" s="1">
        <v>1</v>
      </c>
      <c r="AB16" s="1">
        <v>0</v>
      </c>
      <c r="AC16" s="1">
        <v>1458</v>
      </c>
      <c r="AD16" s="1">
        <v>1</v>
      </c>
      <c r="AE16" s="1">
        <v>3</v>
      </c>
      <c r="AF16" s="1">
        <v>3</v>
      </c>
      <c r="AG16" s="1">
        <v>0</v>
      </c>
      <c r="AH16" s="1">
        <v>1528</v>
      </c>
      <c r="AI16" s="1">
        <v>111</v>
      </c>
      <c r="AJ16" s="1">
        <v>19</v>
      </c>
      <c r="AK16" s="1">
        <v>2245</v>
      </c>
      <c r="AL16" s="1">
        <v>0.1</v>
      </c>
      <c r="AM16" s="1">
        <v>1598</v>
      </c>
      <c r="AN16" s="1">
        <v>325</v>
      </c>
      <c r="AO16" s="1">
        <v>25</v>
      </c>
      <c r="AP16" s="1">
        <v>8649</v>
      </c>
      <c r="AQ16" s="1">
        <v>0.3</v>
      </c>
      <c r="AR16" s="1">
        <v>1748</v>
      </c>
      <c r="AS16" s="1">
        <v>481</v>
      </c>
      <c r="AT16" s="1">
        <v>199</v>
      </c>
      <c r="AU16" s="1">
        <v>101890</v>
      </c>
      <c r="AV16" s="1">
        <v>3.5</v>
      </c>
    </row>
    <row r="17" spans="1:48">
      <c r="A17" s="1" t="s">
        <v>794</v>
      </c>
      <c r="B17" s="1" t="s">
        <v>795</v>
      </c>
      <c r="C17" s="1">
        <v>0.98486200000000002</v>
      </c>
      <c r="D17" s="1">
        <v>1369</v>
      </c>
      <c r="E17" s="1">
        <v>5387</v>
      </c>
      <c r="F17" s="1">
        <v>364</v>
      </c>
      <c r="G17" s="1">
        <v>2087279</v>
      </c>
      <c r="H17" s="1">
        <v>75</v>
      </c>
      <c r="I17" s="1">
        <v>1586</v>
      </c>
      <c r="J17" s="1">
        <v>5297</v>
      </c>
      <c r="K17" s="1">
        <v>106</v>
      </c>
      <c r="L17" s="1">
        <v>597679</v>
      </c>
      <c r="M17" s="1">
        <v>21.5</v>
      </c>
      <c r="N17" s="1">
        <v>1013</v>
      </c>
      <c r="O17" s="1">
        <v>221</v>
      </c>
      <c r="P17" s="1">
        <v>35</v>
      </c>
      <c r="Q17" s="1">
        <v>8234</v>
      </c>
      <c r="R17" s="1">
        <v>0.3</v>
      </c>
      <c r="S17" s="1">
        <v>1158</v>
      </c>
      <c r="T17" s="1">
        <v>1</v>
      </c>
      <c r="U17" s="1">
        <v>1</v>
      </c>
      <c r="V17" s="1">
        <v>1</v>
      </c>
      <c r="W17" s="1">
        <v>0</v>
      </c>
      <c r="X17" s="1">
        <v>1260</v>
      </c>
      <c r="Y17" s="1">
        <v>1</v>
      </c>
      <c r="Z17" s="1">
        <v>1</v>
      </c>
      <c r="AA17" s="1">
        <v>1</v>
      </c>
      <c r="AB17" s="1">
        <v>0</v>
      </c>
      <c r="AC17" s="1">
        <v>1456</v>
      </c>
      <c r="AD17" s="1">
        <v>113</v>
      </c>
      <c r="AE17" s="1">
        <v>99</v>
      </c>
      <c r="AF17" s="1">
        <v>11908</v>
      </c>
      <c r="AG17" s="1">
        <v>0.4</v>
      </c>
      <c r="AH17" s="1">
        <v>1504</v>
      </c>
      <c r="AI17" s="1">
        <v>479</v>
      </c>
      <c r="AJ17" s="1">
        <v>39</v>
      </c>
      <c r="AK17" s="1">
        <v>19885</v>
      </c>
      <c r="AL17" s="1">
        <v>0.7</v>
      </c>
      <c r="AM17" s="1">
        <v>1586</v>
      </c>
      <c r="AN17" s="1">
        <v>233</v>
      </c>
      <c r="AO17" s="1">
        <v>1</v>
      </c>
      <c r="AP17" s="1">
        <v>248</v>
      </c>
      <c r="AQ17" s="1">
        <v>0</v>
      </c>
      <c r="AR17" s="1">
        <v>1748</v>
      </c>
      <c r="AS17" s="1">
        <v>289</v>
      </c>
      <c r="AT17" s="1">
        <v>183</v>
      </c>
      <c r="AU17" s="1">
        <v>56296</v>
      </c>
      <c r="AV17" s="1">
        <v>2</v>
      </c>
    </row>
    <row r="18" spans="1:48">
      <c r="A18" s="1" t="s">
        <v>796</v>
      </c>
      <c r="B18" s="1" t="s">
        <v>797</v>
      </c>
      <c r="C18" s="1">
        <v>0.988981</v>
      </c>
      <c r="D18" s="1">
        <v>1369</v>
      </c>
      <c r="E18" s="1">
        <v>4189</v>
      </c>
      <c r="F18" s="1">
        <v>336</v>
      </c>
      <c r="G18" s="1">
        <v>1498242</v>
      </c>
      <c r="H18" s="1">
        <v>74.900000000000006</v>
      </c>
      <c r="I18" s="1">
        <v>1590</v>
      </c>
      <c r="J18" s="1">
        <v>4045</v>
      </c>
      <c r="K18" s="1">
        <v>104</v>
      </c>
      <c r="L18" s="1">
        <v>447800</v>
      </c>
      <c r="M18" s="1">
        <v>22.4</v>
      </c>
      <c r="N18" s="1">
        <v>1027</v>
      </c>
      <c r="O18" s="1">
        <v>147</v>
      </c>
      <c r="P18" s="1">
        <v>55</v>
      </c>
      <c r="Q18" s="1">
        <v>8606</v>
      </c>
      <c r="R18" s="1">
        <v>0.4</v>
      </c>
      <c r="S18" s="1">
        <v>1158</v>
      </c>
      <c r="T18" s="1">
        <v>1</v>
      </c>
      <c r="U18" s="1">
        <v>1</v>
      </c>
      <c r="V18" s="1">
        <v>1</v>
      </c>
      <c r="W18" s="1">
        <v>0</v>
      </c>
      <c r="X18" s="1">
        <v>1260</v>
      </c>
      <c r="Y18" s="1">
        <v>1</v>
      </c>
      <c r="Z18" s="1">
        <v>1</v>
      </c>
      <c r="AA18" s="1">
        <v>1</v>
      </c>
      <c r="AB18" s="1">
        <v>0</v>
      </c>
      <c r="AC18" s="1">
        <v>1458</v>
      </c>
      <c r="AD18" s="1">
        <v>121</v>
      </c>
      <c r="AE18" s="1">
        <v>1</v>
      </c>
      <c r="AF18" s="1">
        <v>129</v>
      </c>
      <c r="AG18" s="1">
        <v>0</v>
      </c>
      <c r="AH18" s="1">
        <v>1494</v>
      </c>
      <c r="AI18" s="1">
        <v>115</v>
      </c>
      <c r="AJ18" s="1">
        <v>31</v>
      </c>
      <c r="AK18" s="1">
        <v>3795</v>
      </c>
      <c r="AL18" s="1">
        <v>0.2</v>
      </c>
      <c r="AM18" s="1">
        <v>1598</v>
      </c>
      <c r="AN18" s="1">
        <v>307</v>
      </c>
      <c r="AO18" s="1">
        <v>27</v>
      </c>
      <c r="AP18" s="1">
        <v>8823</v>
      </c>
      <c r="AQ18" s="1">
        <v>0.4</v>
      </c>
      <c r="AR18" s="1">
        <v>1724</v>
      </c>
      <c r="AS18" s="1">
        <v>293</v>
      </c>
      <c r="AT18" s="1">
        <v>105</v>
      </c>
      <c r="AU18" s="1">
        <v>32748</v>
      </c>
      <c r="AV18" s="1">
        <v>1.6</v>
      </c>
    </row>
    <row r="19" spans="1:48">
      <c r="A19" s="1" t="s">
        <v>798</v>
      </c>
      <c r="B19" s="1" t="s">
        <v>799</v>
      </c>
      <c r="C19" s="1">
        <v>0.98529599999999995</v>
      </c>
      <c r="D19" s="1">
        <v>1369</v>
      </c>
      <c r="E19" s="1">
        <v>3999</v>
      </c>
      <c r="F19" s="1">
        <v>330</v>
      </c>
      <c r="G19" s="1">
        <v>1404745</v>
      </c>
      <c r="H19" s="1">
        <v>70.400000000000006</v>
      </c>
      <c r="I19" s="1">
        <v>1590</v>
      </c>
      <c r="J19" s="1">
        <v>4153</v>
      </c>
      <c r="K19" s="1">
        <v>102</v>
      </c>
      <c r="L19" s="1">
        <v>450915</v>
      </c>
      <c r="M19" s="1">
        <v>22.6</v>
      </c>
      <c r="N19" s="1">
        <v>1017</v>
      </c>
      <c r="O19" s="1">
        <v>179</v>
      </c>
      <c r="P19" s="1">
        <v>49</v>
      </c>
      <c r="Q19" s="1">
        <v>9336</v>
      </c>
      <c r="R19" s="1">
        <v>0.5</v>
      </c>
      <c r="S19" s="1">
        <v>1150</v>
      </c>
      <c r="T19" s="1">
        <v>1</v>
      </c>
      <c r="U19" s="1">
        <v>1</v>
      </c>
      <c r="V19" s="1">
        <v>1</v>
      </c>
      <c r="W19" s="1">
        <v>0</v>
      </c>
      <c r="X19" s="1">
        <v>1260</v>
      </c>
      <c r="Y19" s="1">
        <v>1</v>
      </c>
      <c r="Z19" s="1">
        <v>1</v>
      </c>
      <c r="AA19" s="1">
        <v>1</v>
      </c>
      <c r="AB19" s="1">
        <v>0</v>
      </c>
      <c r="AC19" s="1">
        <v>1450</v>
      </c>
      <c r="AD19" s="1">
        <v>17</v>
      </c>
      <c r="AE19" s="1">
        <v>197</v>
      </c>
      <c r="AF19" s="1">
        <v>3565</v>
      </c>
      <c r="AG19" s="1">
        <v>0.2</v>
      </c>
      <c r="AH19" s="1">
        <v>1494</v>
      </c>
      <c r="AI19" s="1">
        <v>205</v>
      </c>
      <c r="AJ19" s="1">
        <v>39</v>
      </c>
      <c r="AK19" s="1">
        <v>8510</v>
      </c>
      <c r="AL19" s="1">
        <v>0.4</v>
      </c>
      <c r="AM19" s="1">
        <v>1598</v>
      </c>
      <c r="AN19" s="1">
        <v>325</v>
      </c>
      <c r="AO19" s="1">
        <v>27</v>
      </c>
      <c r="AP19" s="1">
        <v>9341</v>
      </c>
      <c r="AQ19" s="1">
        <v>0.5</v>
      </c>
      <c r="AR19" s="1">
        <v>1748</v>
      </c>
      <c r="AS19" s="1">
        <v>519</v>
      </c>
      <c r="AT19" s="1">
        <v>199</v>
      </c>
      <c r="AU19" s="1">
        <v>109939</v>
      </c>
      <c r="AV19" s="1">
        <v>5.5</v>
      </c>
    </row>
    <row r="20" spans="1:48">
      <c r="A20" s="1" t="s">
        <v>800</v>
      </c>
      <c r="B20" s="1" t="s">
        <v>801</v>
      </c>
      <c r="C20" s="1">
        <v>0.93338699999999997</v>
      </c>
      <c r="D20" s="1">
        <v>1369</v>
      </c>
      <c r="E20" s="1">
        <v>4301</v>
      </c>
      <c r="F20" s="1">
        <v>348</v>
      </c>
      <c r="G20" s="1">
        <v>1593239</v>
      </c>
      <c r="H20" s="1">
        <v>76.8</v>
      </c>
      <c r="I20" s="1">
        <v>1588</v>
      </c>
      <c r="J20" s="1">
        <v>3647</v>
      </c>
      <c r="K20" s="1">
        <v>102</v>
      </c>
      <c r="L20" s="1">
        <v>395975</v>
      </c>
      <c r="M20" s="1">
        <v>19.100000000000001</v>
      </c>
      <c r="N20" s="1">
        <v>1021</v>
      </c>
      <c r="O20" s="1">
        <v>125</v>
      </c>
      <c r="P20" s="1">
        <v>67</v>
      </c>
      <c r="Q20" s="1">
        <v>8915</v>
      </c>
      <c r="R20" s="1">
        <v>0.4</v>
      </c>
      <c r="S20" s="1">
        <v>1158</v>
      </c>
      <c r="T20" s="1">
        <v>1</v>
      </c>
      <c r="U20" s="1">
        <v>1</v>
      </c>
      <c r="V20" s="1">
        <v>1</v>
      </c>
      <c r="W20" s="1">
        <v>0</v>
      </c>
      <c r="X20" s="1">
        <v>1260</v>
      </c>
      <c r="Y20" s="1">
        <v>1</v>
      </c>
      <c r="Z20" s="1">
        <v>1</v>
      </c>
      <c r="AA20" s="1">
        <v>1</v>
      </c>
      <c r="AB20" s="1">
        <v>0</v>
      </c>
      <c r="AC20" s="1">
        <v>1400</v>
      </c>
      <c r="AD20" s="1">
        <v>1</v>
      </c>
      <c r="AE20" s="1">
        <v>1</v>
      </c>
      <c r="AF20" s="1">
        <v>1</v>
      </c>
      <c r="AG20" s="1">
        <v>0</v>
      </c>
      <c r="AH20" s="1">
        <v>1534</v>
      </c>
      <c r="AI20" s="1">
        <v>7</v>
      </c>
      <c r="AJ20" s="1">
        <v>1</v>
      </c>
      <c r="AK20" s="1">
        <v>7</v>
      </c>
      <c r="AL20" s="1">
        <v>0</v>
      </c>
      <c r="AM20" s="1">
        <v>1592</v>
      </c>
      <c r="AN20" s="1">
        <v>369</v>
      </c>
      <c r="AO20" s="1">
        <v>27</v>
      </c>
      <c r="AP20" s="1">
        <v>10605</v>
      </c>
      <c r="AQ20" s="1">
        <v>0.5</v>
      </c>
      <c r="AR20" s="1">
        <v>1748</v>
      </c>
      <c r="AS20" s="1">
        <v>311</v>
      </c>
      <c r="AT20" s="1">
        <v>199</v>
      </c>
      <c r="AU20" s="1">
        <v>65879</v>
      </c>
      <c r="AV20" s="1">
        <v>3.2</v>
      </c>
    </row>
    <row r="21" spans="1:48">
      <c r="A21" s="1" t="s">
        <v>802</v>
      </c>
      <c r="B21" s="1" t="s">
        <v>803</v>
      </c>
      <c r="C21" s="1">
        <v>0.98804999999999998</v>
      </c>
      <c r="D21" s="1">
        <v>1369</v>
      </c>
      <c r="E21" s="1">
        <v>10965</v>
      </c>
      <c r="F21" s="1">
        <v>328</v>
      </c>
      <c r="G21" s="1">
        <v>3828377</v>
      </c>
      <c r="H21" s="1">
        <v>75.400000000000006</v>
      </c>
      <c r="I21" s="1">
        <v>1588</v>
      </c>
      <c r="J21" s="1">
        <v>9923</v>
      </c>
      <c r="K21" s="1">
        <v>100</v>
      </c>
      <c r="L21" s="1">
        <v>1056271</v>
      </c>
      <c r="M21" s="1">
        <v>20.8</v>
      </c>
      <c r="N21" s="1">
        <v>1069</v>
      </c>
      <c r="O21" s="1">
        <v>403</v>
      </c>
      <c r="P21" s="1">
        <v>61</v>
      </c>
      <c r="Q21" s="1">
        <v>26168</v>
      </c>
      <c r="R21" s="1">
        <v>0.5</v>
      </c>
      <c r="S21" s="1">
        <v>1158</v>
      </c>
      <c r="T21" s="1">
        <v>1</v>
      </c>
      <c r="U21" s="1">
        <v>1</v>
      </c>
      <c r="V21" s="1">
        <v>1</v>
      </c>
      <c r="W21" s="1">
        <v>0</v>
      </c>
      <c r="X21" s="1">
        <v>1292</v>
      </c>
      <c r="Y21" s="1">
        <v>81</v>
      </c>
      <c r="Z21" s="1">
        <v>1</v>
      </c>
      <c r="AA21" s="1">
        <v>86</v>
      </c>
      <c r="AB21" s="1">
        <v>0</v>
      </c>
      <c r="AC21" s="1">
        <v>1400</v>
      </c>
      <c r="AD21" s="1">
        <v>1</v>
      </c>
      <c r="AE21" s="1">
        <v>1</v>
      </c>
      <c r="AF21" s="1">
        <v>1</v>
      </c>
      <c r="AG21" s="1">
        <v>0</v>
      </c>
      <c r="AH21" s="1">
        <v>1500</v>
      </c>
      <c r="AI21" s="1">
        <v>403</v>
      </c>
      <c r="AJ21" s="1">
        <v>23</v>
      </c>
      <c r="AK21" s="1">
        <v>9867</v>
      </c>
      <c r="AL21" s="1">
        <v>0.2</v>
      </c>
      <c r="AM21" s="1">
        <v>1598</v>
      </c>
      <c r="AN21" s="1">
        <v>1483</v>
      </c>
      <c r="AO21" s="1">
        <v>27</v>
      </c>
      <c r="AP21" s="1">
        <v>42622</v>
      </c>
      <c r="AQ21" s="1">
        <v>0.8</v>
      </c>
      <c r="AR21" s="1">
        <v>1726</v>
      </c>
      <c r="AS21" s="1">
        <v>759</v>
      </c>
      <c r="AT21" s="1">
        <v>145</v>
      </c>
      <c r="AU21" s="1">
        <v>117150</v>
      </c>
      <c r="AV21" s="1">
        <v>2.2999999999999998</v>
      </c>
    </row>
    <row r="22" spans="1:48">
      <c r="A22" s="1" t="s">
        <v>804</v>
      </c>
      <c r="B22" s="1" t="s">
        <v>805</v>
      </c>
      <c r="C22" s="1">
        <v>0.98902100000000004</v>
      </c>
      <c r="D22" s="1">
        <v>1369</v>
      </c>
      <c r="E22" s="1">
        <v>13399</v>
      </c>
      <c r="F22" s="1">
        <v>322</v>
      </c>
      <c r="G22" s="1">
        <v>4592620</v>
      </c>
      <c r="H22" s="1">
        <v>65.400000000000006</v>
      </c>
      <c r="I22" s="1">
        <v>1586</v>
      </c>
      <c r="J22" s="1">
        <v>17629</v>
      </c>
      <c r="K22" s="1">
        <v>114</v>
      </c>
      <c r="L22" s="1">
        <v>2139266</v>
      </c>
      <c r="M22" s="1">
        <v>30.5</v>
      </c>
      <c r="N22" s="1">
        <v>1025</v>
      </c>
      <c r="O22" s="1">
        <v>631</v>
      </c>
      <c r="P22" s="1">
        <v>45</v>
      </c>
      <c r="Q22" s="1">
        <v>30226</v>
      </c>
      <c r="R22" s="1">
        <v>0.4</v>
      </c>
      <c r="S22" s="1">
        <v>1158</v>
      </c>
      <c r="T22" s="1">
        <v>1</v>
      </c>
      <c r="U22" s="1">
        <v>1</v>
      </c>
      <c r="V22" s="1">
        <v>1</v>
      </c>
      <c r="W22" s="1">
        <v>0</v>
      </c>
      <c r="X22" s="1">
        <v>1260</v>
      </c>
      <c r="Y22" s="1">
        <v>1</v>
      </c>
      <c r="Z22" s="1">
        <v>1</v>
      </c>
      <c r="AA22" s="1">
        <v>1</v>
      </c>
      <c r="AB22" s="1">
        <v>0</v>
      </c>
      <c r="AC22" s="1">
        <v>1434</v>
      </c>
      <c r="AD22" s="1">
        <v>729</v>
      </c>
      <c r="AE22" s="1">
        <v>79</v>
      </c>
      <c r="AF22" s="1">
        <v>61304</v>
      </c>
      <c r="AG22" s="1">
        <v>0.9</v>
      </c>
      <c r="AH22" s="1">
        <v>1492</v>
      </c>
      <c r="AI22" s="1">
        <v>793</v>
      </c>
      <c r="AJ22" s="1">
        <v>43</v>
      </c>
      <c r="AK22" s="1">
        <v>36297</v>
      </c>
      <c r="AL22" s="1">
        <v>0.5</v>
      </c>
      <c r="AM22" s="1">
        <v>1598</v>
      </c>
      <c r="AN22" s="1">
        <v>911</v>
      </c>
      <c r="AO22" s="1">
        <v>21</v>
      </c>
      <c r="AP22" s="1">
        <v>20364</v>
      </c>
      <c r="AQ22" s="1">
        <v>0.3</v>
      </c>
      <c r="AR22" s="1">
        <v>1744</v>
      </c>
      <c r="AS22" s="1">
        <v>1251</v>
      </c>
      <c r="AT22" s="1">
        <v>107</v>
      </c>
      <c r="AU22" s="1">
        <v>142486</v>
      </c>
      <c r="AV22" s="1">
        <v>2</v>
      </c>
    </row>
    <row r="23" spans="1:48">
      <c r="A23" s="1" t="s">
        <v>806</v>
      </c>
      <c r="B23" s="1" t="s">
        <v>807</v>
      </c>
      <c r="C23" s="1">
        <v>0.98470400000000002</v>
      </c>
      <c r="D23" s="1">
        <v>1369</v>
      </c>
      <c r="E23" s="1">
        <v>8985</v>
      </c>
      <c r="F23" s="1">
        <v>260</v>
      </c>
      <c r="G23" s="1">
        <v>2486701</v>
      </c>
      <c r="H23" s="1">
        <v>56.9</v>
      </c>
      <c r="I23" s="1">
        <v>1590</v>
      </c>
      <c r="J23" s="1">
        <v>13677</v>
      </c>
      <c r="K23" s="1">
        <v>112</v>
      </c>
      <c r="L23" s="1">
        <v>1630576</v>
      </c>
      <c r="M23" s="1">
        <v>37.299999999999997</v>
      </c>
      <c r="N23" s="1">
        <v>1025</v>
      </c>
      <c r="O23" s="1">
        <v>277</v>
      </c>
      <c r="P23" s="1">
        <v>9</v>
      </c>
      <c r="Q23" s="1">
        <v>2654</v>
      </c>
      <c r="R23" s="1">
        <v>0.1</v>
      </c>
      <c r="S23" s="1">
        <v>1174</v>
      </c>
      <c r="T23" s="1">
        <v>359</v>
      </c>
      <c r="U23" s="1">
        <v>13</v>
      </c>
      <c r="V23" s="1">
        <v>4968</v>
      </c>
      <c r="W23" s="1">
        <v>0.1</v>
      </c>
      <c r="X23" s="1">
        <v>1260</v>
      </c>
      <c r="Y23" s="1">
        <v>1</v>
      </c>
      <c r="Z23" s="1">
        <v>1</v>
      </c>
      <c r="AA23" s="1">
        <v>1</v>
      </c>
      <c r="AB23" s="1">
        <v>0</v>
      </c>
      <c r="AC23" s="1">
        <v>1434</v>
      </c>
      <c r="AD23" s="1">
        <v>581</v>
      </c>
      <c r="AE23" s="1">
        <v>71</v>
      </c>
      <c r="AF23" s="1">
        <v>43910</v>
      </c>
      <c r="AG23" s="1">
        <v>1</v>
      </c>
      <c r="AH23" s="1">
        <v>1494</v>
      </c>
      <c r="AI23" s="1">
        <v>1523</v>
      </c>
      <c r="AJ23" s="1">
        <v>53</v>
      </c>
      <c r="AK23" s="1">
        <v>85923</v>
      </c>
      <c r="AL23" s="1">
        <v>2</v>
      </c>
      <c r="AM23" s="1">
        <v>1592</v>
      </c>
      <c r="AN23" s="1">
        <v>627</v>
      </c>
      <c r="AO23" s="1">
        <v>15</v>
      </c>
      <c r="AP23" s="1">
        <v>10011</v>
      </c>
      <c r="AQ23" s="1">
        <v>0.2</v>
      </c>
      <c r="AR23" s="1">
        <v>1734</v>
      </c>
      <c r="AS23" s="1">
        <v>1265</v>
      </c>
      <c r="AT23" s="1">
        <v>77</v>
      </c>
      <c r="AU23" s="1">
        <v>103684</v>
      </c>
      <c r="AV23" s="1">
        <v>2.4</v>
      </c>
    </row>
    <row r="24" spans="1:48">
      <c r="A24" s="1" t="s">
        <v>808</v>
      </c>
      <c r="B24" s="1" t="s">
        <v>809</v>
      </c>
      <c r="C24" s="1">
        <v>0.99088299999999996</v>
      </c>
      <c r="D24" s="1">
        <v>1369</v>
      </c>
      <c r="E24" s="1">
        <v>7341</v>
      </c>
      <c r="F24" s="1">
        <v>330</v>
      </c>
      <c r="G24" s="1">
        <v>2578703</v>
      </c>
      <c r="H24" s="1">
        <v>72.400000000000006</v>
      </c>
      <c r="I24" s="1">
        <v>1588</v>
      </c>
      <c r="J24" s="1">
        <v>7315</v>
      </c>
      <c r="K24" s="1">
        <v>106</v>
      </c>
      <c r="L24" s="1">
        <v>825377</v>
      </c>
      <c r="M24" s="1">
        <v>23.2</v>
      </c>
      <c r="N24" s="1">
        <v>1069</v>
      </c>
      <c r="O24" s="1">
        <v>253</v>
      </c>
      <c r="P24" s="1">
        <v>31</v>
      </c>
      <c r="Q24" s="1">
        <v>8349</v>
      </c>
      <c r="R24" s="1">
        <v>0.2</v>
      </c>
      <c r="S24" s="1">
        <v>1158</v>
      </c>
      <c r="T24" s="1">
        <v>1</v>
      </c>
      <c r="U24" s="1">
        <v>1</v>
      </c>
      <c r="V24" s="1">
        <v>1</v>
      </c>
      <c r="W24" s="1">
        <v>0</v>
      </c>
      <c r="X24" s="1">
        <v>1260</v>
      </c>
      <c r="Y24" s="1">
        <v>1</v>
      </c>
      <c r="Z24" s="1">
        <v>1</v>
      </c>
      <c r="AA24" s="1">
        <v>1</v>
      </c>
      <c r="AB24" s="1">
        <v>0</v>
      </c>
      <c r="AC24" s="1">
        <v>1418</v>
      </c>
      <c r="AD24" s="1">
        <v>7</v>
      </c>
      <c r="AE24" s="1">
        <v>157</v>
      </c>
      <c r="AF24" s="1">
        <v>1170</v>
      </c>
      <c r="AG24" s="1">
        <v>0</v>
      </c>
      <c r="AH24" s="1">
        <v>1498</v>
      </c>
      <c r="AI24" s="1">
        <v>455</v>
      </c>
      <c r="AJ24" s="1">
        <v>45</v>
      </c>
      <c r="AK24" s="1">
        <v>21795</v>
      </c>
      <c r="AL24" s="1">
        <v>0.6</v>
      </c>
      <c r="AM24" s="1">
        <v>1596</v>
      </c>
      <c r="AN24" s="1">
        <v>29</v>
      </c>
      <c r="AO24" s="1">
        <v>21</v>
      </c>
      <c r="AP24" s="1">
        <v>648</v>
      </c>
      <c r="AQ24" s="1">
        <v>0</v>
      </c>
      <c r="AR24" s="1">
        <v>1748</v>
      </c>
      <c r="AS24" s="1">
        <v>649</v>
      </c>
      <c r="AT24" s="1">
        <v>185</v>
      </c>
      <c r="AU24" s="1">
        <v>127805</v>
      </c>
      <c r="AV24" s="1">
        <v>3.6</v>
      </c>
    </row>
    <row r="25" spans="1:48">
      <c r="A25" s="1" t="s">
        <v>810</v>
      </c>
      <c r="B25" s="1" t="s">
        <v>209</v>
      </c>
      <c r="C25" s="1">
        <v>0.99221300000000001</v>
      </c>
      <c r="D25" s="1">
        <v>1369</v>
      </c>
      <c r="E25" s="1">
        <v>8467</v>
      </c>
      <c r="F25" s="1">
        <v>326</v>
      </c>
      <c r="G25" s="1">
        <v>2938187</v>
      </c>
      <c r="H25" s="1">
        <v>72.099999999999994</v>
      </c>
      <c r="I25" s="1">
        <v>1590</v>
      </c>
      <c r="J25" s="1">
        <v>9057</v>
      </c>
      <c r="K25" s="1">
        <v>100</v>
      </c>
      <c r="L25" s="1">
        <v>964088</v>
      </c>
      <c r="M25" s="1">
        <v>23.7</v>
      </c>
      <c r="N25" s="1">
        <v>1055</v>
      </c>
      <c r="O25" s="1">
        <v>297</v>
      </c>
      <c r="P25" s="1">
        <v>71</v>
      </c>
      <c r="Q25" s="1">
        <v>22446</v>
      </c>
      <c r="R25" s="1">
        <v>0.6</v>
      </c>
      <c r="S25" s="1">
        <v>1158</v>
      </c>
      <c r="T25" s="1">
        <v>1</v>
      </c>
      <c r="U25" s="1">
        <v>1</v>
      </c>
      <c r="V25" s="1">
        <v>1</v>
      </c>
      <c r="W25" s="1">
        <v>0</v>
      </c>
      <c r="X25" s="1">
        <v>1260</v>
      </c>
      <c r="Y25" s="1">
        <v>1</v>
      </c>
      <c r="Z25" s="1">
        <v>1</v>
      </c>
      <c r="AA25" s="1">
        <v>1</v>
      </c>
      <c r="AB25" s="1">
        <v>0</v>
      </c>
      <c r="AC25" s="1">
        <v>1400</v>
      </c>
      <c r="AD25" s="1">
        <v>1</v>
      </c>
      <c r="AE25" s="1">
        <v>1</v>
      </c>
      <c r="AF25" s="1">
        <v>1</v>
      </c>
      <c r="AG25" s="1">
        <v>0</v>
      </c>
      <c r="AH25" s="1">
        <v>1500</v>
      </c>
      <c r="AI25" s="1">
        <v>275</v>
      </c>
      <c r="AJ25" s="1">
        <v>19</v>
      </c>
      <c r="AK25" s="1">
        <v>5562</v>
      </c>
      <c r="AL25" s="1">
        <v>0.1</v>
      </c>
      <c r="AM25" s="1">
        <v>1594</v>
      </c>
      <c r="AN25" s="1">
        <v>1711</v>
      </c>
      <c r="AO25" s="1">
        <v>31</v>
      </c>
      <c r="AP25" s="1">
        <v>56460</v>
      </c>
      <c r="AQ25" s="1">
        <v>1.4</v>
      </c>
      <c r="AR25" s="1">
        <v>1730</v>
      </c>
      <c r="AS25" s="1">
        <v>725</v>
      </c>
      <c r="AT25" s="1">
        <v>113</v>
      </c>
      <c r="AU25" s="1">
        <v>87206</v>
      </c>
      <c r="AV25" s="1">
        <v>2.1</v>
      </c>
    </row>
    <row r="26" spans="1:48">
      <c r="A26" s="1" t="s">
        <v>811</v>
      </c>
      <c r="B26" s="1" t="s">
        <v>812</v>
      </c>
      <c r="C26" s="1">
        <v>0.98816800000000005</v>
      </c>
      <c r="D26" s="1">
        <v>1369</v>
      </c>
      <c r="E26" s="1">
        <v>8619</v>
      </c>
      <c r="F26" s="1">
        <v>302</v>
      </c>
      <c r="G26" s="1">
        <v>2770742</v>
      </c>
      <c r="H26" s="1">
        <v>64.900000000000006</v>
      </c>
      <c r="I26" s="1">
        <v>1590</v>
      </c>
      <c r="J26" s="1">
        <v>11577</v>
      </c>
      <c r="K26" s="1">
        <v>104</v>
      </c>
      <c r="L26" s="1">
        <v>1281627</v>
      </c>
      <c r="M26" s="1">
        <v>30</v>
      </c>
      <c r="N26" s="1">
        <v>1025</v>
      </c>
      <c r="O26" s="1">
        <v>263</v>
      </c>
      <c r="P26" s="1">
        <v>49</v>
      </c>
      <c r="Q26" s="1">
        <v>13718</v>
      </c>
      <c r="R26" s="1">
        <v>0.3</v>
      </c>
      <c r="S26" s="1">
        <v>1160</v>
      </c>
      <c r="T26" s="1">
        <v>29</v>
      </c>
      <c r="U26" s="1">
        <v>1</v>
      </c>
      <c r="V26" s="1">
        <v>31</v>
      </c>
      <c r="W26" s="1">
        <v>0</v>
      </c>
      <c r="X26" s="1">
        <v>1260</v>
      </c>
      <c r="Y26" s="1">
        <v>1</v>
      </c>
      <c r="Z26" s="1">
        <v>1</v>
      </c>
      <c r="AA26" s="1">
        <v>1</v>
      </c>
      <c r="AB26" s="1">
        <v>0</v>
      </c>
      <c r="AC26" s="1">
        <v>1456</v>
      </c>
      <c r="AD26" s="1">
        <v>267</v>
      </c>
      <c r="AE26" s="1">
        <v>107</v>
      </c>
      <c r="AF26" s="1">
        <v>30411</v>
      </c>
      <c r="AG26" s="1">
        <v>0.7</v>
      </c>
      <c r="AH26" s="1">
        <v>1498</v>
      </c>
      <c r="AI26" s="1">
        <v>317</v>
      </c>
      <c r="AJ26" s="1">
        <v>43</v>
      </c>
      <c r="AK26" s="1">
        <v>14510</v>
      </c>
      <c r="AL26" s="1">
        <v>0.3</v>
      </c>
      <c r="AM26" s="1">
        <v>1592</v>
      </c>
      <c r="AN26" s="1">
        <v>377</v>
      </c>
      <c r="AO26" s="1">
        <v>3</v>
      </c>
      <c r="AP26" s="1">
        <v>1204</v>
      </c>
      <c r="AQ26" s="1">
        <v>0</v>
      </c>
      <c r="AR26" s="1">
        <v>1732</v>
      </c>
      <c r="AS26" s="1">
        <v>1139</v>
      </c>
      <c r="AT26" s="1">
        <v>129</v>
      </c>
      <c r="AU26" s="1">
        <v>156403</v>
      </c>
      <c r="AV26" s="1">
        <v>3.7</v>
      </c>
    </row>
    <row r="27" spans="1:48">
      <c r="A27" s="1" t="s">
        <v>813</v>
      </c>
      <c r="B27" s="1" t="s">
        <v>814</v>
      </c>
      <c r="C27" s="1">
        <v>0.99150700000000003</v>
      </c>
      <c r="D27" s="1">
        <v>1369</v>
      </c>
      <c r="E27" s="1">
        <v>11851</v>
      </c>
      <c r="F27" s="1">
        <v>328</v>
      </c>
      <c r="G27" s="1">
        <v>4137720</v>
      </c>
      <c r="H27" s="1">
        <v>72.099999999999994</v>
      </c>
      <c r="I27" s="1">
        <v>1590</v>
      </c>
      <c r="J27" s="1">
        <v>12339</v>
      </c>
      <c r="K27" s="1">
        <v>100</v>
      </c>
      <c r="L27" s="1">
        <v>1313446</v>
      </c>
      <c r="M27" s="1">
        <v>22.9</v>
      </c>
      <c r="N27" s="1">
        <v>1041</v>
      </c>
      <c r="O27" s="1">
        <v>455</v>
      </c>
      <c r="P27" s="1">
        <v>79</v>
      </c>
      <c r="Q27" s="1">
        <v>38262</v>
      </c>
      <c r="R27" s="1">
        <v>0.7</v>
      </c>
      <c r="S27" s="1">
        <v>1158</v>
      </c>
      <c r="T27" s="1">
        <v>1</v>
      </c>
      <c r="U27" s="1">
        <v>1</v>
      </c>
      <c r="V27" s="1">
        <v>1</v>
      </c>
      <c r="W27" s="1">
        <v>0</v>
      </c>
      <c r="X27" s="1">
        <v>1298</v>
      </c>
      <c r="Y27" s="1">
        <v>55</v>
      </c>
      <c r="Z27" s="1">
        <v>1</v>
      </c>
      <c r="AA27" s="1">
        <v>59</v>
      </c>
      <c r="AB27" s="1">
        <v>0</v>
      </c>
      <c r="AC27" s="1">
        <v>1400</v>
      </c>
      <c r="AD27" s="1">
        <v>1</v>
      </c>
      <c r="AE27" s="1">
        <v>1</v>
      </c>
      <c r="AF27" s="1">
        <v>1</v>
      </c>
      <c r="AG27" s="1">
        <v>0</v>
      </c>
      <c r="AH27" s="1">
        <v>1494</v>
      </c>
      <c r="AI27" s="1">
        <v>155</v>
      </c>
      <c r="AJ27" s="1">
        <v>17</v>
      </c>
      <c r="AK27" s="1">
        <v>2805</v>
      </c>
      <c r="AL27" s="1">
        <v>0</v>
      </c>
      <c r="AM27" s="1">
        <v>1588</v>
      </c>
      <c r="AN27" s="1">
        <v>1797</v>
      </c>
      <c r="AO27" s="1">
        <v>33</v>
      </c>
      <c r="AP27" s="1">
        <v>63124</v>
      </c>
      <c r="AQ27" s="1">
        <v>1.1000000000000001</v>
      </c>
      <c r="AR27" s="1">
        <v>1746</v>
      </c>
      <c r="AS27" s="1">
        <v>861</v>
      </c>
      <c r="AT27" s="1">
        <v>199</v>
      </c>
      <c r="AU27" s="1">
        <v>182385</v>
      </c>
      <c r="AV27" s="1">
        <v>3.2</v>
      </c>
    </row>
    <row r="28" spans="1:48">
      <c r="A28" s="1" t="s">
        <v>815</v>
      </c>
      <c r="B28" s="1" t="s">
        <v>816</v>
      </c>
      <c r="C28" s="1">
        <v>0.99087400000000003</v>
      </c>
      <c r="D28" s="1">
        <v>1367</v>
      </c>
      <c r="E28" s="1">
        <v>3581</v>
      </c>
      <c r="F28" s="1">
        <v>280</v>
      </c>
      <c r="G28" s="1">
        <v>1067320</v>
      </c>
      <c r="H28" s="1">
        <v>63.1</v>
      </c>
      <c r="I28" s="1">
        <v>1596</v>
      </c>
      <c r="J28" s="1">
        <v>4751</v>
      </c>
      <c r="K28" s="1">
        <v>100</v>
      </c>
      <c r="L28" s="1">
        <v>505728</v>
      </c>
      <c r="M28" s="1">
        <v>29.9</v>
      </c>
      <c r="N28" s="1">
        <v>1073</v>
      </c>
      <c r="O28" s="1">
        <v>187</v>
      </c>
      <c r="P28" s="1">
        <v>123</v>
      </c>
      <c r="Q28" s="1">
        <v>24484</v>
      </c>
      <c r="R28" s="1">
        <v>1.4</v>
      </c>
      <c r="S28" s="1">
        <v>1174</v>
      </c>
      <c r="T28" s="1">
        <v>47</v>
      </c>
      <c r="U28" s="1">
        <v>51</v>
      </c>
      <c r="V28" s="1">
        <v>2552</v>
      </c>
      <c r="W28" s="1">
        <v>0.2</v>
      </c>
      <c r="X28" s="1">
        <v>1260</v>
      </c>
      <c r="Y28" s="1">
        <v>1</v>
      </c>
      <c r="Z28" s="1">
        <v>1</v>
      </c>
      <c r="AA28" s="1">
        <v>1</v>
      </c>
      <c r="AB28" s="1">
        <v>0</v>
      </c>
      <c r="AC28" s="1">
        <v>1402</v>
      </c>
      <c r="AD28" s="1">
        <v>107</v>
      </c>
      <c r="AE28" s="1">
        <v>89</v>
      </c>
      <c r="AF28" s="1">
        <v>10137</v>
      </c>
      <c r="AG28" s="1">
        <v>0.6</v>
      </c>
      <c r="AH28" s="1">
        <v>1494</v>
      </c>
      <c r="AI28" s="1">
        <v>95</v>
      </c>
      <c r="AJ28" s="1">
        <v>21</v>
      </c>
      <c r="AK28" s="1">
        <v>2124</v>
      </c>
      <c r="AL28" s="1">
        <v>0.1</v>
      </c>
      <c r="AM28" s="1">
        <v>1598</v>
      </c>
      <c r="AN28" s="1">
        <v>841</v>
      </c>
      <c r="AO28" s="1">
        <v>31</v>
      </c>
      <c r="AP28" s="1">
        <v>27752</v>
      </c>
      <c r="AQ28" s="1">
        <v>1.6</v>
      </c>
      <c r="AR28" s="1">
        <v>1728</v>
      </c>
      <c r="AS28" s="1">
        <v>471</v>
      </c>
      <c r="AT28" s="1">
        <v>101</v>
      </c>
      <c r="AU28" s="1">
        <v>50638</v>
      </c>
      <c r="AV28" s="1">
        <v>3</v>
      </c>
    </row>
    <row r="29" spans="1:48">
      <c r="A29" s="1" t="s">
        <v>817</v>
      </c>
      <c r="B29" s="1" t="s">
        <v>818</v>
      </c>
      <c r="C29" s="1">
        <v>0.90254299999999998</v>
      </c>
      <c r="D29" s="1">
        <v>1369</v>
      </c>
      <c r="E29" s="1">
        <v>6331</v>
      </c>
      <c r="F29" s="1">
        <v>340</v>
      </c>
      <c r="G29" s="1">
        <v>2291308</v>
      </c>
      <c r="H29" s="1">
        <v>75.5</v>
      </c>
      <c r="I29" s="1">
        <v>1592</v>
      </c>
      <c r="J29" s="1">
        <v>5643</v>
      </c>
      <c r="K29" s="1">
        <v>100</v>
      </c>
      <c r="L29" s="1">
        <v>600679</v>
      </c>
      <c r="M29" s="1">
        <v>19.8</v>
      </c>
      <c r="N29" s="1">
        <v>1041</v>
      </c>
      <c r="O29" s="1">
        <v>319</v>
      </c>
      <c r="P29" s="1">
        <v>87</v>
      </c>
      <c r="Q29" s="1">
        <v>29542</v>
      </c>
      <c r="R29" s="1">
        <v>1</v>
      </c>
      <c r="S29" s="1">
        <v>1158</v>
      </c>
      <c r="T29" s="1">
        <v>1</v>
      </c>
      <c r="U29" s="1">
        <v>1</v>
      </c>
      <c r="V29" s="1">
        <v>1</v>
      </c>
      <c r="W29" s="1">
        <v>0</v>
      </c>
      <c r="X29" s="1">
        <v>1298</v>
      </c>
      <c r="Y29" s="1">
        <v>145</v>
      </c>
      <c r="Z29" s="1">
        <v>1</v>
      </c>
      <c r="AA29" s="1">
        <v>154</v>
      </c>
      <c r="AB29" s="1">
        <v>0</v>
      </c>
      <c r="AC29" s="1">
        <v>1400</v>
      </c>
      <c r="AD29" s="1">
        <v>1</v>
      </c>
      <c r="AE29" s="1">
        <v>1</v>
      </c>
      <c r="AF29" s="1">
        <v>1</v>
      </c>
      <c r="AG29" s="1">
        <v>0</v>
      </c>
      <c r="AH29" s="1">
        <v>1494</v>
      </c>
      <c r="AI29" s="1">
        <v>53</v>
      </c>
      <c r="AJ29" s="1">
        <v>3</v>
      </c>
      <c r="AK29" s="1">
        <v>169</v>
      </c>
      <c r="AL29" s="1">
        <v>0</v>
      </c>
      <c r="AM29" s="1">
        <v>1598</v>
      </c>
      <c r="AN29" s="1">
        <v>1251</v>
      </c>
      <c r="AO29" s="1">
        <v>27</v>
      </c>
      <c r="AP29" s="1">
        <v>35955</v>
      </c>
      <c r="AQ29" s="1">
        <v>1.2</v>
      </c>
      <c r="AR29" s="1">
        <v>1736</v>
      </c>
      <c r="AS29" s="1">
        <v>525</v>
      </c>
      <c r="AT29" s="1">
        <v>141</v>
      </c>
      <c r="AU29" s="1">
        <v>78797</v>
      </c>
      <c r="AV29" s="1">
        <v>2.6</v>
      </c>
    </row>
    <row r="30" spans="1:48">
      <c r="A30" s="1" t="s">
        <v>819</v>
      </c>
      <c r="B30" s="1" t="s">
        <v>820</v>
      </c>
      <c r="C30" s="1">
        <v>0.98951999999999996</v>
      </c>
      <c r="D30" s="1">
        <v>1369</v>
      </c>
      <c r="E30" s="1">
        <v>3557</v>
      </c>
      <c r="F30" s="1">
        <v>308</v>
      </c>
      <c r="G30" s="1">
        <v>1166183</v>
      </c>
      <c r="H30" s="1">
        <v>68.099999999999994</v>
      </c>
      <c r="I30" s="1">
        <v>1594</v>
      </c>
      <c r="J30" s="1">
        <v>4263</v>
      </c>
      <c r="K30" s="1">
        <v>100</v>
      </c>
      <c r="L30" s="1">
        <v>453782</v>
      </c>
      <c r="M30" s="1">
        <v>26.5</v>
      </c>
      <c r="N30" s="1">
        <v>1049</v>
      </c>
      <c r="O30" s="1">
        <v>177</v>
      </c>
      <c r="P30" s="1">
        <v>109</v>
      </c>
      <c r="Q30" s="1">
        <v>20537</v>
      </c>
      <c r="R30" s="1">
        <v>1.2</v>
      </c>
      <c r="S30" s="1">
        <v>1152</v>
      </c>
      <c r="T30" s="1">
        <v>9</v>
      </c>
      <c r="U30" s="1">
        <v>5</v>
      </c>
      <c r="V30" s="1">
        <v>48</v>
      </c>
      <c r="W30" s="1">
        <v>0</v>
      </c>
      <c r="X30" s="1">
        <v>1260</v>
      </c>
      <c r="Y30" s="1">
        <v>1</v>
      </c>
      <c r="Z30" s="1">
        <v>1</v>
      </c>
      <c r="AA30" s="1">
        <v>1</v>
      </c>
      <c r="AB30" s="1">
        <v>0</v>
      </c>
      <c r="AC30" s="1">
        <v>1408</v>
      </c>
      <c r="AD30" s="1">
        <v>15</v>
      </c>
      <c r="AE30" s="1">
        <v>1</v>
      </c>
      <c r="AF30" s="1">
        <v>16</v>
      </c>
      <c r="AG30" s="1">
        <v>0</v>
      </c>
      <c r="AH30" s="1">
        <v>1528</v>
      </c>
      <c r="AI30" s="1">
        <v>133</v>
      </c>
      <c r="AJ30" s="1">
        <v>17</v>
      </c>
      <c r="AK30" s="1">
        <v>2407</v>
      </c>
      <c r="AL30" s="1">
        <v>0.1</v>
      </c>
      <c r="AM30" s="1">
        <v>1598</v>
      </c>
      <c r="AN30" s="1">
        <v>471</v>
      </c>
      <c r="AO30" s="1">
        <v>29</v>
      </c>
      <c r="AP30" s="1">
        <v>14540</v>
      </c>
      <c r="AQ30" s="1">
        <v>0.8</v>
      </c>
      <c r="AR30" s="1">
        <v>1736</v>
      </c>
      <c r="AS30" s="1">
        <v>371</v>
      </c>
      <c r="AT30" s="1">
        <v>139</v>
      </c>
      <c r="AU30" s="1">
        <v>54894</v>
      </c>
      <c r="AV30" s="1">
        <v>3.2</v>
      </c>
    </row>
    <row r="31" spans="1:48">
      <c r="A31" s="1" t="s">
        <v>821</v>
      </c>
      <c r="B31" s="1" t="s">
        <v>822</v>
      </c>
      <c r="C31" s="1">
        <v>0.98989899999999997</v>
      </c>
      <c r="D31" s="1">
        <v>1369</v>
      </c>
      <c r="E31" s="1">
        <v>4115</v>
      </c>
      <c r="F31" s="1">
        <v>278</v>
      </c>
      <c r="G31" s="1">
        <v>1217718</v>
      </c>
      <c r="H31" s="1">
        <v>61.4</v>
      </c>
      <c r="I31" s="1">
        <v>1596</v>
      </c>
      <c r="J31" s="1">
        <v>5759</v>
      </c>
      <c r="K31" s="1">
        <v>100</v>
      </c>
      <c r="L31" s="1">
        <v>613027</v>
      </c>
      <c r="M31" s="1">
        <v>30.9</v>
      </c>
      <c r="N31" s="1">
        <v>1073</v>
      </c>
      <c r="O31" s="1">
        <v>311</v>
      </c>
      <c r="P31" s="1">
        <v>131</v>
      </c>
      <c r="Q31" s="1">
        <v>43367</v>
      </c>
      <c r="R31" s="1">
        <v>2.2000000000000002</v>
      </c>
      <c r="S31" s="1">
        <v>1188</v>
      </c>
      <c r="T31" s="1">
        <v>21</v>
      </c>
      <c r="U31" s="1">
        <v>5</v>
      </c>
      <c r="V31" s="1">
        <v>112</v>
      </c>
      <c r="W31" s="1">
        <v>0</v>
      </c>
      <c r="X31" s="1">
        <v>1260</v>
      </c>
      <c r="Y31" s="1">
        <v>1</v>
      </c>
      <c r="Z31" s="1">
        <v>1</v>
      </c>
      <c r="AA31" s="1">
        <v>1</v>
      </c>
      <c r="AB31" s="1">
        <v>0</v>
      </c>
      <c r="AC31" s="1">
        <v>1434</v>
      </c>
      <c r="AD31" s="1">
        <v>201</v>
      </c>
      <c r="AE31" s="1">
        <v>93</v>
      </c>
      <c r="AF31" s="1">
        <v>19898</v>
      </c>
      <c r="AG31" s="1">
        <v>1</v>
      </c>
      <c r="AH31" s="1">
        <v>1494</v>
      </c>
      <c r="AI31" s="1">
        <v>43</v>
      </c>
      <c r="AJ31" s="1">
        <v>1</v>
      </c>
      <c r="AK31" s="1">
        <v>46</v>
      </c>
      <c r="AL31" s="1">
        <v>0</v>
      </c>
      <c r="AM31" s="1">
        <v>1592</v>
      </c>
      <c r="AN31" s="1">
        <v>611</v>
      </c>
      <c r="AO31" s="1">
        <v>21</v>
      </c>
      <c r="AP31" s="1">
        <v>13658</v>
      </c>
      <c r="AQ31" s="1">
        <v>0.7</v>
      </c>
      <c r="AR31" s="1">
        <v>1734</v>
      </c>
      <c r="AS31" s="1">
        <v>543</v>
      </c>
      <c r="AT31" s="1">
        <v>133</v>
      </c>
      <c r="AU31" s="1">
        <v>76875</v>
      </c>
      <c r="AV31" s="1">
        <v>3.9</v>
      </c>
    </row>
    <row r="32" spans="1:48">
      <c r="A32" s="1" t="s">
        <v>823</v>
      </c>
      <c r="B32" s="1" t="s">
        <v>824</v>
      </c>
      <c r="C32" s="1">
        <v>0.95929799999999998</v>
      </c>
      <c r="D32" s="1">
        <v>1369</v>
      </c>
      <c r="E32" s="1">
        <v>6059</v>
      </c>
      <c r="F32" s="1">
        <v>390</v>
      </c>
      <c r="G32" s="1">
        <v>2515346</v>
      </c>
      <c r="H32" s="1">
        <v>71.400000000000006</v>
      </c>
      <c r="I32" s="1">
        <v>1598</v>
      </c>
      <c r="J32" s="1">
        <v>5991</v>
      </c>
      <c r="K32" s="1">
        <v>100</v>
      </c>
      <c r="L32" s="1">
        <v>637722</v>
      </c>
      <c r="M32" s="1">
        <v>18.100000000000001</v>
      </c>
      <c r="N32" s="1">
        <v>1047</v>
      </c>
      <c r="O32" s="1">
        <v>647</v>
      </c>
      <c r="P32" s="1">
        <v>57</v>
      </c>
      <c r="Q32" s="1">
        <v>39256</v>
      </c>
      <c r="R32" s="1">
        <v>1.1000000000000001</v>
      </c>
      <c r="S32" s="1">
        <v>1158</v>
      </c>
      <c r="T32" s="1">
        <v>1</v>
      </c>
      <c r="U32" s="1">
        <v>1</v>
      </c>
      <c r="V32" s="1">
        <v>1</v>
      </c>
      <c r="W32" s="1">
        <v>0</v>
      </c>
      <c r="X32" s="1">
        <v>1296</v>
      </c>
      <c r="Y32" s="1">
        <v>91</v>
      </c>
      <c r="Z32" s="1">
        <v>1</v>
      </c>
      <c r="AA32" s="1">
        <v>97</v>
      </c>
      <c r="AB32" s="1">
        <v>0</v>
      </c>
      <c r="AC32" s="1">
        <v>1418</v>
      </c>
      <c r="AD32" s="1">
        <v>305</v>
      </c>
      <c r="AE32" s="1">
        <v>105</v>
      </c>
      <c r="AF32" s="1">
        <v>34090</v>
      </c>
      <c r="AG32" s="1">
        <v>1</v>
      </c>
      <c r="AH32" s="1">
        <v>1500</v>
      </c>
      <c r="AI32" s="1">
        <v>67</v>
      </c>
      <c r="AJ32" s="1">
        <v>1</v>
      </c>
      <c r="AK32" s="1">
        <v>71</v>
      </c>
      <c r="AL32" s="1">
        <v>0</v>
      </c>
      <c r="AM32" s="1">
        <v>1598</v>
      </c>
      <c r="AN32" s="1">
        <v>1111</v>
      </c>
      <c r="AO32" s="1">
        <v>29</v>
      </c>
      <c r="AP32" s="1">
        <v>34296</v>
      </c>
      <c r="AQ32" s="1">
        <v>1</v>
      </c>
      <c r="AR32" s="1">
        <v>1748</v>
      </c>
      <c r="AS32" s="1">
        <v>1241</v>
      </c>
      <c r="AT32" s="1">
        <v>199</v>
      </c>
      <c r="AU32" s="1">
        <v>262880</v>
      </c>
      <c r="AV32" s="1">
        <v>7.5</v>
      </c>
    </row>
    <row r="33" spans="1:48">
      <c r="A33" s="1" t="s">
        <v>825</v>
      </c>
      <c r="B33" s="1" t="s">
        <v>826</v>
      </c>
      <c r="C33" s="1">
        <v>0.99060099999999995</v>
      </c>
      <c r="D33" s="1">
        <v>1369</v>
      </c>
      <c r="E33" s="1">
        <v>8773</v>
      </c>
      <c r="F33" s="1">
        <v>288</v>
      </c>
      <c r="G33" s="1">
        <v>2689508</v>
      </c>
      <c r="H33" s="1">
        <v>64</v>
      </c>
      <c r="I33" s="1">
        <v>1594</v>
      </c>
      <c r="J33" s="1">
        <v>11867</v>
      </c>
      <c r="K33" s="1">
        <v>100</v>
      </c>
      <c r="L33" s="1">
        <v>1263203</v>
      </c>
      <c r="M33" s="1">
        <v>30.1</v>
      </c>
      <c r="N33" s="1">
        <v>1071</v>
      </c>
      <c r="O33" s="1">
        <v>511</v>
      </c>
      <c r="P33" s="1">
        <v>129</v>
      </c>
      <c r="Q33" s="1">
        <v>70169</v>
      </c>
      <c r="R33" s="1">
        <v>1.7</v>
      </c>
      <c r="S33" s="1">
        <v>1156</v>
      </c>
      <c r="T33" s="1">
        <v>65</v>
      </c>
      <c r="U33" s="1">
        <v>29</v>
      </c>
      <c r="V33" s="1">
        <v>2007</v>
      </c>
      <c r="W33" s="1">
        <v>0</v>
      </c>
      <c r="X33" s="1">
        <v>1260</v>
      </c>
      <c r="Y33" s="1">
        <v>1</v>
      </c>
      <c r="Z33" s="1">
        <v>1</v>
      </c>
      <c r="AA33" s="1">
        <v>1</v>
      </c>
      <c r="AB33" s="1">
        <v>0</v>
      </c>
      <c r="AC33" s="1">
        <v>1418</v>
      </c>
      <c r="AD33" s="1">
        <v>69</v>
      </c>
      <c r="AE33" s="1">
        <v>111</v>
      </c>
      <c r="AF33" s="1">
        <v>8153</v>
      </c>
      <c r="AG33" s="1">
        <v>0.2</v>
      </c>
      <c r="AH33" s="1">
        <v>1494</v>
      </c>
      <c r="AI33" s="1">
        <v>169</v>
      </c>
      <c r="AJ33" s="1">
        <v>1</v>
      </c>
      <c r="AK33" s="1">
        <v>180</v>
      </c>
      <c r="AL33" s="1">
        <v>0</v>
      </c>
      <c r="AM33" s="1">
        <v>1596</v>
      </c>
      <c r="AN33" s="1">
        <v>1031</v>
      </c>
      <c r="AO33" s="1">
        <v>31</v>
      </c>
      <c r="AP33" s="1">
        <v>34021</v>
      </c>
      <c r="AQ33" s="1">
        <v>0.8</v>
      </c>
      <c r="AR33" s="1">
        <v>1730</v>
      </c>
      <c r="AS33" s="1">
        <v>1149</v>
      </c>
      <c r="AT33" s="1">
        <v>109</v>
      </c>
      <c r="AU33" s="1">
        <v>133315</v>
      </c>
      <c r="AV33" s="1">
        <v>3.2</v>
      </c>
    </row>
    <row r="34" spans="1:48">
      <c r="A34" s="1" t="s">
        <v>827</v>
      </c>
      <c r="B34" s="1" t="s">
        <v>828</v>
      </c>
      <c r="C34" s="1">
        <v>0.98829</v>
      </c>
      <c r="D34" s="1">
        <v>1369</v>
      </c>
      <c r="E34" s="1">
        <v>12013</v>
      </c>
      <c r="F34" s="1">
        <v>314</v>
      </c>
      <c r="G34" s="1">
        <v>4015257</v>
      </c>
      <c r="H34" s="1">
        <v>68.5</v>
      </c>
      <c r="I34" s="1">
        <v>1590</v>
      </c>
      <c r="J34" s="1">
        <v>14755</v>
      </c>
      <c r="K34" s="1">
        <v>102</v>
      </c>
      <c r="L34" s="1">
        <v>1602034</v>
      </c>
      <c r="M34" s="1">
        <v>27.3</v>
      </c>
      <c r="N34" s="1">
        <v>1027</v>
      </c>
      <c r="O34" s="1">
        <v>413</v>
      </c>
      <c r="P34" s="1">
        <v>63</v>
      </c>
      <c r="Q34" s="1">
        <v>27696</v>
      </c>
      <c r="R34" s="1">
        <v>0.5</v>
      </c>
      <c r="S34" s="1">
        <v>1158</v>
      </c>
      <c r="T34" s="1">
        <v>1</v>
      </c>
      <c r="U34" s="1">
        <v>1</v>
      </c>
      <c r="V34" s="1">
        <v>1</v>
      </c>
      <c r="W34" s="1">
        <v>0</v>
      </c>
      <c r="X34" s="1">
        <v>1260</v>
      </c>
      <c r="Y34" s="1">
        <v>1</v>
      </c>
      <c r="Z34" s="1">
        <v>1</v>
      </c>
      <c r="AA34" s="1">
        <v>1</v>
      </c>
      <c r="AB34" s="1">
        <v>0</v>
      </c>
      <c r="AC34" s="1">
        <v>1450</v>
      </c>
      <c r="AD34" s="1">
        <v>63</v>
      </c>
      <c r="AE34" s="1">
        <v>123</v>
      </c>
      <c r="AF34" s="1">
        <v>8249</v>
      </c>
      <c r="AG34" s="1">
        <v>0.1</v>
      </c>
      <c r="AH34" s="1">
        <v>1494</v>
      </c>
      <c r="AI34" s="1">
        <v>339</v>
      </c>
      <c r="AJ34" s="1">
        <v>43</v>
      </c>
      <c r="AK34" s="1">
        <v>15517</v>
      </c>
      <c r="AL34" s="1">
        <v>0.3</v>
      </c>
      <c r="AM34" s="1">
        <v>1596</v>
      </c>
      <c r="AN34" s="1">
        <v>701</v>
      </c>
      <c r="AO34" s="1">
        <v>27</v>
      </c>
      <c r="AP34" s="1">
        <v>20147</v>
      </c>
      <c r="AQ34" s="1">
        <v>0.3</v>
      </c>
      <c r="AR34" s="1">
        <v>1726</v>
      </c>
      <c r="AS34" s="1">
        <v>1523</v>
      </c>
      <c r="AT34" s="1">
        <v>107</v>
      </c>
      <c r="AU34" s="1">
        <v>173467</v>
      </c>
      <c r="AV34" s="1">
        <v>3</v>
      </c>
    </row>
    <row r="35" spans="1:48">
      <c r="A35" s="1" t="s">
        <v>829</v>
      </c>
      <c r="B35" s="1" t="s">
        <v>830</v>
      </c>
      <c r="C35" s="1">
        <v>0.97620200000000001</v>
      </c>
      <c r="D35" s="1">
        <v>1369</v>
      </c>
      <c r="E35" s="1">
        <v>8257</v>
      </c>
      <c r="F35" s="1">
        <v>328</v>
      </c>
      <c r="G35" s="1">
        <v>2882892</v>
      </c>
      <c r="H35" s="1">
        <v>67.7</v>
      </c>
      <c r="I35" s="1">
        <v>1590</v>
      </c>
      <c r="J35" s="1">
        <v>9683</v>
      </c>
      <c r="K35" s="1">
        <v>100</v>
      </c>
      <c r="L35" s="1">
        <v>1030723</v>
      </c>
      <c r="M35" s="1">
        <v>24.2</v>
      </c>
      <c r="N35" s="1">
        <v>1027</v>
      </c>
      <c r="O35" s="1">
        <v>397</v>
      </c>
      <c r="P35" s="1">
        <v>67</v>
      </c>
      <c r="Q35" s="1">
        <v>28314</v>
      </c>
      <c r="R35" s="1">
        <v>0.7</v>
      </c>
      <c r="S35" s="1">
        <v>1158</v>
      </c>
      <c r="T35" s="1">
        <v>1</v>
      </c>
      <c r="U35" s="1">
        <v>1</v>
      </c>
      <c r="V35" s="1">
        <v>1</v>
      </c>
      <c r="W35" s="1">
        <v>0</v>
      </c>
      <c r="X35" s="1">
        <v>1260</v>
      </c>
      <c r="Y35" s="1">
        <v>1</v>
      </c>
      <c r="Z35" s="1">
        <v>1</v>
      </c>
      <c r="AA35" s="1">
        <v>1</v>
      </c>
      <c r="AB35" s="1">
        <v>0</v>
      </c>
      <c r="AC35" s="1">
        <v>1434</v>
      </c>
      <c r="AD35" s="1">
        <v>227</v>
      </c>
      <c r="AE35" s="1">
        <v>99</v>
      </c>
      <c r="AF35" s="1">
        <v>23922</v>
      </c>
      <c r="AG35" s="1">
        <v>0.6</v>
      </c>
      <c r="AH35" s="1">
        <v>1494</v>
      </c>
      <c r="AI35" s="1">
        <v>207</v>
      </c>
      <c r="AJ35" s="1">
        <v>1</v>
      </c>
      <c r="AK35" s="1">
        <v>220</v>
      </c>
      <c r="AL35" s="1">
        <v>0</v>
      </c>
      <c r="AM35" s="1">
        <v>1592</v>
      </c>
      <c r="AN35" s="1">
        <v>921</v>
      </c>
      <c r="AO35" s="1">
        <v>25</v>
      </c>
      <c r="AP35" s="1">
        <v>24509</v>
      </c>
      <c r="AQ35" s="1">
        <v>0.6</v>
      </c>
      <c r="AR35" s="1">
        <v>1740</v>
      </c>
      <c r="AS35" s="1">
        <v>1295</v>
      </c>
      <c r="AT35" s="1">
        <v>195</v>
      </c>
      <c r="AU35" s="1">
        <v>268805</v>
      </c>
      <c r="AV35" s="1">
        <v>6.3</v>
      </c>
    </row>
    <row r="36" spans="1:48">
      <c r="A36" s="1" t="s">
        <v>831</v>
      </c>
      <c r="B36" s="1" t="s">
        <v>832</v>
      </c>
      <c r="C36" s="1">
        <v>0.97885100000000003</v>
      </c>
      <c r="D36" s="1">
        <v>1369</v>
      </c>
      <c r="E36" s="1">
        <v>6831</v>
      </c>
      <c r="F36" s="1">
        <v>356</v>
      </c>
      <c r="G36" s="1">
        <v>2588609</v>
      </c>
      <c r="H36" s="1">
        <v>76.099999999999994</v>
      </c>
      <c r="I36" s="1">
        <v>1588</v>
      </c>
      <c r="J36" s="1">
        <v>6185</v>
      </c>
      <c r="K36" s="1">
        <v>100</v>
      </c>
      <c r="L36" s="1">
        <v>658373</v>
      </c>
      <c r="M36" s="1">
        <v>19.3</v>
      </c>
      <c r="N36" s="1">
        <v>1013</v>
      </c>
      <c r="O36" s="1">
        <v>121</v>
      </c>
      <c r="P36" s="1">
        <v>89</v>
      </c>
      <c r="Q36" s="1">
        <v>11463</v>
      </c>
      <c r="R36" s="1">
        <v>0.3</v>
      </c>
      <c r="S36" s="1">
        <v>1158</v>
      </c>
      <c r="T36" s="1">
        <v>1</v>
      </c>
      <c r="U36" s="1">
        <v>1</v>
      </c>
      <c r="V36" s="1">
        <v>1</v>
      </c>
      <c r="W36" s="1">
        <v>0</v>
      </c>
      <c r="X36" s="1">
        <v>1260</v>
      </c>
      <c r="Y36" s="1">
        <v>1</v>
      </c>
      <c r="Z36" s="1">
        <v>1</v>
      </c>
      <c r="AA36" s="1">
        <v>1</v>
      </c>
      <c r="AB36" s="1">
        <v>0</v>
      </c>
      <c r="AC36" s="1">
        <v>1406</v>
      </c>
      <c r="AD36" s="1">
        <v>13</v>
      </c>
      <c r="AE36" s="1">
        <v>1</v>
      </c>
      <c r="AF36" s="1">
        <v>14</v>
      </c>
      <c r="AG36" s="1">
        <v>0</v>
      </c>
      <c r="AH36" s="1">
        <v>1494</v>
      </c>
      <c r="AI36" s="1">
        <v>105</v>
      </c>
      <c r="AJ36" s="1">
        <v>27</v>
      </c>
      <c r="AK36" s="1">
        <v>3018</v>
      </c>
      <c r="AL36" s="1">
        <v>0.1</v>
      </c>
      <c r="AM36" s="1">
        <v>1598</v>
      </c>
      <c r="AN36" s="1">
        <v>809</v>
      </c>
      <c r="AO36" s="1">
        <v>25</v>
      </c>
      <c r="AP36" s="1">
        <v>21529</v>
      </c>
      <c r="AQ36" s="1">
        <v>0.6</v>
      </c>
      <c r="AR36" s="1">
        <v>1732</v>
      </c>
      <c r="AS36" s="1">
        <v>635</v>
      </c>
      <c r="AT36" s="1">
        <v>177</v>
      </c>
      <c r="AU36" s="1">
        <v>119641</v>
      </c>
      <c r="AV36" s="1">
        <v>3.5</v>
      </c>
    </row>
    <row r="37" spans="1:48">
      <c r="A37" s="1" t="s">
        <v>833</v>
      </c>
      <c r="B37" s="1" t="s">
        <v>834</v>
      </c>
      <c r="C37" s="1">
        <v>0.98213600000000001</v>
      </c>
      <c r="D37" s="1">
        <v>1369</v>
      </c>
      <c r="E37" s="1">
        <v>2249</v>
      </c>
      <c r="F37" s="1">
        <v>292</v>
      </c>
      <c r="G37" s="1">
        <v>699044</v>
      </c>
      <c r="H37" s="1">
        <v>65.599999999999994</v>
      </c>
      <c r="I37" s="1">
        <v>1592</v>
      </c>
      <c r="J37" s="1">
        <v>2391</v>
      </c>
      <c r="K37" s="1">
        <v>104</v>
      </c>
      <c r="L37" s="1">
        <v>264695</v>
      </c>
      <c r="M37" s="1">
        <v>24.8</v>
      </c>
      <c r="N37" s="1">
        <v>1073</v>
      </c>
      <c r="O37" s="1">
        <v>93</v>
      </c>
      <c r="P37" s="1">
        <v>101</v>
      </c>
      <c r="Q37" s="1">
        <v>9999</v>
      </c>
      <c r="R37" s="1">
        <v>0.9</v>
      </c>
      <c r="S37" s="1">
        <v>1174</v>
      </c>
      <c r="T37" s="1">
        <v>51</v>
      </c>
      <c r="U37" s="1">
        <v>1</v>
      </c>
      <c r="V37" s="1">
        <v>54</v>
      </c>
      <c r="W37" s="1">
        <v>0</v>
      </c>
      <c r="X37" s="1">
        <v>1292</v>
      </c>
      <c r="Y37" s="1">
        <v>81</v>
      </c>
      <c r="Z37" s="1">
        <v>1</v>
      </c>
      <c r="AA37" s="1">
        <v>86</v>
      </c>
      <c r="AB37" s="1">
        <v>0</v>
      </c>
      <c r="AC37" s="1">
        <v>1446</v>
      </c>
      <c r="AD37" s="1">
        <v>79</v>
      </c>
      <c r="AE37" s="1">
        <v>1</v>
      </c>
      <c r="AF37" s="1">
        <v>84</v>
      </c>
      <c r="AG37" s="1">
        <v>0</v>
      </c>
      <c r="AH37" s="1">
        <v>1494</v>
      </c>
      <c r="AI37" s="1">
        <v>187</v>
      </c>
      <c r="AJ37" s="1">
        <v>31</v>
      </c>
      <c r="AK37" s="1">
        <v>6171</v>
      </c>
      <c r="AL37" s="1">
        <v>0.6</v>
      </c>
      <c r="AM37" s="1">
        <v>1592</v>
      </c>
      <c r="AN37" s="1">
        <v>101</v>
      </c>
      <c r="AO37" s="1">
        <v>3</v>
      </c>
      <c r="AP37" s="1">
        <v>323</v>
      </c>
      <c r="AQ37" s="1">
        <v>0</v>
      </c>
      <c r="AR37" s="1">
        <v>1748</v>
      </c>
      <c r="AS37" s="1">
        <v>401</v>
      </c>
      <c r="AT37" s="1">
        <v>199</v>
      </c>
      <c r="AU37" s="1">
        <v>84943</v>
      </c>
      <c r="AV37" s="1">
        <v>8</v>
      </c>
    </row>
    <row r="38" spans="1:48">
      <c r="A38" s="1" t="s">
        <v>835</v>
      </c>
      <c r="B38" s="1" t="s">
        <v>836</v>
      </c>
      <c r="C38" s="1">
        <v>0.98035099999999997</v>
      </c>
      <c r="D38" s="1">
        <v>1369</v>
      </c>
      <c r="E38" s="1">
        <v>7263</v>
      </c>
      <c r="F38" s="1">
        <v>350</v>
      </c>
      <c r="G38" s="1">
        <v>2705928</v>
      </c>
      <c r="H38" s="1">
        <v>75.400000000000006</v>
      </c>
      <c r="I38" s="1">
        <v>1590</v>
      </c>
      <c r="J38" s="1">
        <v>6867</v>
      </c>
      <c r="K38" s="1">
        <v>102</v>
      </c>
      <c r="L38" s="1">
        <v>745589</v>
      </c>
      <c r="M38" s="1">
        <v>20.8</v>
      </c>
      <c r="N38" s="1">
        <v>1017</v>
      </c>
      <c r="O38" s="1">
        <v>217</v>
      </c>
      <c r="P38" s="1">
        <v>79</v>
      </c>
      <c r="Q38" s="1">
        <v>18248</v>
      </c>
      <c r="R38" s="1">
        <v>0.5</v>
      </c>
      <c r="S38" s="1">
        <v>1158</v>
      </c>
      <c r="T38" s="1">
        <v>1</v>
      </c>
      <c r="U38" s="1">
        <v>1</v>
      </c>
      <c r="V38" s="1">
        <v>1</v>
      </c>
      <c r="W38" s="1">
        <v>0</v>
      </c>
      <c r="X38" s="1">
        <v>1260</v>
      </c>
      <c r="Y38" s="1">
        <v>1</v>
      </c>
      <c r="Z38" s="1">
        <v>1</v>
      </c>
      <c r="AA38" s="1">
        <v>1</v>
      </c>
      <c r="AB38" s="1">
        <v>0</v>
      </c>
      <c r="AC38" s="1">
        <v>1404</v>
      </c>
      <c r="AD38" s="1">
        <v>27</v>
      </c>
      <c r="AE38" s="1">
        <v>1</v>
      </c>
      <c r="AF38" s="1">
        <v>29</v>
      </c>
      <c r="AG38" s="1">
        <v>0</v>
      </c>
      <c r="AH38" s="1">
        <v>1494</v>
      </c>
      <c r="AI38" s="1">
        <v>115</v>
      </c>
      <c r="AJ38" s="1">
        <v>31</v>
      </c>
      <c r="AK38" s="1">
        <v>3795</v>
      </c>
      <c r="AL38" s="1">
        <v>0.1</v>
      </c>
      <c r="AM38" s="1">
        <v>1598</v>
      </c>
      <c r="AN38" s="1">
        <v>769</v>
      </c>
      <c r="AO38" s="1">
        <v>27</v>
      </c>
      <c r="AP38" s="1">
        <v>22102</v>
      </c>
      <c r="AQ38" s="1">
        <v>0.6</v>
      </c>
      <c r="AR38" s="1">
        <v>1730</v>
      </c>
      <c r="AS38" s="1">
        <v>635</v>
      </c>
      <c r="AT38" s="1">
        <v>141</v>
      </c>
      <c r="AU38" s="1">
        <v>95307</v>
      </c>
      <c r="AV38" s="1">
        <v>2.7</v>
      </c>
    </row>
    <row r="39" spans="1:48">
      <c r="A39" s="1" t="s">
        <v>837</v>
      </c>
      <c r="B39" s="1" t="s">
        <v>838</v>
      </c>
      <c r="C39" s="1">
        <v>0.98541100000000004</v>
      </c>
      <c r="D39" s="1">
        <v>1369</v>
      </c>
      <c r="E39" s="1">
        <v>7797</v>
      </c>
      <c r="F39" s="1">
        <v>332</v>
      </c>
      <c r="G39" s="1">
        <v>2755484</v>
      </c>
      <c r="H39" s="1">
        <v>70.099999999999994</v>
      </c>
      <c r="I39" s="1">
        <v>1592</v>
      </c>
      <c r="J39" s="1">
        <v>9291</v>
      </c>
      <c r="K39" s="1">
        <v>100</v>
      </c>
      <c r="L39" s="1">
        <v>988996</v>
      </c>
      <c r="M39" s="1">
        <v>25.2</v>
      </c>
      <c r="N39" s="1">
        <v>1065</v>
      </c>
      <c r="O39" s="1">
        <v>207</v>
      </c>
      <c r="P39" s="1">
        <v>63</v>
      </c>
      <c r="Q39" s="1">
        <v>13882</v>
      </c>
      <c r="R39" s="1">
        <v>0.4</v>
      </c>
      <c r="S39" s="1">
        <v>1158</v>
      </c>
      <c r="T39" s="1">
        <v>1</v>
      </c>
      <c r="U39" s="1">
        <v>1</v>
      </c>
      <c r="V39" s="1">
        <v>1</v>
      </c>
      <c r="W39" s="1">
        <v>0</v>
      </c>
      <c r="X39" s="1">
        <v>1260</v>
      </c>
      <c r="Y39" s="1">
        <v>1</v>
      </c>
      <c r="Z39" s="1">
        <v>1</v>
      </c>
      <c r="AA39" s="1">
        <v>1</v>
      </c>
      <c r="AB39" s="1">
        <v>0</v>
      </c>
      <c r="AC39" s="1">
        <v>1408</v>
      </c>
      <c r="AD39" s="1">
        <v>15</v>
      </c>
      <c r="AE39" s="1">
        <v>91</v>
      </c>
      <c r="AF39" s="1">
        <v>1453</v>
      </c>
      <c r="AG39" s="1">
        <v>0</v>
      </c>
      <c r="AH39" s="1">
        <v>1500</v>
      </c>
      <c r="AI39" s="1">
        <v>51</v>
      </c>
      <c r="AJ39" s="1">
        <v>27</v>
      </c>
      <c r="AK39" s="1">
        <v>1466</v>
      </c>
      <c r="AL39" s="1">
        <v>0</v>
      </c>
      <c r="AM39" s="1">
        <v>1598</v>
      </c>
      <c r="AN39" s="1">
        <v>929</v>
      </c>
      <c r="AO39" s="1">
        <v>29</v>
      </c>
      <c r="AP39" s="1">
        <v>28678</v>
      </c>
      <c r="AQ39" s="1">
        <v>0.7</v>
      </c>
      <c r="AR39" s="1">
        <v>1730</v>
      </c>
      <c r="AS39" s="1">
        <v>961</v>
      </c>
      <c r="AT39" s="1">
        <v>135</v>
      </c>
      <c r="AU39" s="1">
        <v>138099</v>
      </c>
      <c r="AV39" s="1">
        <v>3.5</v>
      </c>
    </row>
    <row r="40" spans="1:48">
      <c r="A40" s="1" t="s">
        <v>839</v>
      </c>
      <c r="B40" s="1" t="s">
        <v>840</v>
      </c>
      <c r="C40" s="1">
        <v>0.98388699999999996</v>
      </c>
      <c r="D40" s="1">
        <v>1369</v>
      </c>
      <c r="E40" s="1">
        <v>12785</v>
      </c>
      <c r="F40" s="1">
        <v>318</v>
      </c>
      <c r="G40" s="1">
        <v>4327729</v>
      </c>
      <c r="H40" s="1">
        <v>66.400000000000006</v>
      </c>
      <c r="I40" s="1">
        <v>1586</v>
      </c>
      <c r="J40" s="1">
        <v>13715</v>
      </c>
      <c r="K40" s="1">
        <v>126</v>
      </c>
      <c r="L40" s="1">
        <v>1839495</v>
      </c>
      <c r="M40" s="1">
        <v>28.2</v>
      </c>
      <c r="N40" s="1">
        <v>1013</v>
      </c>
      <c r="O40" s="1">
        <v>293</v>
      </c>
      <c r="P40" s="1">
        <v>57</v>
      </c>
      <c r="Q40" s="1">
        <v>17778</v>
      </c>
      <c r="R40" s="1">
        <v>0.3</v>
      </c>
      <c r="S40" s="1">
        <v>1162</v>
      </c>
      <c r="T40" s="1">
        <v>1</v>
      </c>
      <c r="U40" s="1">
        <v>1</v>
      </c>
      <c r="V40" s="1">
        <v>1</v>
      </c>
      <c r="W40" s="1">
        <v>0</v>
      </c>
      <c r="X40" s="1">
        <v>1260</v>
      </c>
      <c r="Y40" s="1">
        <v>1</v>
      </c>
      <c r="Z40" s="1">
        <v>1</v>
      </c>
      <c r="AA40" s="1">
        <v>1</v>
      </c>
      <c r="AB40" s="1">
        <v>0</v>
      </c>
      <c r="AC40" s="1">
        <v>1434</v>
      </c>
      <c r="AD40" s="1">
        <v>259</v>
      </c>
      <c r="AE40" s="1">
        <v>107</v>
      </c>
      <c r="AF40" s="1">
        <v>29500</v>
      </c>
      <c r="AG40" s="1">
        <v>0.5</v>
      </c>
      <c r="AH40" s="1">
        <v>1480</v>
      </c>
      <c r="AI40" s="1">
        <v>651</v>
      </c>
      <c r="AJ40" s="1">
        <v>41</v>
      </c>
      <c r="AK40" s="1">
        <v>28412</v>
      </c>
      <c r="AL40" s="1">
        <v>0.4</v>
      </c>
      <c r="AM40" s="1">
        <v>1592</v>
      </c>
      <c r="AN40" s="1">
        <v>487</v>
      </c>
      <c r="AO40" s="1">
        <v>19</v>
      </c>
      <c r="AP40" s="1">
        <v>9850</v>
      </c>
      <c r="AQ40" s="1">
        <v>0.2</v>
      </c>
      <c r="AR40" s="1">
        <v>1748</v>
      </c>
      <c r="AS40" s="1">
        <v>2095</v>
      </c>
      <c r="AT40" s="1">
        <v>117</v>
      </c>
      <c r="AU40" s="1">
        <v>260917</v>
      </c>
      <c r="AV40" s="1">
        <v>4</v>
      </c>
    </row>
    <row r="41" spans="1:48">
      <c r="A41" s="1" t="s">
        <v>841</v>
      </c>
      <c r="B41" s="1" t="s">
        <v>842</v>
      </c>
      <c r="C41" s="1">
        <v>0.98446900000000004</v>
      </c>
      <c r="D41" s="1">
        <v>1369</v>
      </c>
      <c r="E41" s="1">
        <v>14011</v>
      </c>
      <c r="F41" s="1">
        <v>330</v>
      </c>
      <c r="G41" s="1">
        <v>4921702</v>
      </c>
      <c r="H41" s="1">
        <v>69.5</v>
      </c>
      <c r="I41" s="1">
        <v>1590</v>
      </c>
      <c r="J41" s="1">
        <v>16343</v>
      </c>
      <c r="K41" s="1">
        <v>102</v>
      </c>
      <c r="L41" s="1">
        <v>1774452</v>
      </c>
      <c r="M41" s="1">
        <v>25</v>
      </c>
      <c r="N41" s="1">
        <v>1027</v>
      </c>
      <c r="O41" s="1">
        <v>551</v>
      </c>
      <c r="P41" s="1">
        <v>65</v>
      </c>
      <c r="Q41" s="1">
        <v>38124</v>
      </c>
      <c r="R41" s="1">
        <v>0.5</v>
      </c>
      <c r="S41" s="1">
        <v>1158</v>
      </c>
      <c r="T41" s="1">
        <v>1</v>
      </c>
      <c r="U41" s="1">
        <v>1</v>
      </c>
      <c r="V41" s="1">
        <v>1</v>
      </c>
      <c r="W41" s="1">
        <v>0</v>
      </c>
      <c r="X41" s="1">
        <v>1260</v>
      </c>
      <c r="Y41" s="1">
        <v>1</v>
      </c>
      <c r="Z41" s="1">
        <v>1</v>
      </c>
      <c r="AA41" s="1">
        <v>1</v>
      </c>
      <c r="AB41" s="1">
        <v>0</v>
      </c>
      <c r="AC41" s="1">
        <v>1408</v>
      </c>
      <c r="AD41" s="1">
        <v>167</v>
      </c>
      <c r="AE41" s="1">
        <v>97</v>
      </c>
      <c r="AF41" s="1">
        <v>17243</v>
      </c>
      <c r="AG41" s="1">
        <v>0.2</v>
      </c>
      <c r="AH41" s="1">
        <v>1494</v>
      </c>
      <c r="AI41" s="1">
        <v>569</v>
      </c>
      <c r="AJ41" s="1">
        <v>7</v>
      </c>
      <c r="AK41" s="1">
        <v>4240</v>
      </c>
      <c r="AL41" s="1">
        <v>0.1</v>
      </c>
      <c r="AM41" s="1">
        <v>1598</v>
      </c>
      <c r="AN41" s="1">
        <v>1501</v>
      </c>
      <c r="AO41" s="1">
        <v>27</v>
      </c>
      <c r="AP41" s="1">
        <v>43140</v>
      </c>
      <c r="AQ41" s="1">
        <v>0.6</v>
      </c>
      <c r="AR41" s="1">
        <v>1736</v>
      </c>
      <c r="AS41" s="1">
        <v>1737</v>
      </c>
      <c r="AT41" s="1">
        <v>155</v>
      </c>
      <c r="AU41" s="1">
        <v>286592</v>
      </c>
      <c r="AV41" s="1">
        <v>4</v>
      </c>
    </row>
    <row r="42" spans="1:48">
      <c r="A42" s="1" t="s">
        <v>843</v>
      </c>
      <c r="B42" s="1" t="s">
        <v>844</v>
      </c>
      <c r="C42" s="1">
        <v>0.98425799999999997</v>
      </c>
      <c r="D42" s="1">
        <v>1369</v>
      </c>
      <c r="E42" s="1">
        <v>13527</v>
      </c>
      <c r="F42" s="1">
        <v>324</v>
      </c>
      <c r="G42" s="1">
        <v>4665291</v>
      </c>
      <c r="H42" s="1">
        <v>69</v>
      </c>
      <c r="I42" s="1">
        <v>1590</v>
      </c>
      <c r="J42" s="1">
        <v>16269</v>
      </c>
      <c r="K42" s="1">
        <v>102</v>
      </c>
      <c r="L42" s="1">
        <v>1766417</v>
      </c>
      <c r="M42" s="1">
        <v>26.1</v>
      </c>
      <c r="N42" s="1">
        <v>1037</v>
      </c>
      <c r="O42" s="1">
        <v>515</v>
      </c>
      <c r="P42" s="1">
        <v>61</v>
      </c>
      <c r="Q42" s="1">
        <v>33440</v>
      </c>
      <c r="R42" s="1">
        <v>0.5</v>
      </c>
      <c r="S42" s="1">
        <v>1158</v>
      </c>
      <c r="T42" s="1">
        <v>1</v>
      </c>
      <c r="U42" s="1">
        <v>1</v>
      </c>
      <c r="V42" s="1">
        <v>1</v>
      </c>
      <c r="W42" s="1">
        <v>0</v>
      </c>
      <c r="X42" s="1">
        <v>1260</v>
      </c>
      <c r="Y42" s="1">
        <v>1</v>
      </c>
      <c r="Z42" s="1">
        <v>1</v>
      </c>
      <c r="AA42" s="1">
        <v>1</v>
      </c>
      <c r="AB42" s="1">
        <v>0</v>
      </c>
      <c r="AC42" s="1">
        <v>1456</v>
      </c>
      <c r="AD42" s="1">
        <v>233</v>
      </c>
      <c r="AE42" s="1">
        <v>131</v>
      </c>
      <c r="AF42" s="1">
        <v>32491</v>
      </c>
      <c r="AG42" s="1">
        <v>0.5</v>
      </c>
      <c r="AH42" s="1">
        <v>1494</v>
      </c>
      <c r="AI42" s="1">
        <v>401</v>
      </c>
      <c r="AJ42" s="1">
        <v>27</v>
      </c>
      <c r="AK42" s="1">
        <v>11525</v>
      </c>
      <c r="AL42" s="1">
        <v>0.2</v>
      </c>
      <c r="AM42" s="1">
        <v>1598</v>
      </c>
      <c r="AN42" s="1">
        <v>883</v>
      </c>
      <c r="AO42" s="1">
        <v>29</v>
      </c>
      <c r="AP42" s="1">
        <v>27258</v>
      </c>
      <c r="AQ42" s="1">
        <v>0.4</v>
      </c>
      <c r="AR42" s="1">
        <v>1736</v>
      </c>
      <c r="AS42" s="1">
        <v>1529</v>
      </c>
      <c r="AT42" s="1">
        <v>139</v>
      </c>
      <c r="AU42" s="1">
        <v>226232</v>
      </c>
      <c r="AV42" s="1">
        <v>3.3</v>
      </c>
    </row>
    <row r="43" spans="1:48">
      <c r="A43" s="1" t="s">
        <v>845</v>
      </c>
      <c r="B43" s="1" t="s">
        <v>846</v>
      </c>
      <c r="C43" s="1">
        <v>0.98850499999999997</v>
      </c>
      <c r="D43" s="1">
        <v>1367</v>
      </c>
      <c r="E43" s="1">
        <v>7249</v>
      </c>
      <c r="F43" s="1">
        <v>328</v>
      </c>
      <c r="G43" s="1">
        <v>2530953</v>
      </c>
      <c r="H43" s="1">
        <v>71.400000000000006</v>
      </c>
      <c r="I43" s="1">
        <v>1590</v>
      </c>
      <c r="J43" s="1">
        <v>7947</v>
      </c>
      <c r="K43" s="1">
        <v>102</v>
      </c>
      <c r="L43" s="1">
        <v>862851</v>
      </c>
      <c r="M43" s="1">
        <v>24.3</v>
      </c>
      <c r="N43" s="1">
        <v>1035</v>
      </c>
      <c r="O43" s="1">
        <v>217</v>
      </c>
      <c r="P43" s="1">
        <v>55</v>
      </c>
      <c r="Q43" s="1">
        <v>12704</v>
      </c>
      <c r="R43" s="1">
        <v>0.4</v>
      </c>
      <c r="S43" s="1">
        <v>1158</v>
      </c>
      <c r="T43" s="1">
        <v>1</v>
      </c>
      <c r="U43" s="1">
        <v>1</v>
      </c>
      <c r="V43" s="1">
        <v>1</v>
      </c>
      <c r="W43" s="1">
        <v>0</v>
      </c>
      <c r="X43" s="1">
        <v>1260</v>
      </c>
      <c r="Y43" s="1">
        <v>1</v>
      </c>
      <c r="Z43" s="1">
        <v>1</v>
      </c>
      <c r="AA43" s="1">
        <v>1</v>
      </c>
      <c r="AB43" s="1">
        <v>0</v>
      </c>
      <c r="AC43" s="1">
        <v>1456</v>
      </c>
      <c r="AD43" s="1">
        <v>187</v>
      </c>
      <c r="AE43" s="1">
        <v>3</v>
      </c>
      <c r="AF43" s="1">
        <v>597</v>
      </c>
      <c r="AG43" s="1">
        <v>0</v>
      </c>
      <c r="AH43" s="1">
        <v>1494</v>
      </c>
      <c r="AI43" s="1">
        <v>169</v>
      </c>
      <c r="AJ43" s="1">
        <v>41</v>
      </c>
      <c r="AK43" s="1">
        <v>7376</v>
      </c>
      <c r="AL43" s="1">
        <v>0.2</v>
      </c>
      <c r="AM43" s="1">
        <v>1596</v>
      </c>
      <c r="AN43" s="1">
        <v>471</v>
      </c>
      <c r="AO43" s="1">
        <v>29</v>
      </c>
      <c r="AP43" s="1">
        <v>14540</v>
      </c>
      <c r="AQ43" s="1">
        <v>0.4</v>
      </c>
      <c r="AR43" s="1">
        <v>1732</v>
      </c>
      <c r="AS43" s="1">
        <v>725</v>
      </c>
      <c r="AT43" s="1">
        <v>153</v>
      </c>
      <c r="AU43" s="1">
        <v>118076</v>
      </c>
      <c r="AV43" s="1">
        <v>3.3</v>
      </c>
    </row>
    <row r="44" spans="1:48">
      <c r="A44" s="1" t="s">
        <v>847</v>
      </c>
      <c r="B44" s="1" t="s">
        <v>848</v>
      </c>
      <c r="C44" s="1">
        <v>0.98143199999999997</v>
      </c>
      <c r="D44" s="1">
        <v>1369</v>
      </c>
      <c r="E44" s="1">
        <v>6227</v>
      </c>
      <c r="F44" s="1">
        <v>328</v>
      </c>
      <c r="G44" s="1">
        <v>2174127</v>
      </c>
      <c r="H44" s="1">
        <v>67.2</v>
      </c>
      <c r="I44" s="1">
        <v>1590</v>
      </c>
      <c r="J44" s="1">
        <v>8025</v>
      </c>
      <c r="K44" s="1">
        <v>106</v>
      </c>
      <c r="L44" s="1">
        <v>905489</v>
      </c>
      <c r="M44" s="1">
        <v>28</v>
      </c>
      <c r="N44" s="1">
        <v>1025</v>
      </c>
      <c r="O44" s="1">
        <v>447</v>
      </c>
      <c r="P44" s="1">
        <v>27</v>
      </c>
      <c r="Q44" s="1">
        <v>12847</v>
      </c>
      <c r="R44" s="1">
        <v>0.4</v>
      </c>
      <c r="S44" s="1">
        <v>1158</v>
      </c>
      <c r="T44" s="1">
        <v>1</v>
      </c>
      <c r="U44" s="1">
        <v>1</v>
      </c>
      <c r="V44" s="1">
        <v>1</v>
      </c>
      <c r="W44" s="1">
        <v>0</v>
      </c>
      <c r="X44" s="1">
        <v>1260</v>
      </c>
      <c r="Y44" s="1">
        <v>1</v>
      </c>
      <c r="Z44" s="1">
        <v>1</v>
      </c>
      <c r="AA44" s="1">
        <v>1</v>
      </c>
      <c r="AB44" s="1">
        <v>0</v>
      </c>
      <c r="AC44" s="1">
        <v>1418</v>
      </c>
      <c r="AD44" s="1">
        <v>305</v>
      </c>
      <c r="AE44" s="1">
        <v>87</v>
      </c>
      <c r="AF44" s="1">
        <v>28246</v>
      </c>
      <c r="AG44" s="1">
        <v>0.9</v>
      </c>
      <c r="AH44" s="1">
        <v>1500</v>
      </c>
      <c r="AI44" s="1">
        <v>457</v>
      </c>
      <c r="AJ44" s="1">
        <v>53</v>
      </c>
      <c r="AK44" s="1">
        <v>25782</v>
      </c>
      <c r="AL44" s="1">
        <v>0.8</v>
      </c>
      <c r="AM44" s="1">
        <v>1598</v>
      </c>
      <c r="AN44" s="1">
        <v>287</v>
      </c>
      <c r="AO44" s="1">
        <v>3</v>
      </c>
      <c r="AP44" s="1">
        <v>917</v>
      </c>
      <c r="AQ44" s="1">
        <v>0</v>
      </c>
      <c r="AR44" s="1">
        <v>1734</v>
      </c>
      <c r="AS44" s="1">
        <v>825</v>
      </c>
      <c r="AT44" s="1">
        <v>99</v>
      </c>
      <c r="AU44" s="1">
        <v>86940</v>
      </c>
      <c r="AV44" s="1">
        <v>2.7</v>
      </c>
    </row>
    <row r="45" spans="1:48">
      <c r="A45" s="1" t="s">
        <v>849</v>
      </c>
      <c r="B45" s="1" t="s">
        <v>476</v>
      </c>
      <c r="C45" s="1">
        <v>0.98155800000000004</v>
      </c>
      <c r="D45" s="1">
        <v>1369</v>
      </c>
      <c r="E45" s="1">
        <v>10527</v>
      </c>
      <c r="F45" s="1">
        <v>288</v>
      </c>
      <c r="G45" s="1">
        <v>3227226</v>
      </c>
      <c r="H45" s="1">
        <v>63.1</v>
      </c>
      <c r="I45" s="1">
        <v>1592</v>
      </c>
      <c r="J45" s="1">
        <v>14343</v>
      </c>
      <c r="K45" s="1">
        <v>102</v>
      </c>
      <c r="L45" s="1">
        <v>1557300</v>
      </c>
      <c r="M45" s="1">
        <v>30.4</v>
      </c>
      <c r="N45" s="1">
        <v>1047</v>
      </c>
      <c r="O45" s="1">
        <v>193</v>
      </c>
      <c r="P45" s="1">
        <v>59</v>
      </c>
      <c r="Q45" s="1">
        <v>12121</v>
      </c>
      <c r="R45" s="1">
        <v>0.2</v>
      </c>
      <c r="S45" s="1">
        <v>1156</v>
      </c>
      <c r="T45" s="1">
        <v>95</v>
      </c>
      <c r="U45" s="1">
        <v>37</v>
      </c>
      <c r="V45" s="1">
        <v>3742</v>
      </c>
      <c r="W45" s="1">
        <v>0.1</v>
      </c>
      <c r="X45" s="1">
        <v>1260</v>
      </c>
      <c r="Y45" s="1">
        <v>1</v>
      </c>
      <c r="Z45" s="1">
        <v>1</v>
      </c>
      <c r="AA45" s="1">
        <v>1</v>
      </c>
      <c r="AB45" s="1">
        <v>0</v>
      </c>
      <c r="AC45" s="1">
        <v>1434</v>
      </c>
      <c r="AD45" s="1">
        <v>119</v>
      </c>
      <c r="AE45" s="1">
        <v>115</v>
      </c>
      <c r="AF45" s="1">
        <v>14567</v>
      </c>
      <c r="AG45" s="1">
        <v>0.3</v>
      </c>
      <c r="AH45" s="1">
        <v>1488</v>
      </c>
      <c r="AI45" s="1">
        <v>873</v>
      </c>
      <c r="AJ45" s="1">
        <v>45</v>
      </c>
      <c r="AK45" s="1">
        <v>41818</v>
      </c>
      <c r="AL45" s="1">
        <v>0.8</v>
      </c>
      <c r="AM45" s="1">
        <v>1592</v>
      </c>
      <c r="AN45" s="1">
        <v>407</v>
      </c>
      <c r="AO45" s="1">
        <v>23</v>
      </c>
      <c r="AP45" s="1">
        <v>9964</v>
      </c>
      <c r="AQ45" s="1">
        <v>0.2</v>
      </c>
      <c r="AR45" s="1">
        <v>1732</v>
      </c>
      <c r="AS45" s="1">
        <v>1511</v>
      </c>
      <c r="AT45" s="1">
        <v>155</v>
      </c>
      <c r="AU45" s="1">
        <v>249304</v>
      </c>
      <c r="AV45" s="1">
        <v>4.9000000000000004</v>
      </c>
    </row>
    <row r="46" spans="1:48">
      <c r="A46" s="1" t="s">
        <v>850</v>
      </c>
      <c r="B46" s="1" t="s">
        <v>851</v>
      </c>
      <c r="C46" s="1">
        <v>0.98946800000000001</v>
      </c>
      <c r="D46" s="1">
        <v>1369</v>
      </c>
      <c r="E46" s="1">
        <v>3159</v>
      </c>
      <c r="F46" s="1">
        <v>296</v>
      </c>
      <c r="G46" s="1">
        <v>995345</v>
      </c>
      <c r="H46" s="1">
        <v>63.1</v>
      </c>
      <c r="I46" s="1">
        <v>1596</v>
      </c>
      <c r="J46" s="1">
        <v>4231</v>
      </c>
      <c r="K46" s="1">
        <v>100</v>
      </c>
      <c r="L46" s="1">
        <v>450376</v>
      </c>
      <c r="M46" s="1">
        <v>28.5</v>
      </c>
      <c r="N46" s="1">
        <v>1051</v>
      </c>
      <c r="O46" s="1">
        <v>245</v>
      </c>
      <c r="P46" s="1">
        <v>147</v>
      </c>
      <c r="Q46" s="1">
        <v>38337</v>
      </c>
      <c r="R46" s="1">
        <v>2.4</v>
      </c>
      <c r="S46" s="1">
        <v>1174</v>
      </c>
      <c r="T46" s="1">
        <v>27</v>
      </c>
      <c r="U46" s="1">
        <v>31</v>
      </c>
      <c r="V46" s="1">
        <v>891</v>
      </c>
      <c r="W46" s="1">
        <v>0.1</v>
      </c>
      <c r="X46" s="1">
        <v>1260</v>
      </c>
      <c r="Y46" s="1">
        <v>1</v>
      </c>
      <c r="Z46" s="1">
        <v>1</v>
      </c>
      <c r="AA46" s="1">
        <v>1</v>
      </c>
      <c r="AB46" s="1">
        <v>0</v>
      </c>
      <c r="AC46" s="1">
        <v>1418</v>
      </c>
      <c r="AD46" s="1">
        <v>81</v>
      </c>
      <c r="AE46" s="1">
        <v>113</v>
      </c>
      <c r="AF46" s="1">
        <v>9743</v>
      </c>
      <c r="AG46" s="1">
        <v>0.6</v>
      </c>
      <c r="AH46" s="1">
        <v>1494</v>
      </c>
      <c r="AI46" s="1">
        <v>107</v>
      </c>
      <c r="AJ46" s="1">
        <v>1</v>
      </c>
      <c r="AK46" s="1">
        <v>114</v>
      </c>
      <c r="AL46" s="1">
        <v>0</v>
      </c>
      <c r="AM46" s="1">
        <v>1598</v>
      </c>
      <c r="AN46" s="1">
        <v>599</v>
      </c>
      <c r="AO46" s="1">
        <v>31</v>
      </c>
      <c r="AP46" s="1">
        <v>19766</v>
      </c>
      <c r="AQ46" s="1">
        <v>1.3</v>
      </c>
      <c r="AR46" s="1">
        <v>1740</v>
      </c>
      <c r="AS46" s="1">
        <v>383</v>
      </c>
      <c r="AT46" s="1">
        <v>157</v>
      </c>
      <c r="AU46" s="1">
        <v>64007</v>
      </c>
      <c r="AV46" s="1">
        <v>4.0999999999999996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1593-107D-4FA0-BB2A-DB55DB2EE4A5}">
  <dimension ref="A1:AX415"/>
  <sheetViews>
    <sheetView topLeftCell="A343" workbookViewId="0">
      <selection activeCell="A362" sqref="A362:XFD363"/>
    </sheetView>
  </sheetViews>
  <sheetFormatPr defaultRowHeight="14.45"/>
  <cols>
    <col min="1" max="1" width="99.5703125" bestFit="1" customWidth="1"/>
    <col min="2" max="2" width="15.5703125" customWidth="1"/>
    <col min="3" max="3" width="14" customWidth="1"/>
    <col min="4" max="4" width="13.42578125" bestFit="1" customWidth="1"/>
  </cols>
  <sheetData>
    <row r="1" spans="1:50">
      <c r="A1" t="str">
        <f>'Corrale Swamp'!A1</f>
        <v>File</v>
      </c>
      <c r="B1" t="s">
        <v>852</v>
      </c>
      <c r="C1" t="s">
        <v>853</v>
      </c>
      <c r="D1" t="str">
        <f>'Corrale Swamp'!B1</f>
        <v xml:space="preserve"> Std Err</v>
      </c>
      <c r="E1" t="str">
        <f>'Corrale Swamp'!C1</f>
        <v xml:space="preserve"> R_sqrd</v>
      </c>
      <c r="F1" t="str">
        <f>'Corrale Swamp'!D1</f>
        <v xml:space="preserve"> D pos</v>
      </c>
      <c r="G1" t="str">
        <f>'Corrale Swamp'!E1</f>
        <v xml:space="preserve"> D ht</v>
      </c>
      <c r="H1" t="str">
        <f>'Corrale Swamp'!F1</f>
        <v xml:space="preserve"> D fwhm</v>
      </c>
      <c r="I1" t="str">
        <f>'Corrale Swamp'!G1</f>
        <v xml:space="preserve"> D area</v>
      </c>
      <c r="J1" t="str">
        <f>'Corrale Swamp'!H1</f>
        <v xml:space="preserve"> D %area</v>
      </c>
      <c r="K1" t="str">
        <f>'Corrale Swamp'!I1</f>
        <v xml:space="preserve"> G_G pos</v>
      </c>
      <c r="L1" t="str">
        <f>'Corrale Swamp'!J1</f>
        <v xml:space="preserve"> G_G ht</v>
      </c>
      <c r="M1" t="str">
        <f>'Corrale Swamp'!K1</f>
        <v xml:space="preserve"> G_G fwhm</v>
      </c>
      <c r="N1" t="str">
        <f>'Corrale Swamp'!L1</f>
        <v xml:space="preserve"> G_G area</v>
      </c>
      <c r="O1" t="str">
        <f>'Corrale Swamp'!M1</f>
        <v xml:space="preserve"> G_G %area</v>
      </c>
      <c r="P1" t="str">
        <f>'Corrale Swamp'!N1</f>
        <v xml:space="preserve"> S_L pos</v>
      </c>
      <c r="Q1" t="str">
        <f>'Corrale Swamp'!O1</f>
        <v xml:space="preserve"> S_L ht</v>
      </c>
      <c r="R1" t="str">
        <f>'Corrale Swamp'!P1</f>
        <v xml:space="preserve"> S_L fwhm</v>
      </c>
      <c r="S1" t="str">
        <f>'Corrale Swamp'!Q1</f>
        <v xml:space="preserve"> S_L area</v>
      </c>
      <c r="T1" t="str">
        <f>'Corrale Swamp'!R1</f>
        <v xml:space="preserve"> S_L %area</v>
      </c>
      <c r="U1" t="str">
        <f>'Corrale Swamp'!S1</f>
        <v xml:space="preserve"> S pos</v>
      </c>
      <c r="V1" t="str">
        <f>'Corrale Swamp'!T1</f>
        <v xml:space="preserve"> S ht</v>
      </c>
      <c r="W1" t="str">
        <f>'Corrale Swamp'!U1</f>
        <v xml:space="preserve"> S fwhm</v>
      </c>
      <c r="X1" t="str">
        <f>'Corrale Swamp'!V1</f>
        <v xml:space="preserve"> S area</v>
      </c>
      <c r="Y1" t="str">
        <f>'Corrale Swamp'!W1</f>
        <v xml:space="preserve"> S %area</v>
      </c>
      <c r="Z1" t="str">
        <f>'Corrale Swamp'!X1</f>
        <v xml:space="preserve"> D_S pos</v>
      </c>
      <c r="AA1" t="str">
        <f>'Corrale Swamp'!Y1</f>
        <v xml:space="preserve"> D_S ht</v>
      </c>
      <c r="AB1" t="str">
        <f>'Corrale Swamp'!Z1</f>
        <v xml:space="preserve"> D_S fwhm</v>
      </c>
      <c r="AC1" t="str">
        <f>'Corrale Swamp'!AA1</f>
        <v xml:space="preserve"> D_S area</v>
      </c>
      <c r="AD1" t="str">
        <f>'Corrale Swamp'!AB1</f>
        <v xml:space="preserve"> D_S %area</v>
      </c>
      <c r="AE1" t="str">
        <f>'Corrale Swamp'!AC1</f>
        <v xml:space="preserve"> A_1 pos</v>
      </c>
      <c r="AF1" t="str">
        <f>'Corrale Swamp'!AD1</f>
        <v xml:space="preserve"> A_1 ht</v>
      </c>
      <c r="AG1" t="str">
        <f>'Corrale Swamp'!AE1</f>
        <v xml:space="preserve"> A_1 fwhm</v>
      </c>
      <c r="AH1" t="str">
        <f>'Corrale Swamp'!AF1</f>
        <v xml:space="preserve"> A_1 area</v>
      </c>
      <c r="AI1" t="str">
        <f>'Corrale Swamp'!AG1</f>
        <v xml:space="preserve"> A_1 %area</v>
      </c>
      <c r="AJ1" t="str">
        <f>'Corrale Swamp'!AH1</f>
        <v xml:space="preserve"> A_2 pos</v>
      </c>
      <c r="AK1" t="str">
        <f>'Corrale Swamp'!AI1</f>
        <v xml:space="preserve"> A_2 ht</v>
      </c>
      <c r="AL1" t="str">
        <f>'Corrale Swamp'!AJ1</f>
        <v xml:space="preserve"> A_2 fwhm</v>
      </c>
      <c r="AM1" t="str">
        <f>'Corrale Swamp'!AK1</f>
        <v xml:space="preserve"> A_2 area</v>
      </c>
      <c r="AN1" t="str">
        <f>'Corrale Swamp'!AL1</f>
        <v xml:space="preserve"> A_2 %area</v>
      </c>
      <c r="AO1" t="str">
        <f>'Corrale Swamp'!AM1</f>
        <v xml:space="preserve"> G_L pos</v>
      </c>
      <c r="AP1" t="str">
        <f>'Corrale Swamp'!AN1</f>
        <v xml:space="preserve"> G_L ht</v>
      </c>
      <c r="AQ1" t="str">
        <f>'Corrale Swamp'!AO1</f>
        <v xml:space="preserve"> G_L fwhm</v>
      </c>
      <c r="AR1" t="str">
        <f>'Corrale Swamp'!AP1</f>
        <v xml:space="preserve"> G_L area</v>
      </c>
      <c r="AS1" t="str">
        <f>'Corrale Swamp'!AQ1</f>
        <v xml:space="preserve"> G_L %area</v>
      </c>
      <c r="AT1" t="str">
        <f>'Corrale Swamp'!AR1</f>
        <v xml:space="preserve"> C pos</v>
      </c>
      <c r="AU1" t="str">
        <f>'Corrale Swamp'!AS1</f>
        <v xml:space="preserve"> C ht</v>
      </c>
      <c r="AV1" t="str">
        <f>'Corrale Swamp'!AT1</f>
        <v xml:space="preserve"> C fwhm</v>
      </c>
      <c r="AW1" t="str">
        <f>'Corrale Swamp'!AU1</f>
        <v xml:space="preserve"> C area</v>
      </c>
      <c r="AX1" t="str">
        <f>'Corrale Swamp'!AV1</f>
        <v xml:space="preserve"> C %area</v>
      </c>
    </row>
    <row r="2" spans="1:50">
      <c r="A2" t="str">
        <f>'Corrale Swamp'!A2</f>
        <v>/Users/christophermarjo/Documents/Python/Projects/data/bushfire Raman/Corrale Swamp/CS 0.5 (1)</v>
      </c>
      <c r="B2" t="s">
        <v>854</v>
      </c>
      <c r="C2">
        <v>0.5</v>
      </c>
      <c r="D2" t="str">
        <f>'Corrale Swamp'!B2</f>
        <v>7.16 counts</v>
      </c>
      <c r="E2">
        <f>'Corrale Swamp'!C2</f>
        <v>0.98339699999999997</v>
      </c>
      <c r="F2">
        <f>'Corrale Swamp'!D2</f>
        <v>1369</v>
      </c>
      <c r="G2">
        <f>'Corrale Swamp'!E2</f>
        <v>3963</v>
      </c>
      <c r="H2">
        <f>'Corrale Swamp'!F2</f>
        <v>326</v>
      </c>
      <c r="I2">
        <f>'Corrale Swamp'!G2</f>
        <v>1375225</v>
      </c>
      <c r="J2">
        <f>'Corrale Swamp'!H2</f>
        <v>74.3</v>
      </c>
      <c r="K2">
        <f>'Corrale Swamp'!I2</f>
        <v>1590</v>
      </c>
      <c r="L2">
        <f>'Corrale Swamp'!J2</f>
        <v>3613</v>
      </c>
      <c r="M2">
        <f>'Corrale Swamp'!K2</f>
        <v>102</v>
      </c>
      <c r="N2">
        <f>'Corrale Swamp'!L2</f>
        <v>392284</v>
      </c>
      <c r="O2">
        <f>'Corrale Swamp'!M2</f>
        <v>21.2</v>
      </c>
      <c r="P2">
        <f>'Corrale Swamp'!N2</f>
        <v>1041</v>
      </c>
      <c r="Q2">
        <f>'Corrale Swamp'!O2</f>
        <v>159</v>
      </c>
      <c r="R2">
        <f>'Corrale Swamp'!P2</f>
        <v>67</v>
      </c>
      <c r="S2">
        <f>'Corrale Swamp'!Q2</f>
        <v>11340</v>
      </c>
      <c r="T2">
        <f>'Corrale Swamp'!R2</f>
        <v>0.6</v>
      </c>
      <c r="U2">
        <f>'Corrale Swamp'!S2</f>
        <v>1172</v>
      </c>
      <c r="V2">
        <f>'Corrale Swamp'!T2</f>
        <v>1</v>
      </c>
      <c r="W2">
        <f>'Corrale Swamp'!U2</f>
        <v>1</v>
      </c>
      <c r="X2">
        <f>'Corrale Swamp'!V2</f>
        <v>1</v>
      </c>
      <c r="Y2">
        <f>'Corrale Swamp'!W2</f>
        <v>0</v>
      </c>
      <c r="Z2">
        <f>'Corrale Swamp'!X2</f>
        <v>1270</v>
      </c>
      <c r="AA2">
        <f>'Corrale Swamp'!Y2</f>
        <v>1</v>
      </c>
      <c r="AB2">
        <f>'Corrale Swamp'!Z2</f>
        <v>1</v>
      </c>
      <c r="AC2">
        <f>'Corrale Swamp'!AA2</f>
        <v>1</v>
      </c>
      <c r="AD2">
        <f>'Corrale Swamp'!AB2</f>
        <v>0</v>
      </c>
      <c r="AE2">
        <f>'Corrale Swamp'!AC2</f>
        <v>1400</v>
      </c>
      <c r="AF2">
        <f>'Corrale Swamp'!AD2</f>
        <v>1</v>
      </c>
      <c r="AG2">
        <f>'Corrale Swamp'!AE2</f>
        <v>1</v>
      </c>
      <c r="AH2">
        <f>'Corrale Swamp'!AF2</f>
        <v>1</v>
      </c>
      <c r="AI2">
        <f>'Corrale Swamp'!AG2</f>
        <v>0</v>
      </c>
      <c r="AJ2">
        <f>'Corrale Swamp'!AH2</f>
        <v>1500</v>
      </c>
      <c r="AK2">
        <f>'Corrale Swamp'!AI2</f>
        <v>143</v>
      </c>
      <c r="AL2">
        <f>'Corrale Swamp'!AJ2</f>
        <v>31</v>
      </c>
      <c r="AM2">
        <f>'Corrale Swamp'!AK2</f>
        <v>4719</v>
      </c>
      <c r="AN2">
        <f>'Corrale Swamp'!AL2</f>
        <v>0.3</v>
      </c>
      <c r="AO2">
        <f>'Corrale Swamp'!AM2</f>
        <v>1598</v>
      </c>
      <c r="AP2">
        <f>'Corrale Swamp'!AN2</f>
        <v>331</v>
      </c>
      <c r="AQ2">
        <f>'Corrale Swamp'!AO2</f>
        <v>25</v>
      </c>
      <c r="AR2">
        <f>'Corrale Swamp'!AP2</f>
        <v>8808</v>
      </c>
      <c r="AS2">
        <f>'Corrale Swamp'!AQ2</f>
        <v>0.5</v>
      </c>
      <c r="AT2">
        <f>'Corrale Swamp'!AR2</f>
        <v>1740</v>
      </c>
      <c r="AU2">
        <f>'Corrale Swamp'!AS2</f>
        <v>315</v>
      </c>
      <c r="AV2">
        <f>'Corrale Swamp'!AT2</f>
        <v>171</v>
      </c>
      <c r="AW2">
        <f>'Corrale Swamp'!AU2</f>
        <v>57338</v>
      </c>
      <c r="AX2">
        <f>'Corrale Swamp'!AV2</f>
        <v>3.1</v>
      </c>
    </row>
    <row r="3" spans="1:50">
      <c r="A3" t="str">
        <f>'Corrale Swamp'!A3</f>
        <v xml:space="preserve">/Users/christophermarjo/Documents/Python/Projects/data/bushfire Raman/Corrale Swamp/CS 0.5 (2) </v>
      </c>
      <c r="B3" t="s">
        <v>854</v>
      </c>
      <c r="C3">
        <v>0.5</v>
      </c>
      <c r="D3" t="str">
        <f>'Corrale Swamp'!B3</f>
        <v>15.30 counts</v>
      </c>
      <c r="E3">
        <f>'Corrale Swamp'!C3</f>
        <v>0.99169399999999996</v>
      </c>
      <c r="F3">
        <f>'Corrale Swamp'!D3</f>
        <v>1369</v>
      </c>
      <c r="G3">
        <f>'Corrale Swamp'!E3</f>
        <v>11427</v>
      </c>
      <c r="H3">
        <f>'Corrale Swamp'!F3</f>
        <v>330</v>
      </c>
      <c r="I3">
        <f>'Corrale Swamp'!G3</f>
        <v>4014009</v>
      </c>
      <c r="J3">
        <f>'Corrale Swamp'!H3</f>
        <v>70.400000000000006</v>
      </c>
      <c r="K3">
        <f>'Corrale Swamp'!I3</f>
        <v>1588</v>
      </c>
      <c r="L3">
        <f>'Corrale Swamp'!J3</f>
        <v>12371</v>
      </c>
      <c r="M3">
        <f>'Corrale Swamp'!K3</f>
        <v>104</v>
      </c>
      <c r="N3">
        <f>'Corrale Swamp'!L3</f>
        <v>1369526</v>
      </c>
      <c r="O3">
        <f>'Corrale Swamp'!M3</f>
        <v>24</v>
      </c>
      <c r="P3">
        <f>'Corrale Swamp'!N3</f>
        <v>1039</v>
      </c>
      <c r="Q3">
        <f>'Corrale Swamp'!O3</f>
        <v>459</v>
      </c>
      <c r="R3">
        <f>'Corrale Swamp'!P3</f>
        <v>61</v>
      </c>
      <c r="S3">
        <f>'Corrale Swamp'!Q3</f>
        <v>29804</v>
      </c>
      <c r="T3">
        <f>'Corrale Swamp'!R3</f>
        <v>0.5</v>
      </c>
      <c r="U3">
        <f>'Corrale Swamp'!S3</f>
        <v>1172</v>
      </c>
      <c r="V3">
        <f>'Corrale Swamp'!T3</f>
        <v>1</v>
      </c>
      <c r="W3">
        <f>'Corrale Swamp'!U3</f>
        <v>1</v>
      </c>
      <c r="X3">
        <f>'Corrale Swamp'!V3</f>
        <v>1</v>
      </c>
      <c r="Y3">
        <f>'Corrale Swamp'!W3</f>
        <v>0</v>
      </c>
      <c r="Z3">
        <f>'Corrale Swamp'!X3</f>
        <v>1270</v>
      </c>
      <c r="AA3">
        <f>'Corrale Swamp'!Y3</f>
        <v>1</v>
      </c>
      <c r="AB3">
        <f>'Corrale Swamp'!Z3</f>
        <v>1</v>
      </c>
      <c r="AC3">
        <f>'Corrale Swamp'!AA3</f>
        <v>1</v>
      </c>
      <c r="AD3">
        <f>'Corrale Swamp'!AB3</f>
        <v>0</v>
      </c>
      <c r="AE3">
        <f>'Corrale Swamp'!AC3</f>
        <v>1456</v>
      </c>
      <c r="AF3">
        <f>'Corrale Swamp'!AD3</f>
        <v>63</v>
      </c>
      <c r="AG3">
        <f>'Corrale Swamp'!AE3</f>
        <v>149</v>
      </c>
      <c r="AH3">
        <f>'Corrale Swamp'!AF3</f>
        <v>9992</v>
      </c>
      <c r="AI3">
        <f>'Corrale Swamp'!AG3</f>
        <v>0.2</v>
      </c>
      <c r="AJ3">
        <f>'Corrale Swamp'!AH3</f>
        <v>1498</v>
      </c>
      <c r="AK3">
        <f>'Corrale Swamp'!AI3</f>
        <v>531</v>
      </c>
      <c r="AL3">
        <f>'Corrale Swamp'!AJ3</f>
        <v>33</v>
      </c>
      <c r="AM3">
        <f>'Corrale Swamp'!AK3</f>
        <v>18653</v>
      </c>
      <c r="AN3">
        <f>'Corrale Swamp'!AL3</f>
        <v>0.3</v>
      </c>
      <c r="AO3">
        <f>'Corrale Swamp'!AM3</f>
        <v>1596</v>
      </c>
      <c r="AP3">
        <f>'Corrale Swamp'!AN3</f>
        <v>681</v>
      </c>
      <c r="AQ3">
        <f>'Corrale Swamp'!AO3</f>
        <v>23</v>
      </c>
      <c r="AR3">
        <f>'Corrale Swamp'!AP3</f>
        <v>16673</v>
      </c>
      <c r="AS3">
        <f>'Corrale Swamp'!AQ3</f>
        <v>0.3</v>
      </c>
      <c r="AT3">
        <f>'Corrale Swamp'!AR3</f>
        <v>1744</v>
      </c>
      <c r="AU3">
        <f>'Corrale Swamp'!AS3</f>
        <v>1271</v>
      </c>
      <c r="AV3">
        <f>'Corrale Swamp'!AT3</f>
        <v>179</v>
      </c>
      <c r="AW3">
        <f>'Corrale Swamp'!AU3</f>
        <v>242176</v>
      </c>
      <c r="AX3">
        <f>'Corrale Swamp'!AV3</f>
        <v>4.2</v>
      </c>
    </row>
    <row r="4" spans="1:50">
      <c r="A4" t="str">
        <f>'Corrale Swamp'!A4</f>
        <v xml:space="preserve">/Users/christophermarjo/Documents/Python/Projects/data/bushfire Raman/Corrale Swamp/CS 0.5 (4) </v>
      </c>
      <c r="B4" t="s">
        <v>854</v>
      </c>
      <c r="C4">
        <v>0.5</v>
      </c>
      <c r="D4" t="str">
        <f>'Corrale Swamp'!B4</f>
        <v>46.94 counts</v>
      </c>
      <c r="E4">
        <f>'Corrale Swamp'!C4</f>
        <v>0.98501700000000003</v>
      </c>
      <c r="F4">
        <f>'Corrale Swamp'!D4</f>
        <v>1367</v>
      </c>
      <c r="G4">
        <f>'Corrale Swamp'!E4</f>
        <v>27373</v>
      </c>
      <c r="H4">
        <f>'Corrale Swamp'!F4</f>
        <v>320</v>
      </c>
      <c r="I4">
        <f>'Corrale Swamp'!G4</f>
        <v>9324050</v>
      </c>
      <c r="J4">
        <f>'Corrale Swamp'!H4</f>
        <v>71.099999999999994</v>
      </c>
      <c r="K4">
        <f>'Corrale Swamp'!I4</f>
        <v>1590</v>
      </c>
      <c r="L4">
        <f>'Corrale Swamp'!J4</f>
        <v>27339</v>
      </c>
      <c r="M4">
        <f>'Corrale Swamp'!K4</f>
        <v>100</v>
      </c>
      <c r="N4">
        <f>'Corrale Swamp'!L4</f>
        <v>2910146</v>
      </c>
      <c r="O4">
        <f>'Corrale Swamp'!M4</f>
        <v>22.2</v>
      </c>
      <c r="P4">
        <f>'Corrale Swamp'!N4</f>
        <v>1041</v>
      </c>
      <c r="Q4">
        <f>'Corrale Swamp'!O4</f>
        <v>1383</v>
      </c>
      <c r="R4">
        <f>'Corrale Swamp'!P4</f>
        <v>85</v>
      </c>
      <c r="S4">
        <f>'Corrale Swamp'!Q4</f>
        <v>125133</v>
      </c>
      <c r="T4">
        <f>'Corrale Swamp'!R4</f>
        <v>1</v>
      </c>
      <c r="U4">
        <f>'Corrale Swamp'!S4</f>
        <v>1150</v>
      </c>
      <c r="V4">
        <f>'Corrale Swamp'!T4</f>
        <v>125</v>
      </c>
      <c r="W4">
        <f>'Corrale Swamp'!U4</f>
        <v>1</v>
      </c>
      <c r="X4">
        <f>'Corrale Swamp'!V4</f>
        <v>133</v>
      </c>
      <c r="Y4">
        <f>'Corrale Swamp'!W4</f>
        <v>0</v>
      </c>
      <c r="Z4">
        <f>'Corrale Swamp'!X4</f>
        <v>1270</v>
      </c>
      <c r="AA4">
        <f>'Corrale Swamp'!Y4</f>
        <v>1</v>
      </c>
      <c r="AB4">
        <f>'Corrale Swamp'!Z4</f>
        <v>1</v>
      </c>
      <c r="AC4">
        <f>'Corrale Swamp'!AA4</f>
        <v>1</v>
      </c>
      <c r="AD4">
        <f>'Corrale Swamp'!AB4</f>
        <v>0</v>
      </c>
      <c r="AE4">
        <f>'Corrale Swamp'!AC4</f>
        <v>1400</v>
      </c>
      <c r="AF4">
        <f>'Corrale Swamp'!AD4</f>
        <v>1</v>
      </c>
      <c r="AG4">
        <f>'Corrale Swamp'!AE4</f>
        <v>1</v>
      </c>
      <c r="AH4">
        <f>'Corrale Swamp'!AF4</f>
        <v>1</v>
      </c>
      <c r="AI4">
        <f>'Corrale Swamp'!AG4</f>
        <v>0</v>
      </c>
      <c r="AJ4">
        <f>'Corrale Swamp'!AH4</f>
        <v>1500</v>
      </c>
      <c r="AK4">
        <f>'Corrale Swamp'!AI4</f>
        <v>869</v>
      </c>
      <c r="AL4">
        <f>'Corrale Swamp'!AJ4</f>
        <v>23</v>
      </c>
      <c r="AM4">
        <f>'Corrale Swamp'!AK4</f>
        <v>21276</v>
      </c>
      <c r="AN4">
        <f>'Corrale Swamp'!AL4</f>
        <v>0.2</v>
      </c>
      <c r="AO4">
        <f>'Corrale Swamp'!AM4</f>
        <v>1598</v>
      </c>
      <c r="AP4">
        <f>'Corrale Swamp'!AN4</f>
        <v>4177</v>
      </c>
      <c r="AQ4">
        <f>'Corrale Swamp'!AO4</f>
        <v>29</v>
      </c>
      <c r="AR4">
        <f>'Corrale Swamp'!AP4</f>
        <v>128942</v>
      </c>
      <c r="AS4">
        <f>'Corrale Swamp'!AQ4</f>
        <v>1</v>
      </c>
      <c r="AT4">
        <f>'Corrale Swamp'!AR4</f>
        <v>1748</v>
      </c>
      <c r="AU4">
        <f>'Corrale Swamp'!AS4</f>
        <v>2887</v>
      </c>
      <c r="AV4">
        <f>'Corrale Swamp'!AT4</f>
        <v>199</v>
      </c>
      <c r="AW4">
        <f>'Corrale Swamp'!AU4</f>
        <v>611550</v>
      </c>
      <c r="AX4">
        <f>'Corrale Swamp'!AV4</f>
        <v>4.7</v>
      </c>
    </row>
    <row r="5" spans="1:50">
      <c r="A5" t="str">
        <f>'Corrale Swamp'!A5</f>
        <v>/Users/christophermarjo/Documents/Python/Projects/data/bushfire Raman/Corrale Swamp/CS 0.5 (5)</v>
      </c>
      <c r="B5" t="s">
        <v>854</v>
      </c>
      <c r="C5">
        <v>0.5</v>
      </c>
      <c r="D5" t="str">
        <f>'Corrale Swamp'!B5</f>
        <v>29.58 counts</v>
      </c>
      <c r="E5">
        <f>'Corrale Swamp'!C5</f>
        <v>0.98783100000000001</v>
      </c>
      <c r="F5">
        <f>'Corrale Swamp'!D5</f>
        <v>1369</v>
      </c>
      <c r="G5">
        <f>'Corrale Swamp'!E5</f>
        <v>18647</v>
      </c>
      <c r="H5">
        <f>'Corrale Swamp'!F5</f>
        <v>318</v>
      </c>
      <c r="I5">
        <f>'Corrale Swamp'!G5</f>
        <v>6312019</v>
      </c>
      <c r="J5">
        <f>'Corrale Swamp'!H5</f>
        <v>72.3</v>
      </c>
      <c r="K5">
        <f>'Corrale Swamp'!I5</f>
        <v>1592</v>
      </c>
      <c r="L5">
        <f>'Corrale Swamp'!J5</f>
        <v>18871</v>
      </c>
      <c r="M5">
        <f>'Corrale Swamp'!K5</f>
        <v>100</v>
      </c>
      <c r="N5">
        <f>'Corrale Swamp'!L5</f>
        <v>2008756</v>
      </c>
      <c r="O5">
        <f>'Corrale Swamp'!M5</f>
        <v>23</v>
      </c>
      <c r="P5">
        <f>'Corrale Swamp'!N5</f>
        <v>1049</v>
      </c>
      <c r="Q5">
        <f>'Corrale Swamp'!O5</f>
        <v>875</v>
      </c>
      <c r="R5">
        <f>'Corrale Swamp'!P5</f>
        <v>85</v>
      </c>
      <c r="S5">
        <f>'Corrale Swamp'!Q5</f>
        <v>79170</v>
      </c>
      <c r="T5">
        <f>'Corrale Swamp'!R5</f>
        <v>0.9</v>
      </c>
      <c r="U5">
        <f>'Corrale Swamp'!S5</f>
        <v>1158</v>
      </c>
      <c r="V5">
        <f>'Corrale Swamp'!T5</f>
        <v>1</v>
      </c>
      <c r="W5">
        <f>'Corrale Swamp'!U5</f>
        <v>1</v>
      </c>
      <c r="X5">
        <f>'Corrale Swamp'!V5</f>
        <v>1</v>
      </c>
      <c r="Y5">
        <f>'Corrale Swamp'!W5</f>
        <v>0</v>
      </c>
      <c r="Z5">
        <f>'Corrale Swamp'!X5</f>
        <v>1270</v>
      </c>
      <c r="AA5">
        <f>'Corrale Swamp'!Y5</f>
        <v>1</v>
      </c>
      <c r="AB5">
        <f>'Corrale Swamp'!Z5</f>
        <v>1</v>
      </c>
      <c r="AC5">
        <f>'Corrale Swamp'!AA5</f>
        <v>1</v>
      </c>
      <c r="AD5">
        <f>'Corrale Swamp'!AB5</f>
        <v>0</v>
      </c>
      <c r="AE5">
        <f>'Corrale Swamp'!AC5</f>
        <v>1400</v>
      </c>
      <c r="AF5">
        <f>'Corrale Swamp'!AD5</f>
        <v>1</v>
      </c>
      <c r="AG5">
        <f>'Corrale Swamp'!AE5</f>
        <v>1</v>
      </c>
      <c r="AH5">
        <f>'Corrale Swamp'!AF5</f>
        <v>1</v>
      </c>
      <c r="AI5">
        <f>'Corrale Swamp'!AG5</f>
        <v>0</v>
      </c>
      <c r="AJ5">
        <f>'Corrale Swamp'!AH5</f>
        <v>1500</v>
      </c>
      <c r="AK5">
        <f>'Corrale Swamp'!AI5</f>
        <v>555</v>
      </c>
      <c r="AL5">
        <f>'Corrale Swamp'!AJ5</f>
        <v>15</v>
      </c>
      <c r="AM5">
        <f>'Corrale Swamp'!AK5</f>
        <v>8862</v>
      </c>
      <c r="AN5">
        <f>'Corrale Swamp'!AL5</f>
        <v>0.1</v>
      </c>
      <c r="AO5">
        <f>'Corrale Swamp'!AM5</f>
        <v>1598</v>
      </c>
      <c r="AP5">
        <f>'Corrale Swamp'!AN5</f>
        <v>3363</v>
      </c>
      <c r="AQ5">
        <f>'Corrale Swamp'!AO5</f>
        <v>29</v>
      </c>
      <c r="AR5">
        <f>'Corrale Swamp'!AP5</f>
        <v>103814</v>
      </c>
      <c r="AS5">
        <f>'Corrale Swamp'!AQ5</f>
        <v>1.2</v>
      </c>
      <c r="AT5">
        <f>'Corrale Swamp'!AR5</f>
        <v>1740</v>
      </c>
      <c r="AU5">
        <f>'Corrale Swamp'!AS5</f>
        <v>1403</v>
      </c>
      <c r="AV5">
        <f>'Corrale Swamp'!AT5</f>
        <v>147</v>
      </c>
      <c r="AW5">
        <f>'Corrale Swamp'!AU5</f>
        <v>219537</v>
      </c>
      <c r="AX5">
        <f>'Corrale Swamp'!AV5</f>
        <v>2.5</v>
      </c>
    </row>
    <row r="6" spans="1:50">
      <c r="A6" t="str">
        <f>'Corrale Swamp'!A6</f>
        <v xml:space="preserve">/Users/christophermarjo/Documents/Python/Projects/data/bushfire Raman/Corrale Swamp/CS 0.5 (6) </v>
      </c>
      <c r="B6" t="s">
        <v>854</v>
      </c>
      <c r="C6">
        <v>0.5</v>
      </c>
      <c r="D6" t="str">
        <f>'Corrale Swamp'!B6</f>
        <v>44.67 counts</v>
      </c>
      <c r="E6">
        <f>'Corrale Swamp'!C6</f>
        <v>0.98530499999999999</v>
      </c>
      <c r="F6">
        <f>'Corrale Swamp'!D6</f>
        <v>1369</v>
      </c>
      <c r="G6">
        <f>'Corrale Swamp'!E6</f>
        <v>25703</v>
      </c>
      <c r="H6">
        <f>'Corrale Swamp'!F6</f>
        <v>320</v>
      </c>
      <c r="I6">
        <f>'Corrale Swamp'!G6</f>
        <v>8755199</v>
      </c>
      <c r="J6">
        <f>'Corrale Swamp'!H6</f>
        <v>72</v>
      </c>
      <c r="K6">
        <f>'Corrale Swamp'!I6</f>
        <v>1592</v>
      </c>
      <c r="L6">
        <f>'Corrale Swamp'!J6</f>
        <v>26285</v>
      </c>
      <c r="M6">
        <f>'Corrale Swamp'!K6</f>
        <v>100</v>
      </c>
      <c r="N6">
        <f>'Corrale Swamp'!L6</f>
        <v>2797952</v>
      </c>
      <c r="O6">
        <f>'Corrale Swamp'!M6</f>
        <v>23</v>
      </c>
      <c r="P6">
        <f>'Corrale Swamp'!N6</f>
        <v>1045</v>
      </c>
      <c r="Q6">
        <f>'Corrale Swamp'!O6</f>
        <v>1035</v>
      </c>
      <c r="R6">
        <f>'Corrale Swamp'!P6</f>
        <v>85</v>
      </c>
      <c r="S6">
        <f>'Corrale Swamp'!Q6</f>
        <v>93646</v>
      </c>
      <c r="T6">
        <f>'Corrale Swamp'!R6</f>
        <v>0.8</v>
      </c>
      <c r="U6">
        <f>'Corrale Swamp'!S6</f>
        <v>1154</v>
      </c>
      <c r="V6">
        <f>'Corrale Swamp'!T6</f>
        <v>75</v>
      </c>
      <c r="W6">
        <f>'Corrale Swamp'!U6</f>
        <v>1</v>
      </c>
      <c r="X6">
        <f>'Corrale Swamp'!V6</f>
        <v>80</v>
      </c>
      <c r="Y6">
        <f>'Corrale Swamp'!W6</f>
        <v>0</v>
      </c>
      <c r="Z6">
        <f>'Corrale Swamp'!X6</f>
        <v>1270</v>
      </c>
      <c r="AA6">
        <f>'Corrale Swamp'!Y6</f>
        <v>1</v>
      </c>
      <c r="AB6">
        <f>'Corrale Swamp'!Z6</f>
        <v>1</v>
      </c>
      <c r="AC6">
        <f>'Corrale Swamp'!AA6</f>
        <v>1</v>
      </c>
      <c r="AD6">
        <f>'Corrale Swamp'!AB6</f>
        <v>0</v>
      </c>
      <c r="AE6">
        <f>'Corrale Swamp'!AC6</f>
        <v>1400</v>
      </c>
      <c r="AF6">
        <f>'Corrale Swamp'!AD6</f>
        <v>1</v>
      </c>
      <c r="AG6">
        <f>'Corrale Swamp'!AE6</f>
        <v>1</v>
      </c>
      <c r="AH6">
        <f>'Corrale Swamp'!AF6</f>
        <v>1</v>
      </c>
      <c r="AI6">
        <f>'Corrale Swamp'!AG6</f>
        <v>0</v>
      </c>
      <c r="AJ6">
        <f>'Corrale Swamp'!AH6</f>
        <v>1500</v>
      </c>
      <c r="AK6">
        <f>'Corrale Swamp'!AI6</f>
        <v>577</v>
      </c>
      <c r="AL6">
        <f>'Corrale Swamp'!AJ6</f>
        <v>25</v>
      </c>
      <c r="AM6">
        <f>'Corrale Swamp'!AK6</f>
        <v>15355</v>
      </c>
      <c r="AN6">
        <f>'Corrale Swamp'!AL6</f>
        <v>0.1</v>
      </c>
      <c r="AO6">
        <f>'Corrale Swamp'!AM6</f>
        <v>1592</v>
      </c>
      <c r="AP6">
        <f>'Corrale Swamp'!AN6</f>
        <v>3635</v>
      </c>
      <c r="AQ6">
        <f>'Corrale Swamp'!AO6</f>
        <v>29</v>
      </c>
      <c r="AR6">
        <f>'Corrale Swamp'!AP6</f>
        <v>112211</v>
      </c>
      <c r="AS6">
        <f>'Corrale Swamp'!AQ6</f>
        <v>0.9</v>
      </c>
      <c r="AT6">
        <f>'Corrale Swamp'!AR6</f>
        <v>1748</v>
      </c>
      <c r="AU6">
        <f>'Corrale Swamp'!AS6</f>
        <v>1915</v>
      </c>
      <c r="AV6">
        <f>'Corrale Swamp'!AT6</f>
        <v>189</v>
      </c>
      <c r="AW6">
        <f>'Corrale Swamp'!AU6</f>
        <v>385268</v>
      </c>
      <c r="AX6">
        <f>'Corrale Swamp'!AV6</f>
        <v>3.2</v>
      </c>
    </row>
    <row r="7" spans="1:50">
      <c r="A7" t="str">
        <f>'Corrale Swamp'!A7</f>
        <v xml:space="preserve">/Users/christophermarjo/Documents/Python/Projects/data/bushfire Raman/Corrale Swamp/CS 2.5 (1) </v>
      </c>
      <c r="B7" t="s">
        <v>854</v>
      </c>
      <c r="C7">
        <v>2.5</v>
      </c>
      <c r="D7" t="str">
        <f>'Corrale Swamp'!B7</f>
        <v>75.77 counts</v>
      </c>
      <c r="E7">
        <f>'Corrale Swamp'!C7</f>
        <v>0.98280000000000001</v>
      </c>
      <c r="F7">
        <f>'Corrale Swamp'!D7</f>
        <v>1365</v>
      </c>
      <c r="G7">
        <f>'Corrale Swamp'!E7</f>
        <v>40141</v>
      </c>
      <c r="H7">
        <f>'Corrale Swamp'!F7</f>
        <v>300</v>
      </c>
      <c r="I7">
        <f>'Corrale Swamp'!G7</f>
        <v>12818631</v>
      </c>
      <c r="J7">
        <f>'Corrale Swamp'!H7</f>
        <v>71.8</v>
      </c>
      <c r="K7">
        <f>'Corrale Swamp'!I7</f>
        <v>1592</v>
      </c>
      <c r="L7">
        <f>'Corrale Swamp'!J7</f>
        <v>41441</v>
      </c>
      <c r="M7">
        <f>'Corrale Swamp'!K7</f>
        <v>100</v>
      </c>
      <c r="N7">
        <f>'Corrale Swamp'!L7</f>
        <v>4411258</v>
      </c>
      <c r="O7">
        <f>'Corrale Swamp'!M7</f>
        <v>24.7</v>
      </c>
      <c r="P7">
        <f>'Corrale Swamp'!N7</f>
        <v>1069</v>
      </c>
      <c r="Q7">
        <f>'Corrale Swamp'!O7</f>
        <v>1409</v>
      </c>
      <c r="R7">
        <f>'Corrale Swamp'!P7</f>
        <v>81</v>
      </c>
      <c r="S7">
        <f>'Corrale Swamp'!Q7</f>
        <v>121487</v>
      </c>
      <c r="T7">
        <f>'Corrale Swamp'!R7</f>
        <v>0.7</v>
      </c>
      <c r="U7">
        <f>'Corrale Swamp'!S7</f>
        <v>1152</v>
      </c>
      <c r="V7">
        <f>'Corrale Swamp'!T7</f>
        <v>133</v>
      </c>
      <c r="W7">
        <f>'Corrale Swamp'!U7</f>
        <v>5</v>
      </c>
      <c r="X7">
        <f>'Corrale Swamp'!V7</f>
        <v>708</v>
      </c>
      <c r="Y7">
        <f>'Corrale Swamp'!W7</f>
        <v>0</v>
      </c>
      <c r="Z7">
        <f>'Corrale Swamp'!X7</f>
        <v>1256</v>
      </c>
      <c r="AA7">
        <f>'Corrale Swamp'!Y7</f>
        <v>1</v>
      </c>
      <c r="AB7">
        <f>'Corrale Swamp'!Z7</f>
        <v>1</v>
      </c>
      <c r="AC7">
        <f>'Corrale Swamp'!AA7</f>
        <v>1</v>
      </c>
      <c r="AD7">
        <f>'Corrale Swamp'!AB7</f>
        <v>0</v>
      </c>
      <c r="AE7">
        <f>'Corrale Swamp'!AC7</f>
        <v>1406</v>
      </c>
      <c r="AF7">
        <f>'Corrale Swamp'!AD7</f>
        <v>1</v>
      </c>
      <c r="AG7">
        <f>'Corrale Swamp'!AE7</f>
        <v>1</v>
      </c>
      <c r="AH7">
        <f>'Corrale Swamp'!AF7</f>
        <v>1</v>
      </c>
      <c r="AI7">
        <f>'Corrale Swamp'!AG7</f>
        <v>0</v>
      </c>
      <c r="AJ7">
        <f>'Corrale Swamp'!AH7</f>
        <v>1506</v>
      </c>
      <c r="AK7">
        <f>'Corrale Swamp'!AI7</f>
        <v>1283</v>
      </c>
      <c r="AL7">
        <f>'Corrale Swamp'!AJ7</f>
        <v>35</v>
      </c>
      <c r="AM7">
        <f>'Corrale Swamp'!AK7</f>
        <v>47800</v>
      </c>
      <c r="AN7">
        <f>'Corrale Swamp'!AL7</f>
        <v>0.3</v>
      </c>
      <c r="AO7">
        <f>'Corrale Swamp'!AM7</f>
        <v>1594</v>
      </c>
      <c r="AP7">
        <f>'Corrale Swamp'!AN7</f>
        <v>7009</v>
      </c>
      <c r="AQ7">
        <f>'Corrale Swamp'!AO7</f>
        <v>29</v>
      </c>
      <c r="AR7">
        <f>'Corrale Swamp'!AP7</f>
        <v>216365</v>
      </c>
      <c r="AS7">
        <f>'Corrale Swamp'!AQ7</f>
        <v>1.2</v>
      </c>
      <c r="AT7">
        <f>'Corrale Swamp'!AR7</f>
        <v>1724</v>
      </c>
      <c r="AU7">
        <f>'Corrale Swamp'!AS7</f>
        <v>2883</v>
      </c>
      <c r="AV7">
        <f>'Corrale Swamp'!AT7</f>
        <v>79</v>
      </c>
      <c r="AW7">
        <f>'Corrale Swamp'!AU7</f>
        <v>242440</v>
      </c>
      <c r="AX7">
        <f>'Corrale Swamp'!AV7</f>
        <v>1.4</v>
      </c>
    </row>
    <row r="8" spans="1:50">
      <c r="A8" t="str">
        <f>'Corrale Swamp'!A8</f>
        <v xml:space="preserve">/Users/christophermarjo/Documents/Python/Projects/data/bushfire Raman/Corrale Swamp/CS 2.5 (2) </v>
      </c>
      <c r="B8" t="s">
        <v>854</v>
      </c>
      <c r="C8">
        <v>2.5</v>
      </c>
      <c r="D8" t="str">
        <f>'Corrale Swamp'!B8</f>
        <v>115.68 counts</v>
      </c>
      <c r="E8">
        <f>'Corrale Swamp'!C8</f>
        <v>0.981734</v>
      </c>
      <c r="F8">
        <f>'Corrale Swamp'!D8</f>
        <v>1369</v>
      </c>
      <c r="G8">
        <f>'Corrale Swamp'!E8</f>
        <v>60665</v>
      </c>
      <c r="H8">
        <f>'Corrale Swamp'!F8</f>
        <v>306</v>
      </c>
      <c r="I8">
        <f>'Corrale Swamp'!G8</f>
        <v>19760223</v>
      </c>
      <c r="J8">
        <f>'Corrale Swamp'!H8</f>
        <v>70.5</v>
      </c>
      <c r="K8">
        <f>'Corrale Swamp'!I8</f>
        <v>1592</v>
      </c>
      <c r="L8">
        <f>'Corrale Swamp'!J8</f>
        <v>60023</v>
      </c>
      <c r="M8">
        <f>'Corrale Swamp'!K8</f>
        <v>100</v>
      </c>
      <c r="N8">
        <f>'Corrale Swamp'!L8</f>
        <v>6389251</v>
      </c>
      <c r="O8">
        <f>'Corrale Swamp'!M8</f>
        <v>22.8</v>
      </c>
      <c r="P8">
        <f>'Corrale Swamp'!N8</f>
        <v>1041</v>
      </c>
      <c r="Q8">
        <f>'Corrale Swamp'!O8</f>
        <v>3335</v>
      </c>
      <c r="R8">
        <f>'Corrale Swamp'!P8</f>
        <v>69</v>
      </c>
      <c r="S8">
        <f>'Corrale Swamp'!Q8</f>
        <v>244950</v>
      </c>
      <c r="T8">
        <f>'Corrale Swamp'!R8</f>
        <v>0.9</v>
      </c>
      <c r="U8">
        <f>'Corrale Swamp'!S8</f>
        <v>1152</v>
      </c>
      <c r="V8">
        <f>'Corrale Swamp'!T8</f>
        <v>1779</v>
      </c>
      <c r="W8">
        <f>'Corrale Swamp'!U8</f>
        <v>25</v>
      </c>
      <c r="X8">
        <f>'Corrale Swamp'!V8</f>
        <v>47342</v>
      </c>
      <c r="Y8">
        <f>'Corrale Swamp'!W8</f>
        <v>0.2</v>
      </c>
      <c r="Z8">
        <f>'Corrale Swamp'!X8</f>
        <v>1256</v>
      </c>
      <c r="AA8">
        <f>'Corrale Swamp'!Y8</f>
        <v>1</v>
      </c>
      <c r="AB8">
        <f>'Corrale Swamp'!Z8</f>
        <v>1</v>
      </c>
      <c r="AC8">
        <f>'Corrale Swamp'!AA8</f>
        <v>1</v>
      </c>
      <c r="AD8">
        <f>'Corrale Swamp'!AB8</f>
        <v>0</v>
      </c>
      <c r="AE8">
        <f>'Corrale Swamp'!AC8</f>
        <v>1406</v>
      </c>
      <c r="AF8">
        <f>'Corrale Swamp'!AD8</f>
        <v>1</v>
      </c>
      <c r="AG8">
        <f>'Corrale Swamp'!AE8</f>
        <v>1</v>
      </c>
      <c r="AH8">
        <f>'Corrale Swamp'!AF8</f>
        <v>1</v>
      </c>
      <c r="AI8">
        <f>'Corrale Swamp'!AG8</f>
        <v>0</v>
      </c>
      <c r="AJ8">
        <f>'Corrale Swamp'!AH8</f>
        <v>1506</v>
      </c>
      <c r="AK8">
        <f>'Corrale Swamp'!AI8</f>
        <v>1415</v>
      </c>
      <c r="AL8">
        <f>'Corrale Swamp'!AJ8</f>
        <v>31</v>
      </c>
      <c r="AM8">
        <f>'Corrale Swamp'!AK8</f>
        <v>46693</v>
      </c>
      <c r="AN8">
        <f>'Corrale Swamp'!AL8</f>
        <v>0.2</v>
      </c>
      <c r="AO8">
        <f>'Corrale Swamp'!AM8</f>
        <v>1596</v>
      </c>
      <c r="AP8">
        <f>'Corrale Swamp'!AN8</f>
        <v>9999</v>
      </c>
      <c r="AQ8">
        <f>'Corrale Swamp'!AO8</f>
        <v>31</v>
      </c>
      <c r="AR8">
        <f>'Corrale Swamp'!AP8</f>
        <v>329952</v>
      </c>
      <c r="AS8">
        <f>'Corrale Swamp'!AQ8</f>
        <v>1.2</v>
      </c>
      <c r="AT8">
        <f>'Corrale Swamp'!AR8</f>
        <v>1738</v>
      </c>
      <c r="AU8">
        <f>'Corrale Swamp'!AS8</f>
        <v>5679</v>
      </c>
      <c r="AV8">
        <f>'Corrale Swamp'!AT8</f>
        <v>197</v>
      </c>
      <c r="AW8">
        <f>'Corrale Swamp'!AU8</f>
        <v>1190886</v>
      </c>
      <c r="AX8">
        <f>'Corrale Swamp'!AV8</f>
        <v>4.3</v>
      </c>
    </row>
    <row r="9" spans="1:50">
      <c r="A9" t="str">
        <f>'Corrale Swamp'!A9</f>
        <v>/Users/christophermarjo/Documents/Python/Projects/data/bushfire Raman/Corrale Swamp/CS 2.5 (3)</v>
      </c>
      <c r="B9" t="s">
        <v>854</v>
      </c>
      <c r="C9">
        <v>2.5</v>
      </c>
      <c r="D9" t="str">
        <f>'Corrale Swamp'!B9</f>
        <v>48.13 counts</v>
      </c>
      <c r="E9">
        <f>'Corrale Swamp'!C9</f>
        <v>0.98383200000000004</v>
      </c>
      <c r="F9">
        <f>'Corrale Swamp'!D9</f>
        <v>1367</v>
      </c>
      <c r="G9">
        <f>'Corrale Swamp'!E9</f>
        <v>27023</v>
      </c>
      <c r="H9">
        <f>'Corrale Swamp'!F9</f>
        <v>310</v>
      </c>
      <c r="I9">
        <f>'Corrale Swamp'!G9</f>
        <v>8917179</v>
      </c>
      <c r="J9">
        <f>'Corrale Swamp'!H9</f>
        <v>73.900000000000006</v>
      </c>
      <c r="K9">
        <f>'Corrale Swamp'!I9</f>
        <v>1590</v>
      </c>
      <c r="L9">
        <f>'Corrale Swamp'!J9</f>
        <v>24985</v>
      </c>
      <c r="M9">
        <f>'Corrale Swamp'!K9</f>
        <v>100</v>
      </c>
      <c r="N9">
        <f>'Corrale Swamp'!L9</f>
        <v>2659571</v>
      </c>
      <c r="O9">
        <f>'Corrale Swamp'!M9</f>
        <v>22</v>
      </c>
      <c r="P9">
        <f>'Corrale Swamp'!N9</f>
        <v>1045</v>
      </c>
      <c r="Q9">
        <f>'Corrale Swamp'!O9</f>
        <v>1455</v>
      </c>
      <c r="R9">
        <f>'Corrale Swamp'!P9</f>
        <v>85</v>
      </c>
      <c r="S9">
        <f>'Corrale Swamp'!Q9</f>
        <v>131648</v>
      </c>
      <c r="T9">
        <f>'Corrale Swamp'!R9</f>
        <v>1.1000000000000001</v>
      </c>
      <c r="U9">
        <f>'Corrale Swamp'!S9</f>
        <v>1186</v>
      </c>
      <c r="V9">
        <f>'Corrale Swamp'!T9</f>
        <v>1</v>
      </c>
      <c r="W9">
        <f>'Corrale Swamp'!U9</f>
        <v>1</v>
      </c>
      <c r="X9">
        <f>'Corrale Swamp'!V9</f>
        <v>1</v>
      </c>
      <c r="Y9">
        <f>'Corrale Swamp'!W9</f>
        <v>0</v>
      </c>
      <c r="Z9">
        <f>'Corrale Swamp'!X9</f>
        <v>1256</v>
      </c>
      <c r="AA9">
        <f>'Corrale Swamp'!Y9</f>
        <v>1</v>
      </c>
      <c r="AB9">
        <f>'Corrale Swamp'!Z9</f>
        <v>1</v>
      </c>
      <c r="AC9">
        <f>'Corrale Swamp'!AA9</f>
        <v>1</v>
      </c>
      <c r="AD9">
        <f>'Corrale Swamp'!AB9</f>
        <v>0</v>
      </c>
      <c r="AE9">
        <f>'Corrale Swamp'!AC9</f>
        <v>1406</v>
      </c>
      <c r="AF9">
        <f>'Corrale Swamp'!AD9</f>
        <v>1</v>
      </c>
      <c r="AG9">
        <f>'Corrale Swamp'!AE9</f>
        <v>1</v>
      </c>
      <c r="AH9">
        <f>'Corrale Swamp'!AF9</f>
        <v>1</v>
      </c>
      <c r="AI9">
        <f>'Corrale Swamp'!AG9</f>
        <v>0</v>
      </c>
      <c r="AJ9">
        <f>'Corrale Swamp'!AH9</f>
        <v>1506</v>
      </c>
      <c r="AK9">
        <f>'Corrale Swamp'!AI9</f>
        <v>671</v>
      </c>
      <c r="AL9">
        <f>'Corrale Swamp'!AJ9</f>
        <v>21</v>
      </c>
      <c r="AM9">
        <f>'Corrale Swamp'!AK9</f>
        <v>14999</v>
      </c>
      <c r="AN9">
        <f>'Corrale Swamp'!AL9</f>
        <v>0.1</v>
      </c>
      <c r="AO9">
        <f>'Corrale Swamp'!AM9</f>
        <v>1598</v>
      </c>
      <c r="AP9">
        <f>'Corrale Swamp'!AN9</f>
        <v>4939</v>
      </c>
      <c r="AQ9">
        <f>'Corrale Swamp'!AO9</f>
        <v>33</v>
      </c>
      <c r="AR9">
        <f>'Corrale Swamp'!AP9</f>
        <v>173494</v>
      </c>
      <c r="AS9">
        <f>'Corrale Swamp'!AQ9</f>
        <v>1.4</v>
      </c>
      <c r="AT9">
        <f>'Corrale Swamp'!AR9</f>
        <v>1724</v>
      </c>
      <c r="AU9">
        <f>'Corrale Swamp'!AS9</f>
        <v>1581</v>
      </c>
      <c r="AV9">
        <f>'Corrale Swamp'!AT9</f>
        <v>99</v>
      </c>
      <c r="AW9">
        <f>'Corrale Swamp'!AU9</f>
        <v>166609</v>
      </c>
      <c r="AX9">
        <f>'Corrale Swamp'!AV9</f>
        <v>1.4</v>
      </c>
    </row>
    <row r="10" spans="1:50">
      <c r="A10" t="str">
        <f>'Corrale Swamp'!A10</f>
        <v>/Users/christophermarjo/Documents/Python/Projects/data/bushfire Raman/Corrale Swamp/CS 2.5 (4)</v>
      </c>
      <c r="B10" t="s">
        <v>854</v>
      </c>
      <c r="C10">
        <v>2.5</v>
      </c>
      <c r="D10" t="str">
        <f>'Corrale Swamp'!B10</f>
        <v>105.68 counts</v>
      </c>
      <c r="E10">
        <f>'Corrale Swamp'!C10</f>
        <v>0.98274600000000001</v>
      </c>
      <c r="F10">
        <f>'Corrale Swamp'!D10</f>
        <v>1365</v>
      </c>
      <c r="G10">
        <f>'Corrale Swamp'!E10</f>
        <v>57323</v>
      </c>
      <c r="H10">
        <f>'Corrale Swamp'!F10</f>
        <v>308</v>
      </c>
      <c r="I10">
        <f>'Corrale Swamp'!G10</f>
        <v>18793681</v>
      </c>
      <c r="J10">
        <f>'Corrale Swamp'!H10</f>
        <v>71.7</v>
      </c>
      <c r="K10">
        <f>'Corrale Swamp'!I10</f>
        <v>1590</v>
      </c>
      <c r="L10">
        <f>'Corrale Swamp'!J10</f>
        <v>55439</v>
      </c>
      <c r="M10">
        <f>'Corrale Swamp'!K10</f>
        <v>100</v>
      </c>
      <c r="N10">
        <f>'Corrale Swamp'!L10</f>
        <v>5901299</v>
      </c>
      <c r="O10">
        <f>'Corrale Swamp'!M10</f>
        <v>22.5</v>
      </c>
      <c r="P10">
        <f>'Corrale Swamp'!N10</f>
        <v>1041</v>
      </c>
      <c r="Q10">
        <f>'Corrale Swamp'!O10</f>
        <v>2965</v>
      </c>
      <c r="R10">
        <f>'Corrale Swamp'!P10</f>
        <v>75</v>
      </c>
      <c r="S10">
        <f>'Corrale Swamp'!Q10</f>
        <v>236711</v>
      </c>
      <c r="T10">
        <f>'Corrale Swamp'!R10</f>
        <v>0.9</v>
      </c>
      <c r="U10">
        <f>'Corrale Swamp'!S10</f>
        <v>1152</v>
      </c>
      <c r="V10">
        <f>'Corrale Swamp'!T10</f>
        <v>7</v>
      </c>
      <c r="W10">
        <f>'Corrale Swamp'!U10</f>
        <v>5</v>
      </c>
      <c r="X10">
        <f>'Corrale Swamp'!V10</f>
        <v>37</v>
      </c>
      <c r="Y10">
        <f>'Corrale Swamp'!W10</f>
        <v>0</v>
      </c>
      <c r="Z10">
        <f>'Corrale Swamp'!X10</f>
        <v>1256</v>
      </c>
      <c r="AA10">
        <f>'Corrale Swamp'!Y10</f>
        <v>1</v>
      </c>
      <c r="AB10">
        <f>'Corrale Swamp'!Z10</f>
        <v>1</v>
      </c>
      <c r="AC10">
        <f>'Corrale Swamp'!AA10</f>
        <v>1</v>
      </c>
      <c r="AD10">
        <f>'Corrale Swamp'!AB10</f>
        <v>0</v>
      </c>
      <c r="AE10">
        <f>'Corrale Swamp'!AC10</f>
        <v>1406</v>
      </c>
      <c r="AF10">
        <f>'Corrale Swamp'!AD10</f>
        <v>1</v>
      </c>
      <c r="AG10">
        <f>'Corrale Swamp'!AE10</f>
        <v>1</v>
      </c>
      <c r="AH10">
        <f>'Corrale Swamp'!AF10</f>
        <v>1</v>
      </c>
      <c r="AI10">
        <f>'Corrale Swamp'!AG10</f>
        <v>0</v>
      </c>
      <c r="AJ10">
        <f>'Corrale Swamp'!AH10</f>
        <v>1506</v>
      </c>
      <c r="AK10">
        <f>'Corrale Swamp'!AI10</f>
        <v>727</v>
      </c>
      <c r="AL10">
        <f>'Corrale Swamp'!AJ10</f>
        <v>29</v>
      </c>
      <c r="AM10">
        <f>'Corrale Swamp'!AK10</f>
        <v>22442</v>
      </c>
      <c r="AN10">
        <f>'Corrale Swamp'!AL10</f>
        <v>0.1</v>
      </c>
      <c r="AO10">
        <f>'Corrale Swamp'!AM10</f>
        <v>1598</v>
      </c>
      <c r="AP10">
        <f>'Corrale Swamp'!AN10</f>
        <v>9999</v>
      </c>
      <c r="AQ10">
        <f>'Corrale Swamp'!AO10</f>
        <v>35</v>
      </c>
      <c r="AR10">
        <f>'Corrale Swamp'!AP10</f>
        <v>372526</v>
      </c>
      <c r="AS10">
        <f>'Corrale Swamp'!AQ10</f>
        <v>1.4</v>
      </c>
      <c r="AT10">
        <f>'Corrale Swamp'!AR10</f>
        <v>1730</v>
      </c>
      <c r="AU10">
        <f>'Corrale Swamp'!AS10</f>
        <v>4479</v>
      </c>
      <c r="AV10">
        <f>'Corrale Swamp'!AT10</f>
        <v>189</v>
      </c>
      <c r="AW10">
        <f>'Corrale Swamp'!AU10</f>
        <v>901104</v>
      </c>
      <c r="AX10">
        <f>'Corrale Swamp'!AV10</f>
        <v>3.4</v>
      </c>
    </row>
    <row r="11" spans="1:50">
      <c r="A11" t="str">
        <f>'Corrale Swamp'!A11</f>
        <v>/Users/christophermarjo/Documents/Python/Projects/data/bushfire Raman/Corrale Swamp/CS 2.5 (5)</v>
      </c>
      <c r="B11" t="s">
        <v>854</v>
      </c>
      <c r="C11">
        <v>2.5</v>
      </c>
      <c r="D11" t="str">
        <f>'Corrale Swamp'!B11</f>
        <v>98.11 counts</v>
      </c>
      <c r="E11">
        <f>'Corrale Swamp'!C11</f>
        <v>0.98045300000000002</v>
      </c>
      <c r="F11">
        <f>'Corrale Swamp'!D11</f>
        <v>1367</v>
      </c>
      <c r="G11">
        <f>'Corrale Swamp'!E11</f>
        <v>49299</v>
      </c>
      <c r="H11">
        <f>'Corrale Swamp'!F11</f>
        <v>298</v>
      </c>
      <c r="I11">
        <f>'Corrale Swamp'!G11</f>
        <v>15638194</v>
      </c>
      <c r="J11">
        <f>'Corrale Swamp'!H11</f>
        <v>70.8</v>
      </c>
      <c r="K11">
        <f>'Corrale Swamp'!I11</f>
        <v>1592</v>
      </c>
      <c r="L11">
        <f>'Corrale Swamp'!J11</f>
        <v>51379</v>
      </c>
      <c r="M11">
        <f>'Corrale Swamp'!K11</f>
        <v>100</v>
      </c>
      <c r="N11">
        <f>'Corrale Swamp'!L11</f>
        <v>5469125</v>
      </c>
      <c r="O11">
        <f>'Corrale Swamp'!M11</f>
        <v>24.8</v>
      </c>
      <c r="P11">
        <f>'Corrale Swamp'!N11</f>
        <v>1073</v>
      </c>
      <c r="Q11">
        <f>'Corrale Swamp'!O11</f>
        <v>1253</v>
      </c>
      <c r="R11">
        <f>'Corrale Swamp'!P11</f>
        <v>97</v>
      </c>
      <c r="S11">
        <f>'Corrale Swamp'!Q11</f>
        <v>129376</v>
      </c>
      <c r="T11">
        <f>'Corrale Swamp'!R11</f>
        <v>0.6</v>
      </c>
      <c r="U11">
        <f>'Corrale Swamp'!S11</f>
        <v>1152</v>
      </c>
      <c r="V11">
        <f>'Corrale Swamp'!T11</f>
        <v>27</v>
      </c>
      <c r="W11">
        <f>'Corrale Swamp'!U11</f>
        <v>5</v>
      </c>
      <c r="X11">
        <f>'Corrale Swamp'!V11</f>
        <v>144</v>
      </c>
      <c r="Y11">
        <f>'Corrale Swamp'!W11</f>
        <v>0</v>
      </c>
      <c r="Z11">
        <f>'Corrale Swamp'!X11</f>
        <v>1256</v>
      </c>
      <c r="AA11">
        <f>'Corrale Swamp'!Y11</f>
        <v>1</v>
      </c>
      <c r="AB11">
        <f>'Corrale Swamp'!Z11</f>
        <v>1</v>
      </c>
      <c r="AC11">
        <f>'Corrale Swamp'!AA11</f>
        <v>1</v>
      </c>
      <c r="AD11">
        <f>'Corrale Swamp'!AB11</f>
        <v>0</v>
      </c>
      <c r="AE11">
        <f>'Corrale Swamp'!AC11</f>
        <v>1406</v>
      </c>
      <c r="AF11">
        <f>'Corrale Swamp'!AD11</f>
        <v>1</v>
      </c>
      <c r="AG11">
        <f>'Corrale Swamp'!AE11</f>
        <v>1</v>
      </c>
      <c r="AH11">
        <f>'Corrale Swamp'!AF11</f>
        <v>1</v>
      </c>
      <c r="AI11">
        <f>'Corrale Swamp'!AG11</f>
        <v>0</v>
      </c>
      <c r="AJ11">
        <f>'Corrale Swamp'!AH11</f>
        <v>1506</v>
      </c>
      <c r="AK11">
        <f>'Corrale Swamp'!AI11</f>
        <v>825</v>
      </c>
      <c r="AL11">
        <f>'Corrale Swamp'!AJ11</f>
        <v>35</v>
      </c>
      <c r="AM11">
        <f>'Corrale Swamp'!AK11</f>
        <v>30736</v>
      </c>
      <c r="AN11">
        <f>'Corrale Swamp'!AL11</f>
        <v>0.1</v>
      </c>
      <c r="AO11">
        <f>'Corrale Swamp'!AM11</f>
        <v>1598</v>
      </c>
      <c r="AP11">
        <f>'Corrale Swamp'!AN11</f>
        <v>9935</v>
      </c>
      <c r="AQ11">
        <f>'Corrale Swamp'!AO11</f>
        <v>29</v>
      </c>
      <c r="AR11">
        <f>'Corrale Swamp'!AP11</f>
        <v>306689</v>
      </c>
      <c r="AS11">
        <f>'Corrale Swamp'!AQ11</f>
        <v>1.4</v>
      </c>
      <c r="AT11">
        <f>'Corrale Swamp'!AR11</f>
        <v>1730</v>
      </c>
      <c r="AU11">
        <f>'Corrale Swamp'!AS11</f>
        <v>4261</v>
      </c>
      <c r="AV11">
        <f>'Corrale Swamp'!AT11</f>
        <v>115</v>
      </c>
      <c r="AW11">
        <f>'Corrale Swamp'!AU11</f>
        <v>521605</v>
      </c>
      <c r="AX11">
        <f>'Corrale Swamp'!AV11</f>
        <v>2.4</v>
      </c>
    </row>
    <row r="12" spans="1:50">
      <c r="A12" t="str">
        <f>'Corrale Swamp'!A12</f>
        <v>/Users/christophermarjo/Documents/Python/Projects/data/bushfire Raman/Corrale Swamp/CS 3.5 (1)</v>
      </c>
      <c r="B12" t="s">
        <v>854</v>
      </c>
      <c r="C12">
        <v>3.5</v>
      </c>
      <c r="D12" t="str">
        <f>'Corrale Swamp'!B12</f>
        <v>18.10 counts</v>
      </c>
      <c r="E12">
        <f>'Corrale Swamp'!C12</f>
        <v>0.99000200000000005</v>
      </c>
      <c r="F12">
        <f>'Corrale Swamp'!D12</f>
        <v>1369</v>
      </c>
      <c r="G12">
        <f>'Corrale Swamp'!E12</f>
        <v>12263</v>
      </c>
      <c r="H12">
        <f>'Corrale Swamp'!F12</f>
        <v>340</v>
      </c>
      <c r="I12">
        <f>'Corrale Swamp'!G12</f>
        <v>4438210</v>
      </c>
      <c r="J12">
        <f>'Corrale Swamp'!H12</f>
        <v>71.3</v>
      </c>
      <c r="K12">
        <f>'Corrale Swamp'!I12</f>
        <v>1588</v>
      </c>
      <c r="L12">
        <f>'Corrale Swamp'!J12</f>
        <v>13401</v>
      </c>
      <c r="M12">
        <f>'Corrale Swamp'!K12</f>
        <v>104</v>
      </c>
      <c r="N12">
        <f>'Corrale Swamp'!L12</f>
        <v>1483552</v>
      </c>
      <c r="O12">
        <f>'Corrale Swamp'!M12</f>
        <v>23.8</v>
      </c>
      <c r="P12">
        <f>'Corrale Swamp'!N12</f>
        <v>1035</v>
      </c>
      <c r="Q12">
        <f>'Corrale Swamp'!O12</f>
        <v>473</v>
      </c>
      <c r="R12">
        <f>'Corrale Swamp'!P12</f>
        <v>65</v>
      </c>
      <c r="S12">
        <f>'Corrale Swamp'!Q12</f>
        <v>32727</v>
      </c>
      <c r="T12">
        <f>'Corrale Swamp'!R12</f>
        <v>0.5</v>
      </c>
      <c r="U12">
        <f>'Corrale Swamp'!S12</f>
        <v>1186</v>
      </c>
      <c r="V12">
        <f>'Corrale Swamp'!T12</f>
        <v>1</v>
      </c>
      <c r="W12">
        <f>'Corrale Swamp'!U12</f>
        <v>1</v>
      </c>
      <c r="X12">
        <f>'Corrale Swamp'!V12</f>
        <v>1</v>
      </c>
      <c r="Y12">
        <f>'Corrale Swamp'!W12</f>
        <v>0</v>
      </c>
      <c r="Z12">
        <f>'Corrale Swamp'!X12</f>
        <v>1256</v>
      </c>
      <c r="AA12">
        <f>'Corrale Swamp'!Y12</f>
        <v>1</v>
      </c>
      <c r="AB12">
        <f>'Corrale Swamp'!Z12</f>
        <v>1</v>
      </c>
      <c r="AC12">
        <f>'Corrale Swamp'!AA12</f>
        <v>1</v>
      </c>
      <c r="AD12">
        <f>'Corrale Swamp'!AB12</f>
        <v>0</v>
      </c>
      <c r="AE12">
        <f>'Corrale Swamp'!AC12</f>
        <v>1440</v>
      </c>
      <c r="AF12">
        <f>'Corrale Swamp'!AD12</f>
        <v>15</v>
      </c>
      <c r="AG12">
        <f>'Corrale Swamp'!AE12</f>
        <v>157</v>
      </c>
      <c r="AH12">
        <f>'Corrale Swamp'!AF12</f>
        <v>2507</v>
      </c>
      <c r="AI12">
        <f>'Corrale Swamp'!AG12</f>
        <v>0</v>
      </c>
      <c r="AJ12">
        <f>'Corrale Swamp'!AH12</f>
        <v>1506</v>
      </c>
      <c r="AK12">
        <f>'Corrale Swamp'!AI12</f>
        <v>313</v>
      </c>
      <c r="AL12">
        <f>'Corrale Swamp'!AJ12</f>
        <v>31</v>
      </c>
      <c r="AM12">
        <f>'Corrale Swamp'!AK12</f>
        <v>10329</v>
      </c>
      <c r="AN12">
        <f>'Corrale Swamp'!AL12</f>
        <v>0.2</v>
      </c>
      <c r="AO12">
        <f>'Corrale Swamp'!AM12</f>
        <v>1598</v>
      </c>
      <c r="AP12">
        <f>'Corrale Swamp'!AN12</f>
        <v>475</v>
      </c>
      <c r="AQ12">
        <f>'Corrale Swamp'!AO12</f>
        <v>25</v>
      </c>
      <c r="AR12">
        <f>'Corrale Swamp'!AP12</f>
        <v>12641</v>
      </c>
      <c r="AS12">
        <f>'Corrale Swamp'!AQ12</f>
        <v>0.2</v>
      </c>
      <c r="AT12">
        <f>'Corrale Swamp'!AR12</f>
        <v>1726</v>
      </c>
      <c r="AU12">
        <f>'Corrale Swamp'!AS12</f>
        <v>1495</v>
      </c>
      <c r="AV12">
        <f>'Corrale Swamp'!AT12</f>
        <v>153</v>
      </c>
      <c r="AW12">
        <f>'Corrale Swamp'!AU12</f>
        <v>243481</v>
      </c>
      <c r="AX12">
        <f>'Corrale Swamp'!AV12</f>
        <v>3.9</v>
      </c>
    </row>
    <row r="13" spans="1:50">
      <c r="A13" t="str">
        <f>'Corrale Swamp'!A13</f>
        <v>/Users/christophermarjo/Documents/Python/Projects/data/bushfire Raman/Corrale Swamp/CS 3.5 (2)</v>
      </c>
      <c r="B13" t="s">
        <v>854</v>
      </c>
      <c r="C13">
        <v>3.5</v>
      </c>
      <c r="D13" t="str">
        <f>'Corrale Swamp'!B13</f>
        <v>37.27 counts</v>
      </c>
      <c r="E13">
        <f>'Corrale Swamp'!C13</f>
        <v>0.97827200000000003</v>
      </c>
      <c r="F13">
        <f>'Corrale Swamp'!D13</f>
        <v>1369</v>
      </c>
      <c r="G13">
        <f>'Corrale Swamp'!E13</f>
        <v>17359</v>
      </c>
      <c r="H13">
        <f>'Corrale Swamp'!F13</f>
        <v>326</v>
      </c>
      <c r="I13">
        <f>'Corrale Swamp'!G13</f>
        <v>6023855</v>
      </c>
      <c r="J13">
        <f>'Corrale Swamp'!H13</f>
        <v>64.7</v>
      </c>
      <c r="K13">
        <f>'Corrale Swamp'!I13</f>
        <v>1588</v>
      </c>
      <c r="L13">
        <f>'Corrale Swamp'!J13</f>
        <v>19315</v>
      </c>
      <c r="M13">
        <f>'Corrale Swamp'!K13</f>
        <v>112</v>
      </c>
      <c r="N13">
        <f>'Corrale Swamp'!L13</f>
        <v>2302740</v>
      </c>
      <c r="O13">
        <f>'Corrale Swamp'!M13</f>
        <v>24.7</v>
      </c>
      <c r="P13">
        <f>'Corrale Swamp'!N13</f>
        <v>1017</v>
      </c>
      <c r="Q13">
        <f>'Corrale Swamp'!O13</f>
        <v>669</v>
      </c>
      <c r="R13">
        <f>'Corrale Swamp'!P13</f>
        <v>39</v>
      </c>
      <c r="S13">
        <f>'Corrale Swamp'!Q13</f>
        <v>27773</v>
      </c>
      <c r="T13">
        <f>'Corrale Swamp'!R13</f>
        <v>0.3</v>
      </c>
      <c r="U13">
        <f>'Corrale Swamp'!S13</f>
        <v>1152</v>
      </c>
      <c r="V13">
        <f>'Corrale Swamp'!T13</f>
        <v>195</v>
      </c>
      <c r="W13">
        <f>'Corrale Swamp'!U13</f>
        <v>5</v>
      </c>
      <c r="X13">
        <f>'Corrale Swamp'!V13</f>
        <v>1038</v>
      </c>
      <c r="Y13">
        <f>'Corrale Swamp'!W13</f>
        <v>0</v>
      </c>
      <c r="Z13">
        <f>'Corrale Swamp'!X13</f>
        <v>1256</v>
      </c>
      <c r="AA13">
        <f>'Corrale Swamp'!Y13</f>
        <v>1</v>
      </c>
      <c r="AB13">
        <f>'Corrale Swamp'!Z13</f>
        <v>1</v>
      </c>
      <c r="AC13">
        <f>'Corrale Swamp'!AA13</f>
        <v>1</v>
      </c>
      <c r="AD13">
        <f>'Corrale Swamp'!AB13</f>
        <v>0</v>
      </c>
      <c r="AE13">
        <f>'Corrale Swamp'!AC13</f>
        <v>1440</v>
      </c>
      <c r="AF13">
        <f>'Corrale Swamp'!AD13</f>
        <v>593</v>
      </c>
      <c r="AG13">
        <f>'Corrale Swamp'!AE13</f>
        <v>109</v>
      </c>
      <c r="AH13">
        <f>'Corrale Swamp'!AF13</f>
        <v>68804</v>
      </c>
      <c r="AI13">
        <f>'Corrale Swamp'!AG13</f>
        <v>0.7</v>
      </c>
      <c r="AJ13">
        <f>'Corrale Swamp'!AH13</f>
        <v>1506</v>
      </c>
      <c r="AK13">
        <f>'Corrale Swamp'!AI13</f>
        <v>697</v>
      </c>
      <c r="AL13">
        <f>'Corrale Swamp'!AJ13</f>
        <v>93</v>
      </c>
      <c r="AM13">
        <f>'Corrale Swamp'!AK13</f>
        <v>69000</v>
      </c>
      <c r="AN13">
        <f>'Corrale Swamp'!AL13</f>
        <v>0.7</v>
      </c>
      <c r="AO13">
        <f>'Corrale Swamp'!AM13</f>
        <v>1582</v>
      </c>
      <c r="AP13">
        <f>'Corrale Swamp'!AN13</f>
        <v>685</v>
      </c>
      <c r="AQ13">
        <f>'Corrale Swamp'!AO13</f>
        <v>5</v>
      </c>
      <c r="AR13">
        <f>'Corrale Swamp'!AP13</f>
        <v>3646</v>
      </c>
      <c r="AS13">
        <f>'Corrale Swamp'!AQ13</f>
        <v>0</v>
      </c>
      <c r="AT13">
        <f>'Corrale Swamp'!AR13</f>
        <v>1742</v>
      </c>
      <c r="AU13">
        <f>'Corrale Swamp'!AS13</f>
        <v>3839</v>
      </c>
      <c r="AV13">
        <f>'Corrale Swamp'!AT13</f>
        <v>199</v>
      </c>
      <c r="AW13">
        <f>'Corrale Swamp'!AU13</f>
        <v>813211</v>
      </c>
      <c r="AX13">
        <f>'Corrale Swamp'!AV13</f>
        <v>8.6999999999999993</v>
      </c>
    </row>
    <row r="14" spans="1:50">
      <c r="A14" t="str">
        <f>'Corrale Swamp'!A14</f>
        <v>/Users/christophermarjo/Documents/Python/Projects/data/bushfire Raman/Corrale Swamp/CS 3.5 (3)</v>
      </c>
      <c r="B14" t="s">
        <v>854</v>
      </c>
      <c r="C14">
        <v>3.5</v>
      </c>
      <c r="D14" t="str">
        <f>'Corrale Swamp'!B14</f>
        <v>25.19 counts</v>
      </c>
      <c r="E14">
        <f>'Corrale Swamp'!C14</f>
        <v>0.98387899999999995</v>
      </c>
      <c r="F14">
        <f>'Corrale Swamp'!D14</f>
        <v>1369</v>
      </c>
      <c r="G14">
        <f>'Corrale Swamp'!E14</f>
        <v>12801</v>
      </c>
      <c r="H14">
        <f>'Corrale Swamp'!F14</f>
        <v>302</v>
      </c>
      <c r="I14">
        <f>'Corrale Swamp'!G14</f>
        <v>4115125</v>
      </c>
      <c r="J14">
        <f>'Corrale Swamp'!H14</f>
        <v>64.2</v>
      </c>
      <c r="K14">
        <f>'Corrale Swamp'!I14</f>
        <v>1588</v>
      </c>
      <c r="L14">
        <f>'Corrale Swamp'!J14</f>
        <v>16109</v>
      </c>
      <c r="M14">
        <f>'Corrale Swamp'!K14</f>
        <v>112</v>
      </c>
      <c r="N14">
        <f>'Corrale Swamp'!L14</f>
        <v>1920520</v>
      </c>
      <c r="O14">
        <f>'Corrale Swamp'!M14</f>
        <v>30</v>
      </c>
      <c r="P14">
        <f>'Corrale Swamp'!N14</f>
        <v>1043</v>
      </c>
      <c r="Q14">
        <f>'Corrale Swamp'!O14</f>
        <v>483</v>
      </c>
      <c r="R14">
        <f>'Corrale Swamp'!P14</f>
        <v>7</v>
      </c>
      <c r="S14">
        <f>'Corrale Swamp'!Q14</f>
        <v>3599</v>
      </c>
      <c r="T14">
        <f>'Corrale Swamp'!R14</f>
        <v>0.1</v>
      </c>
      <c r="U14">
        <f>'Corrale Swamp'!S14</f>
        <v>1170</v>
      </c>
      <c r="V14">
        <f>'Corrale Swamp'!T14</f>
        <v>281</v>
      </c>
      <c r="W14">
        <f>'Corrale Swamp'!U14</f>
        <v>5</v>
      </c>
      <c r="X14">
        <f>'Corrale Swamp'!V14</f>
        <v>1496</v>
      </c>
      <c r="Y14">
        <f>'Corrale Swamp'!W14</f>
        <v>0</v>
      </c>
      <c r="Z14">
        <f>'Corrale Swamp'!X14</f>
        <v>1256</v>
      </c>
      <c r="AA14">
        <f>'Corrale Swamp'!Y14</f>
        <v>1</v>
      </c>
      <c r="AB14">
        <f>'Corrale Swamp'!Z14</f>
        <v>1</v>
      </c>
      <c r="AC14">
        <f>'Corrale Swamp'!AA14</f>
        <v>1</v>
      </c>
      <c r="AD14">
        <f>'Corrale Swamp'!AB14</f>
        <v>0</v>
      </c>
      <c r="AE14">
        <f>'Corrale Swamp'!AC14</f>
        <v>1440</v>
      </c>
      <c r="AF14">
        <f>'Corrale Swamp'!AD14</f>
        <v>83</v>
      </c>
      <c r="AG14">
        <f>'Corrale Swamp'!AE14</f>
        <v>111</v>
      </c>
      <c r="AH14">
        <f>'Corrale Swamp'!AF14</f>
        <v>9807</v>
      </c>
      <c r="AI14">
        <f>'Corrale Swamp'!AG14</f>
        <v>0.2</v>
      </c>
      <c r="AJ14">
        <f>'Corrale Swamp'!AH14</f>
        <v>1486</v>
      </c>
      <c r="AK14">
        <f>'Corrale Swamp'!AI14</f>
        <v>1295</v>
      </c>
      <c r="AL14">
        <f>'Corrale Swamp'!AJ14</f>
        <v>43</v>
      </c>
      <c r="AM14">
        <f>'Corrale Swamp'!AK14</f>
        <v>59275</v>
      </c>
      <c r="AN14">
        <f>'Corrale Swamp'!AL14</f>
        <v>0.9</v>
      </c>
      <c r="AO14">
        <f>'Corrale Swamp'!AM14</f>
        <v>1598</v>
      </c>
      <c r="AP14">
        <f>'Corrale Swamp'!AN14</f>
        <v>1611</v>
      </c>
      <c r="AQ14">
        <f>'Corrale Swamp'!AO14</f>
        <v>21</v>
      </c>
      <c r="AR14">
        <f>'Corrale Swamp'!AP14</f>
        <v>36012</v>
      </c>
      <c r="AS14">
        <f>'Corrale Swamp'!AQ14</f>
        <v>0.6</v>
      </c>
      <c r="AT14">
        <f>'Corrale Swamp'!AR14</f>
        <v>1732</v>
      </c>
      <c r="AU14">
        <f>'Corrale Swamp'!AS14</f>
        <v>2247</v>
      </c>
      <c r="AV14">
        <f>'Corrale Swamp'!AT14</f>
        <v>111</v>
      </c>
      <c r="AW14">
        <f>'Corrale Swamp'!AU14</f>
        <v>265496</v>
      </c>
      <c r="AX14">
        <f>'Corrale Swamp'!AV14</f>
        <v>4.0999999999999996</v>
      </c>
    </row>
    <row r="15" spans="1:50">
      <c r="A15" t="str">
        <f>'Corrale Swamp'!A15</f>
        <v>/Users/christophermarjo/Documents/Python/Projects/data/bushfire Raman/Corrale Swamp/CS 3.5 (4)</v>
      </c>
      <c r="B15" t="s">
        <v>854</v>
      </c>
      <c r="C15">
        <v>3.5</v>
      </c>
      <c r="D15" t="str">
        <f>'Corrale Swamp'!B15</f>
        <v>21.77 counts</v>
      </c>
      <c r="E15">
        <f>'Corrale Swamp'!C15</f>
        <v>0.986043</v>
      </c>
      <c r="F15">
        <f>'Corrale Swamp'!D15</f>
        <v>1369</v>
      </c>
      <c r="G15">
        <f>'Corrale Swamp'!E15</f>
        <v>12837</v>
      </c>
      <c r="H15">
        <f>'Corrale Swamp'!F15</f>
        <v>340</v>
      </c>
      <c r="I15">
        <f>'Corrale Swamp'!G15</f>
        <v>4645952</v>
      </c>
      <c r="J15">
        <f>'Corrale Swamp'!H15</f>
        <v>73.099999999999994</v>
      </c>
      <c r="K15">
        <f>'Corrale Swamp'!I15</f>
        <v>1586</v>
      </c>
      <c r="L15">
        <f>'Corrale Swamp'!J15</f>
        <v>12619</v>
      </c>
      <c r="M15">
        <f>'Corrale Swamp'!K15</f>
        <v>100</v>
      </c>
      <c r="N15">
        <f>'Corrale Swamp'!L15</f>
        <v>1343251</v>
      </c>
      <c r="O15">
        <f>'Corrale Swamp'!M15</f>
        <v>21.1</v>
      </c>
      <c r="P15">
        <f>'Corrale Swamp'!N15</f>
        <v>1049</v>
      </c>
      <c r="Q15">
        <f>'Corrale Swamp'!O15</f>
        <v>475</v>
      </c>
      <c r="R15">
        <f>'Corrale Swamp'!P15</f>
        <v>73</v>
      </c>
      <c r="S15">
        <f>'Corrale Swamp'!Q15</f>
        <v>36910</v>
      </c>
      <c r="T15">
        <f>'Corrale Swamp'!R15</f>
        <v>0.6</v>
      </c>
      <c r="U15">
        <f>'Corrale Swamp'!S15</f>
        <v>1186</v>
      </c>
      <c r="V15">
        <f>'Corrale Swamp'!T15</f>
        <v>1</v>
      </c>
      <c r="W15">
        <f>'Corrale Swamp'!U15</f>
        <v>1</v>
      </c>
      <c r="X15">
        <f>'Corrale Swamp'!V15</f>
        <v>1</v>
      </c>
      <c r="Y15">
        <f>'Corrale Swamp'!W15</f>
        <v>0</v>
      </c>
      <c r="Z15">
        <f>'Corrale Swamp'!X15</f>
        <v>1256</v>
      </c>
      <c r="AA15">
        <f>'Corrale Swamp'!Y15</f>
        <v>1</v>
      </c>
      <c r="AB15">
        <f>'Corrale Swamp'!Z15</f>
        <v>1</v>
      </c>
      <c r="AC15">
        <f>'Corrale Swamp'!AA15</f>
        <v>1</v>
      </c>
      <c r="AD15">
        <f>'Corrale Swamp'!AB15</f>
        <v>0</v>
      </c>
      <c r="AE15">
        <f>'Corrale Swamp'!AC15</f>
        <v>1404</v>
      </c>
      <c r="AF15">
        <f>'Corrale Swamp'!AD15</f>
        <v>29</v>
      </c>
      <c r="AG15">
        <f>'Corrale Swamp'!AE15</f>
        <v>147</v>
      </c>
      <c r="AH15">
        <f>'Corrale Swamp'!AF15</f>
        <v>4538</v>
      </c>
      <c r="AI15">
        <f>'Corrale Swamp'!AG15</f>
        <v>0.1</v>
      </c>
      <c r="AJ15">
        <f>'Corrale Swamp'!AH15</f>
        <v>1506</v>
      </c>
      <c r="AK15">
        <f>'Corrale Swamp'!AI15</f>
        <v>479</v>
      </c>
      <c r="AL15">
        <f>'Corrale Swamp'!AJ15</f>
        <v>21</v>
      </c>
      <c r="AM15">
        <f>'Corrale Swamp'!AK15</f>
        <v>10707</v>
      </c>
      <c r="AN15">
        <f>'Corrale Swamp'!AL15</f>
        <v>0.2</v>
      </c>
      <c r="AO15">
        <f>'Corrale Swamp'!AM15</f>
        <v>1598</v>
      </c>
      <c r="AP15">
        <f>'Corrale Swamp'!AN15</f>
        <v>685</v>
      </c>
      <c r="AQ15">
        <f>'Corrale Swamp'!AO15</f>
        <v>25</v>
      </c>
      <c r="AR15">
        <f>'Corrale Swamp'!AP15</f>
        <v>18229</v>
      </c>
      <c r="AS15">
        <f>'Corrale Swamp'!AQ15</f>
        <v>0.3</v>
      </c>
      <c r="AT15">
        <f>'Corrale Swamp'!AR15</f>
        <v>1732</v>
      </c>
      <c r="AU15">
        <f>'Corrale Swamp'!AS15</f>
        <v>1383</v>
      </c>
      <c r="AV15">
        <f>'Corrale Swamp'!AT15</f>
        <v>199</v>
      </c>
      <c r="AW15">
        <f>'Corrale Swamp'!AU15</f>
        <v>292959</v>
      </c>
      <c r="AX15">
        <f>'Corrale Swamp'!AV15</f>
        <v>4.5999999999999996</v>
      </c>
    </row>
    <row r="16" spans="1:50">
      <c r="A16" t="str">
        <f>'Corrale Swamp'!A16</f>
        <v>/Users/christophermarjo/Documents/Python/Projects/data/bushfire Raman/Corrale Swamp/CS 3.5 (5)</v>
      </c>
      <c r="B16" t="s">
        <v>854</v>
      </c>
      <c r="C16">
        <v>3.5</v>
      </c>
      <c r="D16" t="str">
        <f>'Corrale Swamp'!B16</f>
        <v>16.52 counts</v>
      </c>
      <c r="E16">
        <f>'Corrale Swamp'!C16</f>
        <v>0.99207500000000004</v>
      </c>
      <c r="F16">
        <f>'Corrale Swamp'!D16</f>
        <v>1369</v>
      </c>
      <c r="G16">
        <f>'Corrale Swamp'!E16</f>
        <v>12759</v>
      </c>
      <c r="H16">
        <f>'Corrale Swamp'!F16</f>
        <v>332</v>
      </c>
      <c r="I16">
        <f>'Corrale Swamp'!G16</f>
        <v>4509070</v>
      </c>
      <c r="J16">
        <f>'Corrale Swamp'!H16</f>
        <v>71.900000000000006</v>
      </c>
      <c r="K16">
        <f>'Corrale Swamp'!I16</f>
        <v>1588</v>
      </c>
      <c r="L16">
        <f>'Corrale Swamp'!J16</f>
        <v>13303</v>
      </c>
      <c r="M16">
        <f>'Corrale Swamp'!K16</f>
        <v>102</v>
      </c>
      <c r="N16">
        <f>'Corrale Swamp'!L16</f>
        <v>1444382</v>
      </c>
      <c r="O16">
        <f>'Corrale Swamp'!M16</f>
        <v>23</v>
      </c>
      <c r="P16">
        <f>'Corrale Swamp'!N16</f>
        <v>1035</v>
      </c>
      <c r="Q16">
        <f>'Corrale Swamp'!O16</f>
        <v>441</v>
      </c>
      <c r="R16">
        <f>'Corrale Swamp'!P16</f>
        <v>69</v>
      </c>
      <c r="S16">
        <f>'Corrale Swamp'!Q16</f>
        <v>32391</v>
      </c>
      <c r="T16">
        <f>'Corrale Swamp'!R16</f>
        <v>0.5</v>
      </c>
      <c r="U16">
        <f>'Corrale Swamp'!S16</f>
        <v>1186</v>
      </c>
      <c r="V16">
        <f>'Corrale Swamp'!T16</f>
        <v>1</v>
      </c>
      <c r="W16">
        <f>'Corrale Swamp'!U16</f>
        <v>1</v>
      </c>
      <c r="X16">
        <f>'Corrale Swamp'!V16</f>
        <v>1</v>
      </c>
      <c r="Y16">
        <f>'Corrale Swamp'!W16</f>
        <v>0</v>
      </c>
      <c r="Z16">
        <f>'Corrale Swamp'!X16</f>
        <v>1256</v>
      </c>
      <c r="AA16">
        <f>'Corrale Swamp'!Y16</f>
        <v>1203</v>
      </c>
      <c r="AB16">
        <f>'Corrale Swamp'!Z16</f>
        <v>1</v>
      </c>
      <c r="AC16">
        <f>'Corrale Swamp'!AA16</f>
        <v>1281</v>
      </c>
      <c r="AD16">
        <f>'Corrale Swamp'!AB16</f>
        <v>0</v>
      </c>
      <c r="AE16">
        <f>'Corrale Swamp'!AC16</f>
        <v>1456</v>
      </c>
      <c r="AF16">
        <f>'Corrale Swamp'!AD16</f>
        <v>63</v>
      </c>
      <c r="AG16">
        <f>'Corrale Swamp'!AE16</f>
        <v>1</v>
      </c>
      <c r="AH16">
        <f>'Corrale Swamp'!AF16</f>
        <v>67</v>
      </c>
      <c r="AI16">
        <f>'Corrale Swamp'!AG16</f>
        <v>0</v>
      </c>
      <c r="AJ16">
        <f>'Corrale Swamp'!AH16</f>
        <v>1506</v>
      </c>
      <c r="AK16">
        <f>'Corrale Swamp'!AI16</f>
        <v>327</v>
      </c>
      <c r="AL16">
        <f>'Corrale Swamp'!AJ16</f>
        <v>27</v>
      </c>
      <c r="AM16">
        <f>'Corrale Swamp'!AK16</f>
        <v>9398</v>
      </c>
      <c r="AN16">
        <f>'Corrale Swamp'!AL16</f>
        <v>0.1</v>
      </c>
      <c r="AO16">
        <f>'Corrale Swamp'!AM16</f>
        <v>1598</v>
      </c>
      <c r="AP16">
        <f>'Corrale Swamp'!AN16</f>
        <v>1393</v>
      </c>
      <c r="AQ16">
        <f>'Corrale Swamp'!AO16</f>
        <v>25</v>
      </c>
      <c r="AR16">
        <f>'Corrale Swamp'!AP16</f>
        <v>37070</v>
      </c>
      <c r="AS16">
        <f>'Corrale Swamp'!AQ16</f>
        <v>0.6</v>
      </c>
      <c r="AT16">
        <f>'Corrale Swamp'!AR16</f>
        <v>1720</v>
      </c>
      <c r="AU16">
        <f>'Corrale Swamp'!AS16</f>
        <v>1807</v>
      </c>
      <c r="AV16">
        <f>'Corrale Swamp'!AT16</f>
        <v>123</v>
      </c>
      <c r="AW16">
        <f>'Corrale Swamp'!AU16</f>
        <v>236590</v>
      </c>
      <c r="AX16">
        <f>'Corrale Swamp'!AV16</f>
        <v>3.8</v>
      </c>
    </row>
    <row r="17" spans="1:50">
      <c r="A17" t="str">
        <f>'Corrale Swamp'!A17</f>
        <v>/Users/christophermarjo/Documents/Python/Projects/data/bushfire Raman/Corrale Swamp/CS 7.5 (1)</v>
      </c>
      <c r="B17" t="s">
        <v>854</v>
      </c>
      <c r="C17">
        <v>7.5</v>
      </c>
      <c r="D17" t="str">
        <f>'Corrale Swamp'!B17</f>
        <v>6.54 counts</v>
      </c>
      <c r="E17">
        <f>'Corrale Swamp'!C17</f>
        <v>0.98910600000000004</v>
      </c>
      <c r="F17">
        <f>'Corrale Swamp'!D17</f>
        <v>1369</v>
      </c>
      <c r="G17">
        <f>'Corrale Swamp'!E17</f>
        <v>4457</v>
      </c>
      <c r="H17">
        <f>'Corrale Swamp'!F17</f>
        <v>326</v>
      </c>
      <c r="I17">
        <f>'Corrale Swamp'!G17</f>
        <v>1546651</v>
      </c>
      <c r="J17">
        <f>'Corrale Swamp'!H17</f>
        <v>75.599999999999994</v>
      </c>
      <c r="K17">
        <f>'Corrale Swamp'!I17</f>
        <v>1588</v>
      </c>
      <c r="L17">
        <f>'Corrale Swamp'!J17</f>
        <v>4075</v>
      </c>
      <c r="M17">
        <f>'Corrale Swamp'!K17</f>
        <v>102</v>
      </c>
      <c r="N17">
        <f>'Corrale Swamp'!L17</f>
        <v>442446</v>
      </c>
      <c r="O17">
        <f>'Corrale Swamp'!M17</f>
        <v>21.6</v>
      </c>
      <c r="P17">
        <f>'Corrale Swamp'!N17</f>
        <v>1027</v>
      </c>
      <c r="Q17">
        <f>'Corrale Swamp'!O17</f>
        <v>181</v>
      </c>
      <c r="R17">
        <f>'Corrale Swamp'!P17</f>
        <v>65</v>
      </c>
      <c r="S17">
        <f>'Corrale Swamp'!Q17</f>
        <v>12523</v>
      </c>
      <c r="T17">
        <f>'Corrale Swamp'!R17</f>
        <v>0.6</v>
      </c>
      <c r="U17">
        <f>'Corrale Swamp'!S17</f>
        <v>1186</v>
      </c>
      <c r="V17">
        <f>'Corrale Swamp'!T17</f>
        <v>1</v>
      </c>
      <c r="W17">
        <f>'Corrale Swamp'!U17</f>
        <v>1</v>
      </c>
      <c r="X17">
        <f>'Corrale Swamp'!V17</f>
        <v>1</v>
      </c>
      <c r="Y17">
        <f>'Corrale Swamp'!W17</f>
        <v>0</v>
      </c>
      <c r="Z17">
        <f>'Corrale Swamp'!X17</f>
        <v>1296</v>
      </c>
      <c r="AA17">
        <f>'Corrale Swamp'!Y17</f>
        <v>11</v>
      </c>
      <c r="AB17">
        <f>'Corrale Swamp'!Z17</f>
        <v>1</v>
      </c>
      <c r="AC17">
        <f>'Corrale Swamp'!AA17</f>
        <v>12</v>
      </c>
      <c r="AD17">
        <f>'Corrale Swamp'!AB17</f>
        <v>0</v>
      </c>
      <c r="AE17">
        <f>'Corrale Swamp'!AC17</f>
        <v>1400</v>
      </c>
      <c r="AF17">
        <f>'Corrale Swamp'!AD17</f>
        <v>1</v>
      </c>
      <c r="AG17">
        <f>'Corrale Swamp'!AE17</f>
        <v>1</v>
      </c>
      <c r="AH17">
        <f>'Corrale Swamp'!AF17</f>
        <v>1</v>
      </c>
      <c r="AI17">
        <f>'Corrale Swamp'!AG17</f>
        <v>0</v>
      </c>
      <c r="AJ17">
        <f>'Corrale Swamp'!AH17</f>
        <v>1506</v>
      </c>
      <c r="AK17">
        <f>'Corrale Swamp'!AI17</f>
        <v>75</v>
      </c>
      <c r="AL17">
        <f>'Corrale Swamp'!AJ17</f>
        <v>35</v>
      </c>
      <c r="AM17">
        <f>'Corrale Swamp'!AK17</f>
        <v>2794</v>
      </c>
      <c r="AN17">
        <f>'Corrale Swamp'!AL17</f>
        <v>0.1</v>
      </c>
      <c r="AO17">
        <f>'Corrale Swamp'!AM17</f>
        <v>1598</v>
      </c>
      <c r="AP17">
        <f>'Corrale Swamp'!AN17</f>
        <v>355</v>
      </c>
      <c r="AQ17">
        <f>'Corrale Swamp'!AO17</f>
        <v>25</v>
      </c>
      <c r="AR17">
        <f>'Corrale Swamp'!AP17</f>
        <v>9447</v>
      </c>
      <c r="AS17">
        <f>'Corrale Swamp'!AQ17</f>
        <v>0.5</v>
      </c>
      <c r="AT17">
        <f>'Corrale Swamp'!AR17</f>
        <v>1724</v>
      </c>
      <c r="AU17">
        <f>'Corrale Swamp'!AS17</f>
        <v>279</v>
      </c>
      <c r="AV17">
        <f>'Corrale Swamp'!AT17</f>
        <v>109</v>
      </c>
      <c r="AW17">
        <f>'Corrale Swamp'!AU17</f>
        <v>32372</v>
      </c>
      <c r="AX17">
        <f>'Corrale Swamp'!AV17</f>
        <v>1.6</v>
      </c>
    </row>
    <row r="18" spans="1:50">
      <c r="A18" t="str">
        <f>'Corrale Swamp'!A18</f>
        <v>/Users/christophermarjo/Documents/Python/Projects/data/bushfire Raman/Corrale Swamp/CS 7.5 (2)</v>
      </c>
      <c r="B18" t="s">
        <v>854</v>
      </c>
      <c r="C18">
        <v>7.5</v>
      </c>
      <c r="D18" t="str">
        <f>'Corrale Swamp'!B18</f>
        <v>14.35 counts</v>
      </c>
      <c r="E18">
        <f>'Corrale Swamp'!C18</f>
        <v>0.98548999999999998</v>
      </c>
      <c r="F18">
        <f>'Corrale Swamp'!D18</f>
        <v>1367</v>
      </c>
      <c r="G18">
        <f>'Corrale Swamp'!E18</f>
        <v>8607</v>
      </c>
      <c r="H18">
        <f>'Corrale Swamp'!F18</f>
        <v>316</v>
      </c>
      <c r="I18">
        <f>'Corrale Swamp'!G18</f>
        <v>2895150</v>
      </c>
      <c r="J18">
        <f>'Corrale Swamp'!H18</f>
        <v>71.900000000000006</v>
      </c>
      <c r="K18">
        <f>'Corrale Swamp'!I18</f>
        <v>1588</v>
      </c>
      <c r="L18">
        <f>'Corrale Swamp'!J18</f>
        <v>8185</v>
      </c>
      <c r="M18">
        <f>'Corrale Swamp'!K18</f>
        <v>104</v>
      </c>
      <c r="N18">
        <f>'Corrale Swamp'!L18</f>
        <v>906117</v>
      </c>
      <c r="O18">
        <f>'Corrale Swamp'!M18</f>
        <v>22.5</v>
      </c>
      <c r="P18">
        <f>'Corrale Swamp'!N18</f>
        <v>1049</v>
      </c>
      <c r="Q18">
        <f>'Corrale Swamp'!O18</f>
        <v>265</v>
      </c>
      <c r="R18">
        <f>'Corrale Swamp'!P18</f>
        <v>83</v>
      </c>
      <c r="S18">
        <f>'Corrale Swamp'!Q18</f>
        <v>23413</v>
      </c>
      <c r="T18">
        <f>'Corrale Swamp'!R18</f>
        <v>0.6</v>
      </c>
      <c r="U18">
        <f>'Corrale Swamp'!S18</f>
        <v>1152</v>
      </c>
      <c r="V18">
        <f>'Corrale Swamp'!T18</f>
        <v>31</v>
      </c>
      <c r="W18">
        <f>'Corrale Swamp'!U18</f>
        <v>1</v>
      </c>
      <c r="X18">
        <f>'Corrale Swamp'!V18</f>
        <v>33</v>
      </c>
      <c r="Y18">
        <f>'Corrale Swamp'!W18</f>
        <v>0</v>
      </c>
      <c r="Z18">
        <f>'Corrale Swamp'!X18</f>
        <v>1286</v>
      </c>
      <c r="AA18">
        <f>'Corrale Swamp'!Y18</f>
        <v>41</v>
      </c>
      <c r="AB18">
        <f>'Corrale Swamp'!Z18</f>
        <v>1</v>
      </c>
      <c r="AC18">
        <f>'Corrale Swamp'!AA18</f>
        <v>44</v>
      </c>
      <c r="AD18">
        <f>'Corrale Swamp'!AB18</f>
        <v>0</v>
      </c>
      <c r="AE18">
        <f>'Corrale Swamp'!AC18</f>
        <v>1456</v>
      </c>
      <c r="AF18">
        <f>'Corrale Swamp'!AD18</f>
        <v>101</v>
      </c>
      <c r="AG18">
        <f>'Corrale Swamp'!AE18</f>
        <v>1</v>
      </c>
      <c r="AH18">
        <f>'Corrale Swamp'!AF18</f>
        <v>108</v>
      </c>
      <c r="AI18">
        <f>'Corrale Swamp'!AG18</f>
        <v>0</v>
      </c>
      <c r="AJ18">
        <f>'Corrale Swamp'!AH18</f>
        <v>1504</v>
      </c>
      <c r="AK18">
        <f>'Corrale Swamp'!AI18</f>
        <v>569</v>
      </c>
      <c r="AL18">
        <f>'Corrale Swamp'!AJ18</f>
        <v>35</v>
      </c>
      <c r="AM18">
        <f>'Corrale Swamp'!AK18</f>
        <v>21199</v>
      </c>
      <c r="AN18">
        <f>'Corrale Swamp'!AL18</f>
        <v>0.5</v>
      </c>
      <c r="AO18">
        <f>'Corrale Swamp'!AM18</f>
        <v>1594</v>
      </c>
      <c r="AP18">
        <f>'Corrale Swamp'!AN18</f>
        <v>271</v>
      </c>
      <c r="AQ18">
        <f>'Corrale Swamp'!AO18</f>
        <v>23</v>
      </c>
      <c r="AR18">
        <f>'Corrale Swamp'!AP18</f>
        <v>6635</v>
      </c>
      <c r="AS18">
        <f>'Corrale Swamp'!AQ18</f>
        <v>0.2</v>
      </c>
      <c r="AT18">
        <f>'Corrale Swamp'!AR18</f>
        <v>1736</v>
      </c>
      <c r="AU18">
        <f>'Corrale Swamp'!AS18</f>
        <v>879</v>
      </c>
      <c r="AV18">
        <f>'Corrale Swamp'!AT18</f>
        <v>185</v>
      </c>
      <c r="AW18">
        <f>'Corrale Swamp'!AU18</f>
        <v>173098</v>
      </c>
      <c r="AX18">
        <f>'Corrale Swamp'!AV18</f>
        <v>4.3</v>
      </c>
    </row>
    <row r="19" spans="1:50">
      <c r="A19" t="str">
        <f>'Corrale Swamp'!A19</f>
        <v>/Users/christophermarjo/Documents/Python/Projects/data/bushfire Raman/Corrale Swamp/CS 7.5 (3)</v>
      </c>
      <c r="B19" t="s">
        <v>854</v>
      </c>
      <c r="C19">
        <v>7.5</v>
      </c>
      <c r="D19" t="str">
        <f>'Corrale Swamp'!B19</f>
        <v>9.77 counts</v>
      </c>
      <c r="E19">
        <f>'Corrale Swamp'!C19</f>
        <v>0.98813300000000004</v>
      </c>
      <c r="F19">
        <f>'Corrale Swamp'!D19</f>
        <v>1369</v>
      </c>
      <c r="G19">
        <f>'Corrale Swamp'!E19</f>
        <v>6453</v>
      </c>
      <c r="H19">
        <f>'Corrale Swamp'!F19</f>
        <v>310</v>
      </c>
      <c r="I19">
        <f>'Corrale Swamp'!G19</f>
        <v>2129392</v>
      </c>
      <c r="J19">
        <f>'Corrale Swamp'!H19</f>
        <v>72.900000000000006</v>
      </c>
      <c r="K19">
        <f>'Corrale Swamp'!I19</f>
        <v>1588</v>
      </c>
      <c r="L19">
        <f>'Corrale Swamp'!J19</f>
        <v>6221</v>
      </c>
      <c r="M19">
        <f>'Corrale Swamp'!K19</f>
        <v>102</v>
      </c>
      <c r="N19">
        <f>'Corrale Swamp'!L19</f>
        <v>675449</v>
      </c>
      <c r="O19">
        <f>'Corrale Swamp'!M19</f>
        <v>23.1</v>
      </c>
      <c r="P19">
        <f>'Corrale Swamp'!N19</f>
        <v>1049</v>
      </c>
      <c r="Q19">
        <f>'Corrale Swamp'!O19</f>
        <v>285</v>
      </c>
      <c r="R19">
        <f>'Corrale Swamp'!P19</f>
        <v>71</v>
      </c>
      <c r="S19">
        <f>'Corrale Swamp'!Q19</f>
        <v>21539</v>
      </c>
      <c r="T19">
        <f>'Corrale Swamp'!R19</f>
        <v>0.7</v>
      </c>
      <c r="U19">
        <f>'Corrale Swamp'!S19</f>
        <v>1154</v>
      </c>
      <c r="V19">
        <f>'Corrale Swamp'!T19</f>
        <v>139</v>
      </c>
      <c r="W19">
        <f>'Corrale Swamp'!U19</f>
        <v>1</v>
      </c>
      <c r="X19">
        <f>'Corrale Swamp'!V19</f>
        <v>148</v>
      </c>
      <c r="Y19">
        <f>'Corrale Swamp'!W19</f>
        <v>0</v>
      </c>
      <c r="Z19">
        <f>'Corrale Swamp'!X19</f>
        <v>1256</v>
      </c>
      <c r="AA19">
        <f>'Corrale Swamp'!Y19</f>
        <v>1</v>
      </c>
      <c r="AB19">
        <f>'Corrale Swamp'!Z19</f>
        <v>1</v>
      </c>
      <c r="AC19">
        <f>'Corrale Swamp'!AA19</f>
        <v>1</v>
      </c>
      <c r="AD19">
        <f>'Corrale Swamp'!AB19</f>
        <v>0</v>
      </c>
      <c r="AE19">
        <f>'Corrale Swamp'!AC19</f>
        <v>1406</v>
      </c>
      <c r="AF19">
        <f>'Corrale Swamp'!AD19</f>
        <v>1</v>
      </c>
      <c r="AG19">
        <f>'Corrale Swamp'!AE19</f>
        <v>1</v>
      </c>
      <c r="AH19">
        <f>'Corrale Swamp'!AF19</f>
        <v>1</v>
      </c>
      <c r="AI19">
        <f>'Corrale Swamp'!AG19</f>
        <v>0</v>
      </c>
      <c r="AJ19">
        <f>'Corrale Swamp'!AH19</f>
        <v>1506</v>
      </c>
      <c r="AK19">
        <f>'Corrale Swamp'!AI19</f>
        <v>251</v>
      </c>
      <c r="AL19">
        <f>'Corrale Swamp'!AJ19</f>
        <v>37</v>
      </c>
      <c r="AM19">
        <f>'Corrale Swamp'!AK19</f>
        <v>9886</v>
      </c>
      <c r="AN19">
        <f>'Corrale Swamp'!AL19</f>
        <v>0.3</v>
      </c>
      <c r="AO19">
        <f>'Corrale Swamp'!AM19</f>
        <v>1594</v>
      </c>
      <c r="AP19">
        <f>'Corrale Swamp'!AN19</f>
        <v>453</v>
      </c>
      <c r="AQ19">
        <f>'Corrale Swamp'!AO19</f>
        <v>17</v>
      </c>
      <c r="AR19">
        <f>'Corrale Swamp'!AP19</f>
        <v>8197</v>
      </c>
      <c r="AS19">
        <f>'Corrale Swamp'!AQ19</f>
        <v>0.3</v>
      </c>
      <c r="AT19">
        <f>'Corrale Swamp'!AR19</f>
        <v>1732</v>
      </c>
      <c r="AU19">
        <f>'Corrale Swamp'!AS19</f>
        <v>489</v>
      </c>
      <c r="AV19">
        <f>'Corrale Swamp'!AT19</f>
        <v>147</v>
      </c>
      <c r="AW19">
        <f>'Corrale Swamp'!AU19</f>
        <v>76517</v>
      </c>
      <c r="AX19">
        <f>'Corrale Swamp'!AV19</f>
        <v>2.6</v>
      </c>
    </row>
    <row r="20" spans="1:50">
      <c r="A20" t="str">
        <f>'Corrale Swamp'!A20</f>
        <v>/Users/christophermarjo/Documents/Python/Projects/data/bushfire Raman/Corrale Swamp/CS 7.5 (4)</v>
      </c>
      <c r="B20" t="s">
        <v>854</v>
      </c>
      <c r="C20">
        <v>7.5</v>
      </c>
      <c r="D20" t="str">
        <f>'Corrale Swamp'!B20</f>
        <v>14.59 counts</v>
      </c>
      <c r="E20">
        <f>'Corrale Swamp'!C20</f>
        <v>0.98282800000000003</v>
      </c>
      <c r="F20">
        <f>'Corrale Swamp'!D20</f>
        <v>1369</v>
      </c>
      <c r="G20">
        <f>'Corrale Swamp'!E20</f>
        <v>8009</v>
      </c>
      <c r="H20">
        <f>'Corrale Swamp'!F20</f>
        <v>316</v>
      </c>
      <c r="I20">
        <f>'Corrale Swamp'!G20</f>
        <v>2694000</v>
      </c>
      <c r="J20">
        <f>'Corrale Swamp'!H20</f>
        <v>71.3</v>
      </c>
      <c r="K20">
        <f>'Corrale Swamp'!I20</f>
        <v>1590</v>
      </c>
      <c r="L20">
        <f>'Corrale Swamp'!J20</f>
        <v>8291</v>
      </c>
      <c r="M20">
        <f>'Corrale Swamp'!K20</f>
        <v>102</v>
      </c>
      <c r="N20">
        <f>'Corrale Swamp'!L20</f>
        <v>900201</v>
      </c>
      <c r="O20">
        <f>'Corrale Swamp'!M20</f>
        <v>23.8</v>
      </c>
      <c r="P20">
        <f>'Corrale Swamp'!N20</f>
        <v>1051</v>
      </c>
      <c r="Q20">
        <f>'Corrale Swamp'!O20</f>
        <v>317</v>
      </c>
      <c r="R20">
        <f>'Corrale Swamp'!P20</f>
        <v>67</v>
      </c>
      <c r="S20">
        <f>'Corrale Swamp'!Q20</f>
        <v>22608</v>
      </c>
      <c r="T20">
        <f>'Corrale Swamp'!R20</f>
        <v>0.6</v>
      </c>
      <c r="U20">
        <f>'Corrale Swamp'!S20</f>
        <v>1150</v>
      </c>
      <c r="V20">
        <f>'Corrale Swamp'!T20</f>
        <v>675</v>
      </c>
      <c r="W20">
        <f>'Corrale Swamp'!U20</f>
        <v>1</v>
      </c>
      <c r="X20">
        <f>'Corrale Swamp'!V20</f>
        <v>719</v>
      </c>
      <c r="Y20">
        <f>'Corrale Swamp'!W20</f>
        <v>0</v>
      </c>
      <c r="Z20">
        <f>'Corrale Swamp'!X20</f>
        <v>1256</v>
      </c>
      <c r="AA20">
        <f>'Corrale Swamp'!Y20</f>
        <v>1</v>
      </c>
      <c r="AB20">
        <f>'Corrale Swamp'!Z20</f>
        <v>1</v>
      </c>
      <c r="AC20">
        <f>'Corrale Swamp'!AA20</f>
        <v>1</v>
      </c>
      <c r="AD20">
        <f>'Corrale Swamp'!AB20</f>
        <v>0</v>
      </c>
      <c r="AE20">
        <f>'Corrale Swamp'!AC20</f>
        <v>1406</v>
      </c>
      <c r="AF20">
        <f>'Corrale Swamp'!AD20</f>
        <v>1</v>
      </c>
      <c r="AG20">
        <f>'Corrale Swamp'!AE20</f>
        <v>1</v>
      </c>
      <c r="AH20">
        <f>'Corrale Swamp'!AF20</f>
        <v>1</v>
      </c>
      <c r="AI20">
        <f>'Corrale Swamp'!AG20</f>
        <v>0</v>
      </c>
      <c r="AJ20">
        <f>'Corrale Swamp'!AH20</f>
        <v>1502</v>
      </c>
      <c r="AK20">
        <f>'Corrale Swamp'!AI20</f>
        <v>693</v>
      </c>
      <c r="AL20">
        <f>'Corrale Swamp'!AJ20</f>
        <v>29</v>
      </c>
      <c r="AM20">
        <f>'Corrale Swamp'!AK20</f>
        <v>21393</v>
      </c>
      <c r="AN20">
        <f>'Corrale Swamp'!AL20</f>
        <v>0.6</v>
      </c>
      <c r="AO20">
        <f>'Corrale Swamp'!AM20</f>
        <v>1598</v>
      </c>
      <c r="AP20">
        <f>'Corrale Swamp'!AN20</f>
        <v>663</v>
      </c>
      <c r="AQ20">
        <f>'Corrale Swamp'!AO20</f>
        <v>21</v>
      </c>
      <c r="AR20">
        <f>'Corrale Swamp'!AP20</f>
        <v>14821</v>
      </c>
      <c r="AS20">
        <f>'Corrale Swamp'!AQ20</f>
        <v>0.4</v>
      </c>
      <c r="AT20">
        <f>'Corrale Swamp'!AR20</f>
        <v>1728</v>
      </c>
      <c r="AU20">
        <f>'Corrale Swamp'!AS20</f>
        <v>1039</v>
      </c>
      <c r="AV20">
        <f>'Corrale Swamp'!AT20</f>
        <v>113</v>
      </c>
      <c r="AW20">
        <f>'Corrale Swamp'!AU20</f>
        <v>124976</v>
      </c>
      <c r="AX20">
        <f>'Corrale Swamp'!AV20</f>
        <v>3.3</v>
      </c>
    </row>
    <row r="21" spans="1:50">
      <c r="A21" t="str">
        <f>'Corrale Swamp'!A21</f>
        <v>/Users/christophermarjo/Documents/Python/Projects/data/bushfire Raman/Corrale Swamp/CS 7.5 (5)</v>
      </c>
      <c r="B21" t="s">
        <v>854</v>
      </c>
      <c r="C21">
        <v>7.5</v>
      </c>
      <c r="D21" t="str">
        <f>'Corrale Swamp'!B21</f>
        <v>13.76 counts</v>
      </c>
      <c r="E21">
        <f>'Corrale Swamp'!C21</f>
        <v>0.98623099999999997</v>
      </c>
      <c r="F21">
        <f>'Corrale Swamp'!D21</f>
        <v>1367</v>
      </c>
      <c r="G21">
        <f>'Corrale Swamp'!E21</f>
        <v>8295</v>
      </c>
      <c r="H21">
        <f>'Corrale Swamp'!F21</f>
        <v>308</v>
      </c>
      <c r="I21">
        <f>'Corrale Swamp'!G21</f>
        <v>2719564</v>
      </c>
      <c r="J21">
        <f>'Corrale Swamp'!H21</f>
        <v>70.2</v>
      </c>
      <c r="K21">
        <f>'Corrale Swamp'!I21</f>
        <v>1590</v>
      </c>
      <c r="L21">
        <f>'Corrale Swamp'!J21</f>
        <v>8449</v>
      </c>
      <c r="M21">
        <f>'Corrale Swamp'!K21</f>
        <v>102</v>
      </c>
      <c r="N21">
        <f>'Corrale Swamp'!L21</f>
        <v>917356</v>
      </c>
      <c r="O21">
        <f>'Corrale Swamp'!M21</f>
        <v>23.7</v>
      </c>
      <c r="P21">
        <f>'Corrale Swamp'!N21</f>
        <v>1051</v>
      </c>
      <c r="Q21">
        <f>'Corrale Swamp'!O21</f>
        <v>277</v>
      </c>
      <c r="R21">
        <f>'Corrale Swamp'!P21</f>
        <v>83</v>
      </c>
      <c r="S21">
        <f>'Corrale Swamp'!Q21</f>
        <v>24473</v>
      </c>
      <c r="T21">
        <f>'Corrale Swamp'!R21</f>
        <v>0.6</v>
      </c>
      <c r="U21">
        <f>'Corrale Swamp'!S21</f>
        <v>1156</v>
      </c>
      <c r="V21">
        <f>'Corrale Swamp'!T21</f>
        <v>15</v>
      </c>
      <c r="W21">
        <f>'Corrale Swamp'!U21</f>
        <v>1</v>
      </c>
      <c r="X21">
        <f>'Corrale Swamp'!V21</f>
        <v>16</v>
      </c>
      <c r="Y21">
        <f>'Corrale Swamp'!W21</f>
        <v>0</v>
      </c>
      <c r="Z21">
        <f>'Corrale Swamp'!X21</f>
        <v>1256</v>
      </c>
      <c r="AA21">
        <f>'Corrale Swamp'!Y21</f>
        <v>1</v>
      </c>
      <c r="AB21">
        <f>'Corrale Swamp'!Z21</f>
        <v>1</v>
      </c>
      <c r="AC21">
        <f>'Corrale Swamp'!AA21</f>
        <v>1</v>
      </c>
      <c r="AD21">
        <f>'Corrale Swamp'!AB21</f>
        <v>0</v>
      </c>
      <c r="AE21">
        <f>'Corrale Swamp'!AC21</f>
        <v>1406</v>
      </c>
      <c r="AF21">
        <f>'Corrale Swamp'!AD21</f>
        <v>1</v>
      </c>
      <c r="AG21">
        <f>'Corrale Swamp'!AE21</f>
        <v>1</v>
      </c>
      <c r="AH21">
        <f>'Corrale Swamp'!AF21</f>
        <v>1</v>
      </c>
      <c r="AI21">
        <f>'Corrale Swamp'!AG21</f>
        <v>0</v>
      </c>
      <c r="AJ21">
        <f>'Corrale Swamp'!AH21</f>
        <v>1512</v>
      </c>
      <c r="AK21">
        <f>'Corrale Swamp'!AI21</f>
        <v>735</v>
      </c>
      <c r="AL21">
        <f>'Corrale Swamp'!AJ21</f>
        <v>27</v>
      </c>
      <c r="AM21">
        <f>'Corrale Swamp'!AK21</f>
        <v>21124</v>
      </c>
      <c r="AN21">
        <f>'Corrale Swamp'!AL21</f>
        <v>0.5</v>
      </c>
      <c r="AO21">
        <f>'Corrale Swamp'!AM21</f>
        <v>1598</v>
      </c>
      <c r="AP21">
        <f>'Corrale Swamp'!AN21</f>
        <v>1299</v>
      </c>
      <c r="AQ21">
        <f>'Corrale Swamp'!AO21</f>
        <v>23</v>
      </c>
      <c r="AR21">
        <f>'Corrale Swamp'!AP21</f>
        <v>31803</v>
      </c>
      <c r="AS21">
        <f>'Corrale Swamp'!AQ21</f>
        <v>0.8</v>
      </c>
      <c r="AT21">
        <f>'Corrale Swamp'!AR21</f>
        <v>1748</v>
      </c>
      <c r="AU21">
        <f>'Corrale Swamp'!AS21</f>
        <v>751</v>
      </c>
      <c r="AV21">
        <f>'Corrale Swamp'!AT21</f>
        <v>199</v>
      </c>
      <c r="AW21">
        <f>'Corrale Swamp'!AU21</f>
        <v>159084</v>
      </c>
      <c r="AX21">
        <f>'Corrale Swamp'!AV21</f>
        <v>4.0999999999999996</v>
      </c>
    </row>
    <row r="22" spans="1:50">
      <c r="A22" t="str">
        <f>'Corrale Swamp'!A22</f>
        <v>/Users/christophermarjo/Documents/Python/Projects/data/bushfire Raman/Corrale Swamp/CS 8.5 (1)</v>
      </c>
      <c r="B22" t="s">
        <v>854</v>
      </c>
      <c r="C22">
        <v>8.5</v>
      </c>
      <c r="D22" t="str">
        <f>'Corrale Swamp'!B22</f>
        <v>21.02 counts</v>
      </c>
      <c r="E22">
        <f>'Corrale Swamp'!C22</f>
        <v>0.967777</v>
      </c>
      <c r="F22">
        <f>'Corrale Swamp'!D22</f>
        <v>1369</v>
      </c>
      <c r="G22">
        <f>'Corrale Swamp'!E22</f>
        <v>7761</v>
      </c>
      <c r="H22">
        <f>'Corrale Swamp'!F22</f>
        <v>288</v>
      </c>
      <c r="I22">
        <f>'Corrale Swamp'!G22</f>
        <v>2379263</v>
      </c>
      <c r="J22">
        <f>'Corrale Swamp'!H22</f>
        <v>62</v>
      </c>
      <c r="K22">
        <f>'Corrale Swamp'!I22</f>
        <v>1590</v>
      </c>
      <c r="L22">
        <f>'Corrale Swamp'!J22</f>
        <v>9533</v>
      </c>
      <c r="M22">
        <f>'Corrale Swamp'!K22</f>
        <v>114</v>
      </c>
      <c r="N22">
        <f>'Corrale Swamp'!L22</f>
        <v>1156822</v>
      </c>
      <c r="O22">
        <f>'Corrale Swamp'!M22</f>
        <v>30.1</v>
      </c>
      <c r="P22">
        <f>'Corrale Swamp'!N22</f>
        <v>1047</v>
      </c>
      <c r="Q22">
        <f>'Corrale Swamp'!O22</f>
        <v>737</v>
      </c>
      <c r="R22">
        <f>'Corrale Swamp'!P22</f>
        <v>3</v>
      </c>
      <c r="S22">
        <f>'Corrale Swamp'!Q22</f>
        <v>2354</v>
      </c>
      <c r="T22">
        <f>'Corrale Swamp'!R22</f>
        <v>0.1</v>
      </c>
      <c r="U22">
        <f>'Corrale Swamp'!S22</f>
        <v>1152</v>
      </c>
      <c r="V22">
        <f>'Corrale Swamp'!T22</f>
        <v>197</v>
      </c>
      <c r="W22">
        <f>'Corrale Swamp'!U22</f>
        <v>35</v>
      </c>
      <c r="X22">
        <f>'Corrale Swamp'!V22</f>
        <v>7340</v>
      </c>
      <c r="Y22">
        <f>'Corrale Swamp'!W22</f>
        <v>0.2</v>
      </c>
      <c r="Z22">
        <f>'Corrale Swamp'!X22</f>
        <v>1290</v>
      </c>
      <c r="AA22">
        <f>'Corrale Swamp'!Y22</f>
        <v>299</v>
      </c>
      <c r="AB22">
        <f>'Corrale Swamp'!Z22</f>
        <v>1</v>
      </c>
      <c r="AC22">
        <f>'Corrale Swamp'!AA22</f>
        <v>318</v>
      </c>
      <c r="AD22">
        <f>'Corrale Swamp'!AB22</f>
        <v>0</v>
      </c>
      <c r="AE22">
        <f>'Corrale Swamp'!AC22</f>
        <v>1440</v>
      </c>
      <c r="AF22">
        <f>'Corrale Swamp'!AD22</f>
        <v>539</v>
      </c>
      <c r="AG22">
        <f>'Corrale Swamp'!AE22</f>
        <v>89</v>
      </c>
      <c r="AH22">
        <f>'Corrale Swamp'!AF22</f>
        <v>51064</v>
      </c>
      <c r="AI22">
        <f>'Corrale Swamp'!AG22</f>
        <v>1.3</v>
      </c>
      <c r="AJ22">
        <f>'Corrale Swamp'!AH22</f>
        <v>1486</v>
      </c>
      <c r="AK22">
        <f>'Corrale Swamp'!AI22</f>
        <v>1429</v>
      </c>
      <c r="AL22">
        <f>'Corrale Swamp'!AJ22</f>
        <v>33</v>
      </c>
      <c r="AM22">
        <f>'Corrale Swamp'!AK22</f>
        <v>50197</v>
      </c>
      <c r="AN22">
        <f>'Corrale Swamp'!AL22</f>
        <v>1.3</v>
      </c>
      <c r="AO22">
        <f>'Corrale Swamp'!AM22</f>
        <v>1588</v>
      </c>
      <c r="AP22">
        <f>'Corrale Swamp'!AN22</f>
        <v>857</v>
      </c>
      <c r="AQ22">
        <f>'Corrale Swamp'!AO22</f>
        <v>7</v>
      </c>
      <c r="AR22">
        <f>'Corrale Swamp'!AP22</f>
        <v>6386</v>
      </c>
      <c r="AS22">
        <f>'Corrale Swamp'!AQ22</f>
        <v>0.2</v>
      </c>
      <c r="AT22">
        <f>'Corrale Swamp'!AR22</f>
        <v>1742</v>
      </c>
      <c r="AU22">
        <f>'Corrale Swamp'!AS22</f>
        <v>1279</v>
      </c>
      <c r="AV22">
        <f>'Corrale Swamp'!AT22</f>
        <v>135</v>
      </c>
      <c r="AW22">
        <f>'Corrale Swamp'!AU22</f>
        <v>183796</v>
      </c>
      <c r="AX22">
        <f>'Corrale Swamp'!AV22</f>
        <v>4.8</v>
      </c>
    </row>
    <row r="23" spans="1:50">
      <c r="A23" t="str">
        <f>'Corrale Swamp'!A23</f>
        <v>/Users/christophermarjo/Documents/Python/Projects/data/bushfire Raman/Corrale Swamp/CS 8.5 (2)</v>
      </c>
      <c r="B23" t="s">
        <v>854</v>
      </c>
      <c r="C23">
        <v>8.5</v>
      </c>
      <c r="D23" t="str">
        <f>'Corrale Swamp'!B23</f>
        <v>8.54 counts</v>
      </c>
      <c r="E23">
        <f>'Corrale Swamp'!C23</f>
        <v>0.98154200000000003</v>
      </c>
      <c r="F23">
        <f>'Corrale Swamp'!D23</f>
        <v>1369</v>
      </c>
      <c r="G23">
        <f>'Corrale Swamp'!E23</f>
        <v>4427</v>
      </c>
      <c r="H23">
        <f>'Corrale Swamp'!F23</f>
        <v>284</v>
      </c>
      <c r="I23">
        <f>'Corrale Swamp'!G23</f>
        <v>1338320</v>
      </c>
      <c r="J23">
        <f>'Corrale Swamp'!H23</f>
        <v>65.8</v>
      </c>
      <c r="K23">
        <f>'Corrale Swamp'!I23</f>
        <v>1590</v>
      </c>
      <c r="L23">
        <f>'Corrale Swamp'!J23</f>
        <v>5143</v>
      </c>
      <c r="M23">
        <f>'Corrale Swamp'!K23</f>
        <v>102</v>
      </c>
      <c r="N23">
        <f>'Corrale Swamp'!L23</f>
        <v>558405</v>
      </c>
      <c r="O23">
        <f>'Corrale Swamp'!M23</f>
        <v>27.5</v>
      </c>
      <c r="P23">
        <f>'Corrale Swamp'!N23</f>
        <v>1047</v>
      </c>
      <c r="Q23">
        <f>'Corrale Swamp'!O23</f>
        <v>241</v>
      </c>
      <c r="R23">
        <f>'Corrale Swamp'!P23</f>
        <v>3</v>
      </c>
      <c r="S23">
        <f>'Corrale Swamp'!Q23</f>
        <v>770</v>
      </c>
      <c r="T23">
        <f>'Corrale Swamp'!R23</f>
        <v>0</v>
      </c>
      <c r="U23">
        <f>'Corrale Swamp'!S23</f>
        <v>1152</v>
      </c>
      <c r="V23">
        <f>'Corrale Swamp'!T23</f>
        <v>45</v>
      </c>
      <c r="W23">
        <f>'Corrale Swamp'!U23</f>
        <v>35</v>
      </c>
      <c r="X23">
        <f>'Corrale Swamp'!V23</f>
        <v>1677</v>
      </c>
      <c r="Y23">
        <f>'Corrale Swamp'!W23</f>
        <v>0.1</v>
      </c>
      <c r="Z23">
        <f>'Corrale Swamp'!X23</f>
        <v>1256</v>
      </c>
      <c r="AA23">
        <f>'Corrale Swamp'!Y23</f>
        <v>1</v>
      </c>
      <c r="AB23">
        <f>'Corrale Swamp'!Z23</f>
        <v>1</v>
      </c>
      <c r="AC23">
        <f>'Corrale Swamp'!AA23</f>
        <v>1</v>
      </c>
      <c r="AD23">
        <f>'Corrale Swamp'!AB23</f>
        <v>0</v>
      </c>
      <c r="AE23">
        <f>'Corrale Swamp'!AC23</f>
        <v>1436</v>
      </c>
      <c r="AF23">
        <f>'Corrale Swamp'!AD23</f>
        <v>55</v>
      </c>
      <c r="AG23">
        <f>'Corrale Swamp'!AE23</f>
        <v>1</v>
      </c>
      <c r="AH23">
        <f>'Corrale Swamp'!AF23</f>
        <v>59</v>
      </c>
      <c r="AI23">
        <f>'Corrale Swamp'!AG23</f>
        <v>0</v>
      </c>
      <c r="AJ23">
        <f>'Corrale Swamp'!AH23</f>
        <v>1510</v>
      </c>
      <c r="AK23">
        <f>'Corrale Swamp'!AI23</f>
        <v>425</v>
      </c>
      <c r="AL23">
        <f>'Corrale Swamp'!AJ23</f>
        <v>39</v>
      </c>
      <c r="AM23">
        <f>'Corrale Swamp'!AK23</f>
        <v>17644</v>
      </c>
      <c r="AN23">
        <f>'Corrale Swamp'!AL23</f>
        <v>0.9</v>
      </c>
      <c r="AO23">
        <f>'Corrale Swamp'!AM23</f>
        <v>1598</v>
      </c>
      <c r="AP23">
        <f>'Corrale Swamp'!AN23</f>
        <v>329</v>
      </c>
      <c r="AQ23">
        <f>'Corrale Swamp'!AO23</f>
        <v>3</v>
      </c>
      <c r="AR23">
        <f>'Corrale Swamp'!AP23</f>
        <v>1051</v>
      </c>
      <c r="AS23">
        <f>'Corrale Swamp'!AQ23</f>
        <v>0.1</v>
      </c>
      <c r="AT23">
        <f>'Corrale Swamp'!AR23</f>
        <v>1730</v>
      </c>
      <c r="AU23">
        <f>'Corrale Swamp'!AS23</f>
        <v>695</v>
      </c>
      <c r="AV23">
        <f>'Corrale Swamp'!AT23</f>
        <v>155</v>
      </c>
      <c r="AW23">
        <f>'Corrale Swamp'!AU23</f>
        <v>114670</v>
      </c>
      <c r="AX23">
        <f>'Corrale Swamp'!AV23</f>
        <v>5.6</v>
      </c>
    </row>
    <row r="24" spans="1:50">
      <c r="A24" t="str">
        <f>'Corrale Swamp'!A24</f>
        <v>/Users/christophermarjo/Documents/Python/Projects/data/bushfire Raman/Corrale Swamp/CS 8.5 (3)</v>
      </c>
      <c r="B24" t="s">
        <v>854</v>
      </c>
      <c r="C24">
        <v>8.5</v>
      </c>
      <c r="D24" t="str">
        <f>'Corrale Swamp'!B24</f>
        <v>31.75 counts</v>
      </c>
      <c r="E24">
        <f>'Corrale Swamp'!C24</f>
        <v>0.97001000000000004</v>
      </c>
      <c r="F24">
        <f>'Corrale Swamp'!D24</f>
        <v>1369</v>
      </c>
      <c r="G24">
        <f>'Corrale Swamp'!E24</f>
        <v>12415</v>
      </c>
      <c r="H24">
        <f>'Corrale Swamp'!F24</f>
        <v>260</v>
      </c>
      <c r="I24">
        <f>'Corrale Swamp'!G24</f>
        <v>3435993</v>
      </c>
      <c r="J24">
        <f>'Corrale Swamp'!H24</f>
        <v>60.2</v>
      </c>
      <c r="K24">
        <f>'Corrale Swamp'!I24</f>
        <v>1590</v>
      </c>
      <c r="L24">
        <f>'Corrale Swamp'!J24</f>
        <v>15977</v>
      </c>
      <c r="M24">
        <f>'Corrale Swamp'!K24</f>
        <v>100</v>
      </c>
      <c r="N24">
        <f>'Corrale Swamp'!L24</f>
        <v>1700699</v>
      </c>
      <c r="O24">
        <f>'Corrale Swamp'!M24</f>
        <v>29.8</v>
      </c>
      <c r="P24">
        <f>'Corrale Swamp'!N24</f>
        <v>1021</v>
      </c>
      <c r="Q24">
        <f>'Corrale Swamp'!O24</f>
        <v>89</v>
      </c>
      <c r="R24">
        <f>'Corrale Swamp'!P24</f>
        <v>1</v>
      </c>
      <c r="S24">
        <f>'Corrale Swamp'!Q24</f>
        <v>95</v>
      </c>
      <c r="T24">
        <f>'Corrale Swamp'!R24</f>
        <v>0</v>
      </c>
      <c r="U24">
        <f>'Corrale Swamp'!S24</f>
        <v>1170</v>
      </c>
      <c r="V24">
        <f>'Corrale Swamp'!T24</f>
        <v>925</v>
      </c>
      <c r="W24">
        <f>'Corrale Swamp'!U24</f>
        <v>21</v>
      </c>
      <c r="X24">
        <f>'Corrale Swamp'!V24</f>
        <v>20677</v>
      </c>
      <c r="Y24">
        <f>'Corrale Swamp'!W24</f>
        <v>0.4</v>
      </c>
      <c r="Z24">
        <f>'Corrale Swamp'!X24</f>
        <v>1256</v>
      </c>
      <c r="AA24">
        <f>'Corrale Swamp'!Y24</f>
        <v>1</v>
      </c>
      <c r="AB24">
        <f>'Corrale Swamp'!Z24</f>
        <v>1</v>
      </c>
      <c r="AC24">
        <f>'Corrale Swamp'!AA24</f>
        <v>1</v>
      </c>
      <c r="AD24">
        <f>'Corrale Swamp'!AB24</f>
        <v>0</v>
      </c>
      <c r="AE24">
        <f>'Corrale Swamp'!AC24</f>
        <v>1456</v>
      </c>
      <c r="AF24">
        <f>'Corrale Swamp'!AD24</f>
        <v>323</v>
      </c>
      <c r="AG24">
        <f>'Corrale Swamp'!AE24</f>
        <v>91</v>
      </c>
      <c r="AH24">
        <f>'Corrale Swamp'!AF24</f>
        <v>31288</v>
      </c>
      <c r="AI24">
        <f>'Corrale Swamp'!AG24</f>
        <v>0.5</v>
      </c>
      <c r="AJ24">
        <f>'Corrale Swamp'!AH24</f>
        <v>1492</v>
      </c>
      <c r="AK24">
        <f>'Corrale Swamp'!AI24</f>
        <v>913</v>
      </c>
      <c r="AL24">
        <f>'Corrale Swamp'!AJ24</f>
        <v>59</v>
      </c>
      <c r="AM24">
        <f>'Corrale Swamp'!AK24</f>
        <v>57340</v>
      </c>
      <c r="AN24">
        <f>'Corrale Swamp'!AL24</f>
        <v>1</v>
      </c>
      <c r="AO24">
        <f>'Corrale Swamp'!AM24</f>
        <v>1588</v>
      </c>
      <c r="AP24">
        <f>'Corrale Swamp'!AN24</f>
        <v>1177</v>
      </c>
      <c r="AQ24">
        <f>'Corrale Swamp'!AO24</f>
        <v>1</v>
      </c>
      <c r="AR24">
        <f>'Corrale Swamp'!AP24</f>
        <v>1253</v>
      </c>
      <c r="AS24">
        <f>'Corrale Swamp'!AQ24</f>
        <v>0</v>
      </c>
      <c r="AT24">
        <f>'Corrale Swamp'!AR24</f>
        <v>1726</v>
      </c>
      <c r="AU24">
        <f>'Corrale Swamp'!AS24</f>
        <v>2515</v>
      </c>
      <c r="AV24">
        <f>'Corrale Swamp'!AT24</f>
        <v>173</v>
      </c>
      <c r="AW24">
        <f>'Corrale Swamp'!AU24</f>
        <v>463144</v>
      </c>
      <c r="AX24">
        <f>'Corrale Swamp'!AV24</f>
        <v>8.1</v>
      </c>
    </row>
    <row r="25" spans="1:50">
      <c r="A25" t="str">
        <f>'Corrale Swamp'!A25</f>
        <v>/Users/christophermarjo/Documents/Python/Projects/data/bushfire Raman/Corrale Swamp/CS 8.5 (4)</v>
      </c>
      <c r="B25" t="s">
        <v>854</v>
      </c>
      <c r="C25">
        <v>8.5</v>
      </c>
      <c r="D25" t="str">
        <f>'Corrale Swamp'!B25</f>
        <v>13.11 counts</v>
      </c>
      <c r="E25">
        <f>'Corrale Swamp'!C25</f>
        <v>0.97624299999999997</v>
      </c>
      <c r="F25">
        <f>'Corrale Swamp'!D25</f>
        <v>1369</v>
      </c>
      <c r="G25">
        <f>'Corrale Swamp'!E25</f>
        <v>6165</v>
      </c>
      <c r="H25">
        <f>'Corrale Swamp'!F25</f>
        <v>294</v>
      </c>
      <c r="I25">
        <f>'Corrale Swamp'!G25</f>
        <v>1929357</v>
      </c>
      <c r="J25">
        <f>'Corrale Swamp'!H25</f>
        <v>67.3</v>
      </c>
      <c r="K25">
        <f>'Corrale Swamp'!I25</f>
        <v>1588</v>
      </c>
      <c r="L25">
        <f>'Corrale Swamp'!J25</f>
        <v>6539</v>
      </c>
      <c r="M25">
        <f>'Corrale Swamp'!K25</f>
        <v>102</v>
      </c>
      <c r="N25">
        <f>'Corrale Swamp'!L25</f>
        <v>709976</v>
      </c>
      <c r="O25">
        <f>'Corrale Swamp'!M25</f>
        <v>24.8</v>
      </c>
      <c r="P25">
        <f>'Corrale Swamp'!N25</f>
        <v>1021</v>
      </c>
      <c r="Q25">
        <f>'Corrale Swamp'!O25</f>
        <v>239</v>
      </c>
      <c r="R25">
        <f>'Corrale Swamp'!P25</f>
        <v>37</v>
      </c>
      <c r="S25">
        <f>'Corrale Swamp'!Q25</f>
        <v>9413</v>
      </c>
      <c r="T25">
        <f>'Corrale Swamp'!R25</f>
        <v>0.3</v>
      </c>
      <c r="U25">
        <f>'Corrale Swamp'!S25</f>
        <v>1152</v>
      </c>
      <c r="V25">
        <f>'Corrale Swamp'!T25</f>
        <v>171</v>
      </c>
      <c r="W25">
        <f>'Corrale Swamp'!U25</f>
        <v>41</v>
      </c>
      <c r="X25">
        <f>'Corrale Swamp'!V25</f>
        <v>7463</v>
      </c>
      <c r="Y25">
        <f>'Corrale Swamp'!W25</f>
        <v>0.3</v>
      </c>
      <c r="Z25">
        <f>'Corrale Swamp'!X25</f>
        <v>1256</v>
      </c>
      <c r="AA25">
        <f>'Corrale Swamp'!Y25</f>
        <v>1</v>
      </c>
      <c r="AB25">
        <f>'Corrale Swamp'!Z25</f>
        <v>1</v>
      </c>
      <c r="AC25">
        <f>'Corrale Swamp'!AA25</f>
        <v>1</v>
      </c>
      <c r="AD25">
        <f>'Corrale Swamp'!AB25</f>
        <v>0</v>
      </c>
      <c r="AE25">
        <f>'Corrale Swamp'!AC25</f>
        <v>1456</v>
      </c>
      <c r="AF25">
        <f>'Corrale Swamp'!AD25</f>
        <v>33</v>
      </c>
      <c r="AG25">
        <f>'Corrale Swamp'!AE25</f>
        <v>35</v>
      </c>
      <c r="AH25">
        <f>'Corrale Swamp'!AF25</f>
        <v>1229</v>
      </c>
      <c r="AI25">
        <f>'Corrale Swamp'!AG25</f>
        <v>0</v>
      </c>
      <c r="AJ25">
        <f>'Corrale Swamp'!AH25</f>
        <v>1506</v>
      </c>
      <c r="AK25">
        <f>'Corrale Swamp'!AI25</f>
        <v>183</v>
      </c>
      <c r="AL25">
        <f>'Corrale Swamp'!AJ25</f>
        <v>41</v>
      </c>
      <c r="AM25">
        <f>'Corrale Swamp'!AK25</f>
        <v>7987</v>
      </c>
      <c r="AN25">
        <f>'Corrale Swamp'!AL25</f>
        <v>0.3</v>
      </c>
      <c r="AO25">
        <f>'Corrale Swamp'!AM25</f>
        <v>1582</v>
      </c>
      <c r="AP25">
        <f>'Corrale Swamp'!AN25</f>
        <v>223</v>
      </c>
      <c r="AQ25">
        <f>'Corrale Swamp'!AO25</f>
        <v>1</v>
      </c>
      <c r="AR25">
        <f>'Corrale Swamp'!AP25</f>
        <v>237</v>
      </c>
      <c r="AS25">
        <f>'Corrale Swamp'!AQ25</f>
        <v>0</v>
      </c>
      <c r="AT25">
        <f>'Corrale Swamp'!AR25</f>
        <v>1742</v>
      </c>
      <c r="AU25">
        <f>'Corrale Swamp'!AS25</f>
        <v>949</v>
      </c>
      <c r="AV25">
        <f>'Corrale Swamp'!AT25</f>
        <v>199</v>
      </c>
      <c r="AW25">
        <f>'Corrale Swamp'!AU25</f>
        <v>201026</v>
      </c>
      <c r="AX25">
        <f>'Corrale Swamp'!AV25</f>
        <v>7</v>
      </c>
    </row>
    <row r="26" spans="1:50">
      <c r="A26" t="str">
        <f>'Corrale Swamp'!A26</f>
        <v>/Users/christophermarjo/Documents/Python/Projects/data/bushfire Raman/Corrale Swamp/CS 8.5 (5)</v>
      </c>
      <c r="B26" t="s">
        <v>854</v>
      </c>
      <c r="C26">
        <v>8.5</v>
      </c>
      <c r="D26" t="str">
        <f>'Corrale Swamp'!B26</f>
        <v>24.81 counts</v>
      </c>
      <c r="E26">
        <f>'Corrale Swamp'!C26</f>
        <v>0.97420499999999999</v>
      </c>
      <c r="F26">
        <f>'Corrale Swamp'!D26</f>
        <v>1369</v>
      </c>
      <c r="G26">
        <f>'Corrale Swamp'!E26</f>
        <v>9613</v>
      </c>
      <c r="H26">
        <f>'Corrale Swamp'!F26</f>
        <v>214</v>
      </c>
      <c r="I26">
        <f>'Corrale Swamp'!G26</f>
        <v>2189802</v>
      </c>
      <c r="J26">
        <f>'Corrale Swamp'!H26</f>
        <v>56.3</v>
      </c>
      <c r="K26">
        <f>'Corrale Swamp'!I26</f>
        <v>1590</v>
      </c>
      <c r="L26">
        <f>'Corrale Swamp'!J26</f>
        <v>13263</v>
      </c>
      <c r="M26">
        <f>'Corrale Swamp'!K26</f>
        <v>102</v>
      </c>
      <c r="N26">
        <f>'Corrale Swamp'!L26</f>
        <v>1440039</v>
      </c>
      <c r="O26">
        <f>'Corrale Swamp'!M26</f>
        <v>37</v>
      </c>
      <c r="P26">
        <f>'Corrale Swamp'!N26</f>
        <v>1019</v>
      </c>
      <c r="Q26">
        <f>'Corrale Swamp'!O26</f>
        <v>23</v>
      </c>
      <c r="R26">
        <f>'Corrale Swamp'!P26</f>
        <v>1</v>
      </c>
      <c r="S26">
        <f>'Corrale Swamp'!Q26</f>
        <v>24</v>
      </c>
      <c r="T26">
        <f>'Corrale Swamp'!R26</f>
        <v>0</v>
      </c>
      <c r="U26">
        <f>'Corrale Swamp'!S26</f>
        <v>1170</v>
      </c>
      <c r="V26">
        <f>'Corrale Swamp'!T26</f>
        <v>883</v>
      </c>
      <c r="W26">
        <f>'Corrale Swamp'!U26</f>
        <v>29</v>
      </c>
      <c r="X26">
        <f>'Corrale Swamp'!V26</f>
        <v>27258</v>
      </c>
      <c r="Y26">
        <f>'Corrale Swamp'!W26</f>
        <v>0.7</v>
      </c>
      <c r="Z26">
        <f>'Corrale Swamp'!X26</f>
        <v>1298</v>
      </c>
      <c r="AA26">
        <f>'Corrale Swamp'!Y26</f>
        <v>395</v>
      </c>
      <c r="AB26">
        <f>'Corrale Swamp'!Z26</f>
        <v>1</v>
      </c>
      <c r="AC26">
        <f>'Corrale Swamp'!AA26</f>
        <v>420</v>
      </c>
      <c r="AD26">
        <f>'Corrale Swamp'!AB26</f>
        <v>0</v>
      </c>
      <c r="AE26">
        <f>'Corrale Swamp'!AC26</f>
        <v>1440</v>
      </c>
      <c r="AF26">
        <f>'Corrale Swamp'!AD26</f>
        <v>837</v>
      </c>
      <c r="AG26">
        <f>'Corrale Swamp'!AE26</f>
        <v>109</v>
      </c>
      <c r="AH26">
        <f>'Corrale Swamp'!AF26</f>
        <v>97115</v>
      </c>
      <c r="AI26">
        <f>'Corrale Swamp'!AG26</f>
        <v>2.5</v>
      </c>
      <c r="AJ26">
        <f>'Corrale Swamp'!AH26</f>
        <v>1502</v>
      </c>
      <c r="AK26">
        <f>'Corrale Swamp'!AI26</f>
        <v>1243</v>
      </c>
      <c r="AL26">
        <f>'Corrale Swamp'!AJ26</f>
        <v>65</v>
      </c>
      <c r="AM26">
        <f>'Corrale Swamp'!AK26</f>
        <v>86004</v>
      </c>
      <c r="AN26">
        <f>'Corrale Swamp'!AL26</f>
        <v>2.2000000000000002</v>
      </c>
      <c r="AO26">
        <f>'Corrale Swamp'!AM26</f>
        <v>1582</v>
      </c>
      <c r="AP26">
        <f>'Corrale Swamp'!AN26</f>
        <v>623</v>
      </c>
      <c r="AQ26">
        <f>'Corrale Swamp'!AO26</f>
        <v>41</v>
      </c>
      <c r="AR26">
        <f>'Corrale Swamp'!AP26</f>
        <v>27190</v>
      </c>
      <c r="AS26">
        <f>'Corrale Swamp'!AQ26</f>
        <v>0.7</v>
      </c>
      <c r="AT26">
        <f>'Corrale Swamp'!AR26</f>
        <v>1702</v>
      </c>
      <c r="AU26">
        <f>'Corrale Swamp'!AS26</f>
        <v>577</v>
      </c>
      <c r="AV26">
        <f>'Corrale Swamp'!AT26</f>
        <v>31</v>
      </c>
      <c r="AW26">
        <f>'Corrale Swamp'!AU26</f>
        <v>19040</v>
      </c>
      <c r="AX26">
        <f>'Corrale Swamp'!AV26</f>
        <v>0.5</v>
      </c>
    </row>
    <row r="27" spans="1:50">
      <c r="A27" t="str">
        <f>'Corrale Swamp'!A27</f>
        <v>/Users/christophermarjo/Documents/Python/Projects/data/bushfire Raman/Corrale Swamp/CS 9.5 (1)</v>
      </c>
      <c r="B27" t="s">
        <v>854</v>
      </c>
      <c r="C27">
        <v>9.5</v>
      </c>
      <c r="D27" t="str">
        <f>'Corrale Swamp'!B27</f>
        <v>32.88 counts</v>
      </c>
      <c r="E27">
        <f>'Corrale Swamp'!C27</f>
        <v>0.98962099999999997</v>
      </c>
      <c r="F27">
        <f>'Corrale Swamp'!D27</f>
        <v>1369</v>
      </c>
      <c r="G27">
        <f>'Corrale Swamp'!E27</f>
        <v>21431</v>
      </c>
      <c r="H27">
        <f>'Corrale Swamp'!F27</f>
        <v>332</v>
      </c>
      <c r="I27">
        <f>'Corrale Swamp'!G27</f>
        <v>7573781</v>
      </c>
      <c r="J27">
        <f>'Corrale Swamp'!H27</f>
        <v>69.599999999999994</v>
      </c>
      <c r="K27">
        <f>'Corrale Swamp'!I27</f>
        <v>1588</v>
      </c>
      <c r="L27">
        <f>'Corrale Swamp'!J27</f>
        <v>25469</v>
      </c>
      <c r="M27">
        <f>'Corrale Swamp'!K27</f>
        <v>102</v>
      </c>
      <c r="N27">
        <f>'Corrale Swamp'!L27</f>
        <v>2765313</v>
      </c>
      <c r="O27">
        <f>'Corrale Swamp'!M27</f>
        <v>25.4</v>
      </c>
      <c r="P27">
        <f>'Corrale Swamp'!N27</f>
        <v>1039</v>
      </c>
      <c r="Q27">
        <f>'Corrale Swamp'!O27</f>
        <v>681</v>
      </c>
      <c r="R27">
        <f>'Corrale Swamp'!P27</f>
        <v>63</v>
      </c>
      <c r="S27">
        <f>'Corrale Swamp'!Q27</f>
        <v>45669</v>
      </c>
      <c r="T27">
        <f>'Corrale Swamp'!R27</f>
        <v>0.4</v>
      </c>
      <c r="U27">
        <f>'Corrale Swamp'!S27</f>
        <v>1186</v>
      </c>
      <c r="V27">
        <f>'Corrale Swamp'!T27</f>
        <v>1</v>
      </c>
      <c r="W27">
        <f>'Corrale Swamp'!U27</f>
        <v>1</v>
      </c>
      <c r="X27">
        <f>'Corrale Swamp'!V27</f>
        <v>1</v>
      </c>
      <c r="Y27">
        <f>'Corrale Swamp'!W27</f>
        <v>0</v>
      </c>
      <c r="Z27">
        <f>'Corrale Swamp'!X27</f>
        <v>1256</v>
      </c>
      <c r="AA27">
        <f>'Corrale Swamp'!Y27</f>
        <v>1</v>
      </c>
      <c r="AB27">
        <f>'Corrale Swamp'!Z27</f>
        <v>1</v>
      </c>
      <c r="AC27">
        <f>'Corrale Swamp'!AA27</f>
        <v>1</v>
      </c>
      <c r="AD27">
        <f>'Corrale Swamp'!AB27</f>
        <v>0</v>
      </c>
      <c r="AE27">
        <f>'Corrale Swamp'!AC27</f>
        <v>1456</v>
      </c>
      <c r="AF27">
        <f>'Corrale Swamp'!AD27</f>
        <v>119</v>
      </c>
      <c r="AG27">
        <f>'Corrale Swamp'!AE27</f>
        <v>127</v>
      </c>
      <c r="AH27">
        <f>'Corrale Swamp'!AF27</f>
        <v>16087</v>
      </c>
      <c r="AI27">
        <f>'Corrale Swamp'!AG27</f>
        <v>0.1</v>
      </c>
      <c r="AJ27">
        <f>'Corrale Swamp'!AH27</f>
        <v>1498</v>
      </c>
      <c r="AK27">
        <f>'Corrale Swamp'!AI27</f>
        <v>787</v>
      </c>
      <c r="AL27">
        <f>'Corrale Swamp'!AJ27</f>
        <v>35</v>
      </c>
      <c r="AM27">
        <f>'Corrale Swamp'!AK27</f>
        <v>29321</v>
      </c>
      <c r="AN27">
        <f>'Corrale Swamp'!AL27</f>
        <v>0.3</v>
      </c>
      <c r="AO27">
        <f>'Corrale Swamp'!AM27</f>
        <v>1598</v>
      </c>
      <c r="AP27">
        <f>'Corrale Swamp'!AN27</f>
        <v>665</v>
      </c>
      <c r="AQ27">
        <f>'Corrale Swamp'!AO27</f>
        <v>25</v>
      </c>
      <c r="AR27">
        <f>'Corrale Swamp'!AP27</f>
        <v>17697</v>
      </c>
      <c r="AS27">
        <f>'Corrale Swamp'!AQ27</f>
        <v>0.2</v>
      </c>
      <c r="AT27">
        <f>'Corrale Swamp'!AR27</f>
        <v>1720</v>
      </c>
      <c r="AU27">
        <f>'Corrale Swamp'!AS27</f>
        <v>3433</v>
      </c>
      <c r="AV27">
        <f>'Corrale Swamp'!AT27</f>
        <v>119</v>
      </c>
      <c r="AW27">
        <f>'Corrale Swamp'!AU27</f>
        <v>434864</v>
      </c>
      <c r="AX27">
        <f>'Corrale Swamp'!AV27</f>
        <v>4</v>
      </c>
    </row>
    <row r="28" spans="1:50">
      <c r="A28" t="str">
        <f>'Corrale Swamp'!A28</f>
        <v xml:space="preserve">/Users/christophermarjo/Documents/Python/Projects/data/bushfire Raman/Corrale Swamp/CS 9.5 (2) </v>
      </c>
      <c r="B28" t="s">
        <v>854</v>
      </c>
      <c r="C28">
        <v>9.5</v>
      </c>
      <c r="D28" t="str">
        <f>'Corrale Swamp'!B28</f>
        <v>48.81 counts</v>
      </c>
      <c r="E28">
        <f>'Corrale Swamp'!C28</f>
        <v>0.98745499999999997</v>
      </c>
      <c r="F28">
        <f>'Corrale Swamp'!D28</f>
        <v>1369</v>
      </c>
      <c r="G28">
        <f>'Corrale Swamp'!E28</f>
        <v>28947</v>
      </c>
      <c r="H28">
        <f>'Corrale Swamp'!F28</f>
        <v>342</v>
      </c>
      <c r="I28">
        <f>'Corrale Swamp'!G28</f>
        <v>10538090</v>
      </c>
      <c r="J28">
        <f>'Corrale Swamp'!H28</f>
        <v>70.400000000000006</v>
      </c>
      <c r="K28">
        <f>'Corrale Swamp'!I28</f>
        <v>1588</v>
      </c>
      <c r="L28">
        <f>'Corrale Swamp'!J28</f>
        <v>33929</v>
      </c>
      <c r="M28">
        <f>'Corrale Swamp'!K28</f>
        <v>102</v>
      </c>
      <c r="N28">
        <f>'Corrale Swamp'!L28</f>
        <v>3683863</v>
      </c>
      <c r="O28">
        <f>'Corrale Swamp'!M28</f>
        <v>24.6</v>
      </c>
      <c r="P28">
        <f>'Corrale Swamp'!N28</f>
        <v>1029</v>
      </c>
      <c r="Q28">
        <f>'Corrale Swamp'!O28</f>
        <v>909</v>
      </c>
      <c r="R28">
        <f>'Corrale Swamp'!P28</f>
        <v>63</v>
      </c>
      <c r="S28">
        <f>'Corrale Swamp'!Q28</f>
        <v>60959</v>
      </c>
      <c r="T28">
        <f>'Corrale Swamp'!R28</f>
        <v>0.4</v>
      </c>
      <c r="U28">
        <f>'Corrale Swamp'!S28</f>
        <v>1186</v>
      </c>
      <c r="V28">
        <f>'Corrale Swamp'!T28</f>
        <v>1</v>
      </c>
      <c r="W28">
        <f>'Corrale Swamp'!U28</f>
        <v>1</v>
      </c>
      <c r="X28">
        <f>'Corrale Swamp'!V28</f>
        <v>1</v>
      </c>
      <c r="Y28">
        <f>'Corrale Swamp'!W28</f>
        <v>0</v>
      </c>
      <c r="Z28">
        <f>'Corrale Swamp'!X28</f>
        <v>1256</v>
      </c>
      <c r="AA28">
        <f>'Corrale Swamp'!Y28</f>
        <v>1</v>
      </c>
      <c r="AB28">
        <f>'Corrale Swamp'!Z28</f>
        <v>1</v>
      </c>
      <c r="AC28">
        <f>'Corrale Swamp'!AA28</f>
        <v>1</v>
      </c>
      <c r="AD28">
        <f>'Corrale Swamp'!AB28</f>
        <v>0</v>
      </c>
      <c r="AE28">
        <f>'Corrale Swamp'!AC28</f>
        <v>1456</v>
      </c>
      <c r="AF28">
        <f>'Corrale Swamp'!AD28</f>
        <v>341</v>
      </c>
      <c r="AG28">
        <f>'Corrale Swamp'!AE28</f>
        <v>125</v>
      </c>
      <c r="AH28">
        <f>'Corrale Swamp'!AF28</f>
        <v>45373</v>
      </c>
      <c r="AI28">
        <f>'Corrale Swamp'!AG28</f>
        <v>0.3</v>
      </c>
      <c r="AJ28">
        <f>'Corrale Swamp'!AH28</f>
        <v>1506</v>
      </c>
      <c r="AK28">
        <f>'Corrale Swamp'!AI28</f>
        <v>705</v>
      </c>
      <c r="AL28">
        <f>'Corrale Swamp'!AJ28</f>
        <v>27</v>
      </c>
      <c r="AM28">
        <f>'Corrale Swamp'!AK28</f>
        <v>20262</v>
      </c>
      <c r="AN28">
        <f>'Corrale Swamp'!AL28</f>
        <v>0.1</v>
      </c>
      <c r="AO28">
        <f>'Corrale Swamp'!AM28</f>
        <v>1598</v>
      </c>
      <c r="AP28">
        <f>'Corrale Swamp'!AN28</f>
        <v>885</v>
      </c>
      <c r="AQ28">
        <f>'Corrale Swamp'!AO28</f>
        <v>25</v>
      </c>
      <c r="AR28">
        <f>'Corrale Swamp'!AP28</f>
        <v>23551</v>
      </c>
      <c r="AS28">
        <f>'Corrale Swamp'!AQ28</f>
        <v>0.2</v>
      </c>
      <c r="AT28">
        <f>'Corrale Swamp'!AR28</f>
        <v>1718</v>
      </c>
      <c r="AU28">
        <f>'Corrale Swamp'!AS28</f>
        <v>4721</v>
      </c>
      <c r="AV28">
        <f>'Corrale Swamp'!AT28</f>
        <v>117</v>
      </c>
      <c r="AW28">
        <f>'Corrale Swamp'!AU28</f>
        <v>587966</v>
      </c>
      <c r="AX28">
        <f>'Corrale Swamp'!AV28</f>
        <v>3.9</v>
      </c>
    </row>
    <row r="29" spans="1:50">
      <c r="A29" t="str">
        <f>'Corrale Swamp'!A29</f>
        <v>/Users/christophermarjo/Documents/Python/Projects/data/bushfire Raman/Corrale Swamp/CS 9.5 (3)</v>
      </c>
      <c r="B29" t="s">
        <v>854</v>
      </c>
      <c r="C29">
        <v>9.5</v>
      </c>
      <c r="D29" t="str">
        <f>'Corrale Swamp'!B29</f>
        <v>49.73 counts</v>
      </c>
      <c r="E29">
        <f>'Corrale Swamp'!C29</f>
        <v>0.98856500000000003</v>
      </c>
      <c r="F29">
        <f>'Corrale Swamp'!D29</f>
        <v>1367</v>
      </c>
      <c r="G29">
        <f>'Corrale Swamp'!E29</f>
        <v>31203</v>
      </c>
      <c r="H29">
        <f>'Corrale Swamp'!F29</f>
        <v>332</v>
      </c>
      <c r="I29">
        <f>'Corrale Swamp'!G29</f>
        <v>11027236</v>
      </c>
      <c r="J29">
        <f>'Corrale Swamp'!H29</f>
        <v>69</v>
      </c>
      <c r="K29">
        <f>'Corrale Swamp'!I29</f>
        <v>1588</v>
      </c>
      <c r="L29">
        <f>'Corrale Swamp'!J29</f>
        <v>37069</v>
      </c>
      <c r="M29">
        <f>'Corrale Swamp'!K29</f>
        <v>104</v>
      </c>
      <c r="N29">
        <f>'Corrale Swamp'!L29</f>
        <v>4103708</v>
      </c>
      <c r="O29">
        <f>'Corrale Swamp'!M29</f>
        <v>25.7</v>
      </c>
      <c r="P29">
        <f>'Corrale Swamp'!N29</f>
        <v>1035</v>
      </c>
      <c r="Q29">
        <f>'Corrale Swamp'!O29</f>
        <v>1097</v>
      </c>
      <c r="R29">
        <f>'Corrale Swamp'!P29</f>
        <v>71</v>
      </c>
      <c r="S29">
        <f>'Corrale Swamp'!Q29</f>
        <v>82908</v>
      </c>
      <c r="T29">
        <f>'Corrale Swamp'!R29</f>
        <v>0.5</v>
      </c>
      <c r="U29">
        <f>'Corrale Swamp'!S29</f>
        <v>1186</v>
      </c>
      <c r="V29">
        <f>'Corrale Swamp'!T29</f>
        <v>1</v>
      </c>
      <c r="W29">
        <f>'Corrale Swamp'!U29</f>
        <v>1</v>
      </c>
      <c r="X29">
        <f>'Corrale Swamp'!V29</f>
        <v>1</v>
      </c>
      <c r="Y29">
        <f>'Corrale Swamp'!W29</f>
        <v>0</v>
      </c>
      <c r="Z29">
        <f>'Corrale Swamp'!X29</f>
        <v>1256</v>
      </c>
      <c r="AA29">
        <f>'Corrale Swamp'!Y29</f>
        <v>1</v>
      </c>
      <c r="AB29">
        <f>'Corrale Swamp'!Z29</f>
        <v>1</v>
      </c>
      <c r="AC29">
        <f>'Corrale Swamp'!AA29</f>
        <v>1</v>
      </c>
      <c r="AD29">
        <f>'Corrale Swamp'!AB29</f>
        <v>0</v>
      </c>
      <c r="AE29">
        <f>'Corrale Swamp'!AC29</f>
        <v>1440</v>
      </c>
      <c r="AF29">
        <f>'Corrale Swamp'!AD29</f>
        <v>237</v>
      </c>
      <c r="AG29">
        <f>'Corrale Swamp'!AE29</f>
        <v>129</v>
      </c>
      <c r="AH29">
        <f>'Corrale Swamp'!AF29</f>
        <v>32544</v>
      </c>
      <c r="AI29">
        <f>'Corrale Swamp'!AG29</f>
        <v>0.2</v>
      </c>
      <c r="AJ29">
        <f>'Corrale Swamp'!AH29</f>
        <v>1488</v>
      </c>
      <c r="AK29">
        <f>'Corrale Swamp'!AI29</f>
        <v>1313</v>
      </c>
      <c r="AL29">
        <f>'Corrale Swamp'!AJ29</f>
        <v>39</v>
      </c>
      <c r="AM29">
        <f>'Corrale Swamp'!AK29</f>
        <v>54508</v>
      </c>
      <c r="AN29">
        <f>'Corrale Swamp'!AL29</f>
        <v>0.3</v>
      </c>
      <c r="AO29">
        <f>'Corrale Swamp'!AM29</f>
        <v>1598</v>
      </c>
      <c r="AP29">
        <f>'Corrale Swamp'!AN29</f>
        <v>735</v>
      </c>
      <c r="AQ29">
        <f>'Corrale Swamp'!AO29</f>
        <v>19</v>
      </c>
      <c r="AR29">
        <f>'Corrale Swamp'!AP29</f>
        <v>14865</v>
      </c>
      <c r="AS29">
        <f>'Corrale Swamp'!AQ29</f>
        <v>0.1</v>
      </c>
      <c r="AT29">
        <f>'Corrale Swamp'!AR29</f>
        <v>1724</v>
      </c>
      <c r="AU29">
        <f>'Corrale Swamp'!AS29</f>
        <v>5029</v>
      </c>
      <c r="AV29">
        <f>'Corrale Swamp'!AT29</f>
        <v>125</v>
      </c>
      <c r="AW29">
        <f>'Corrale Swamp'!AU29</f>
        <v>669151</v>
      </c>
      <c r="AX29">
        <f>'Corrale Swamp'!AV29</f>
        <v>4.2</v>
      </c>
    </row>
    <row r="30" spans="1:50">
      <c r="A30" t="str">
        <f>'Corrale Swamp'!A30</f>
        <v>/Users/christophermarjo/Documents/Python/Projects/data/bushfire Raman/Corrale Swamp/CS 9.5 (4)</v>
      </c>
      <c r="B30" t="s">
        <v>854</v>
      </c>
      <c r="C30">
        <v>9.5</v>
      </c>
      <c r="D30" t="str">
        <f>'Corrale Swamp'!B30</f>
        <v>17.75 counts</v>
      </c>
      <c r="E30">
        <f>'Corrale Swamp'!C30</f>
        <v>0.99281699999999995</v>
      </c>
      <c r="F30">
        <f>'Corrale Swamp'!D30</f>
        <v>1369</v>
      </c>
      <c r="G30">
        <f>'Corrale Swamp'!E30</f>
        <v>13761</v>
      </c>
      <c r="H30">
        <f>'Corrale Swamp'!F30</f>
        <v>330</v>
      </c>
      <c r="I30">
        <f>'Corrale Swamp'!G30</f>
        <v>4833883</v>
      </c>
      <c r="J30">
        <f>'Corrale Swamp'!H30</f>
        <v>70.3</v>
      </c>
      <c r="K30">
        <f>'Corrale Swamp'!I30</f>
        <v>1588</v>
      </c>
      <c r="L30">
        <f>'Corrale Swamp'!J30</f>
        <v>16323</v>
      </c>
      <c r="M30">
        <f>'Corrale Swamp'!K30</f>
        <v>100</v>
      </c>
      <c r="N30">
        <f>'Corrale Swamp'!L30</f>
        <v>1737530</v>
      </c>
      <c r="O30">
        <f>'Corrale Swamp'!M30</f>
        <v>25.3</v>
      </c>
      <c r="P30">
        <f>'Corrale Swamp'!N30</f>
        <v>1035</v>
      </c>
      <c r="Q30">
        <f>'Corrale Swamp'!O30</f>
        <v>461</v>
      </c>
      <c r="R30">
        <f>'Corrale Swamp'!P30</f>
        <v>61</v>
      </c>
      <c r="S30">
        <f>'Corrale Swamp'!Q30</f>
        <v>29934</v>
      </c>
      <c r="T30">
        <f>'Corrale Swamp'!R30</f>
        <v>0.4</v>
      </c>
      <c r="U30">
        <f>'Corrale Swamp'!S30</f>
        <v>1168</v>
      </c>
      <c r="V30">
        <f>'Corrale Swamp'!T30</f>
        <v>91</v>
      </c>
      <c r="W30">
        <f>'Corrale Swamp'!U30</f>
        <v>1</v>
      </c>
      <c r="X30">
        <f>'Corrale Swamp'!V30</f>
        <v>97</v>
      </c>
      <c r="Y30">
        <f>'Corrale Swamp'!W30</f>
        <v>0</v>
      </c>
      <c r="Z30">
        <f>'Corrale Swamp'!X30</f>
        <v>1256</v>
      </c>
      <c r="AA30">
        <f>'Corrale Swamp'!Y30</f>
        <v>1</v>
      </c>
      <c r="AB30">
        <f>'Corrale Swamp'!Z30</f>
        <v>1</v>
      </c>
      <c r="AC30">
        <f>'Corrale Swamp'!AA30</f>
        <v>1</v>
      </c>
      <c r="AD30">
        <f>'Corrale Swamp'!AB30</f>
        <v>0</v>
      </c>
      <c r="AE30">
        <f>'Corrale Swamp'!AC30</f>
        <v>1440</v>
      </c>
      <c r="AF30">
        <f>'Corrale Swamp'!AD30</f>
        <v>35</v>
      </c>
      <c r="AG30">
        <f>'Corrale Swamp'!AE30</f>
        <v>145</v>
      </c>
      <c r="AH30">
        <f>'Corrale Swamp'!AF30</f>
        <v>5402</v>
      </c>
      <c r="AI30">
        <f>'Corrale Swamp'!AG30</f>
        <v>0.1</v>
      </c>
      <c r="AJ30">
        <f>'Corrale Swamp'!AH30</f>
        <v>1486</v>
      </c>
      <c r="AK30">
        <f>'Corrale Swamp'!AI30</f>
        <v>687</v>
      </c>
      <c r="AL30">
        <f>'Corrale Swamp'!AJ30</f>
        <v>59</v>
      </c>
      <c r="AM30">
        <f>'Corrale Swamp'!AK30</f>
        <v>43146</v>
      </c>
      <c r="AN30">
        <f>'Corrale Swamp'!AL30</f>
        <v>0.6</v>
      </c>
      <c r="AO30">
        <f>'Corrale Swamp'!AM30</f>
        <v>1594</v>
      </c>
      <c r="AP30">
        <f>'Corrale Swamp'!AN30</f>
        <v>755</v>
      </c>
      <c r="AQ30">
        <f>'Corrale Swamp'!AO30</f>
        <v>29</v>
      </c>
      <c r="AR30">
        <f>'Corrale Swamp'!AP30</f>
        <v>23307</v>
      </c>
      <c r="AS30">
        <f>'Corrale Swamp'!AQ30</f>
        <v>0.3</v>
      </c>
      <c r="AT30">
        <f>'Corrale Swamp'!AR30</f>
        <v>1720</v>
      </c>
      <c r="AU30">
        <f>'Corrale Swamp'!AS30</f>
        <v>1799</v>
      </c>
      <c r="AV30">
        <f>'Corrale Swamp'!AT30</f>
        <v>107</v>
      </c>
      <c r="AW30">
        <f>'Corrale Swamp'!AU30</f>
        <v>204902</v>
      </c>
      <c r="AX30">
        <f>'Corrale Swamp'!AV30</f>
        <v>3</v>
      </c>
    </row>
    <row r="31" spans="1:50">
      <c r="A31" t="str">
        <f>'Corrale Swamp'!A31</f>
        <v>/Users/christophermarjo/Documents/Python/Projects/data/bushfire Raman/Corrale Swamp/CS 9.5 (5)</v>
      </c>
      <c r="B31" t="s">
        <v>854</v>
      </c>
      <c r="C31">
        <v>9.5</v>
      </c>
      <c r="D31" t="str">
        <f>'Corrale Swamp'!B31</f>
        <v>41.03 counts</v>
      </c>
      <c r="E31">
        <f>'Corrale Swamp'!C31</f>
        <v>0.97677400000000003</v>
      </c>
      <c r="F31">
        <f>'Corrale Swamp'!D31</f>
        <v>1369</v>
      </c>
      <c r="G31">
        <f>'Corrale Swamp'!E31</f>
        <v>17859</v>
      </c>
      <c r="H31">
        <f>'Corrale Swamp'!F31</f>
        <v>348</v>
      </c>
      <c r="I31">
        <f>'Corrale Swamp'!G31</f>
        <v>6615590</v>
      </c>
      <c r="J31">
        <f>'Corrale Swamp'!H31</f>
        <v>71</v>
      </c>
      <c r="K31">
        <f>'Corrale Swamp'!I31</f>
        <v>1588</v>
      </c>
      <c r="L31">
        <f>'Corrale Swamp'!J31</f>
        <v>20487</v>
      </c>
      <c r="M31">
        <f>'Corrale Swamp'!K31</f>
        <v>104</v>
      </c>
      <c r="N31">
        <f>'Corrale Swamp'!L31</f>
        <v>2268005</v>
      </c>
      <c r="O31">
        <f>'Corrale Swamp'!M31</f>
        <v>24.3</v>
      </c>
      <c r="P31">
        <f>'Corrale Swamp'!N31</f>
        <v>1045</v>
      </c>
      <c r="Q31">
        <f>'Corrale Swamp'!O31</f>
        <v>613</v>
      </c>
      <c r="R31">
        <f>'Corrale Swamp'!P31</f>
        <v>47</v>
      </c>
      <c r="S31">
        <f>'Corrale Swamp'!Q31</f>
        <v>30668</v>
      </c>
      <c r="T31">
        <f>'Corrale Swamp'!R31</f>
        <v>0.3</v>
      </c>
      <c r="U31">
        <f>'Corrale Swamp'!S31</f>
        <v>1186</v>
      </c>
      <c r="V31">
        <f>'Corrale Swamp'!T31</f>
        <v>1</v>
      </c>
      <c r="W31">
        <f>'Corrale Swamp'!U31</f>
        <v>1</v>
      </c>
      <c r="X31">
        <f>'Corrale Swamp'!V31</f>
        <v>1</v>
      </c>
      <c r="Y31">
        <f>'Corrale Swamp'!W31</f>
        <v>0</v>
      </c>
      <c r="Z31">
        <f>'Corrale Swamp'!X31</f>
        <v>1256</v>
      </c>
      <c r="AA31">
        <f>'Corrale Swamp'!Y31</f>
        <v>1</v>
      </c>
      <c r="AB31">
        <f>'Corrale Swamp'!Z31</f>
        <v>1</v>
      </c>
      <c r="AC31">
        <f>'Corrale Swamp'!AA31</f>
        <v>1</v>
      </c>
      <c r="AD31">
        <f>'Corrale Swamp'!AB31</f>
        <v>0</v>
      </c>
      <c r="AE31">
        <f>'Corrale Swamp'!AC31</f>
        <v>1440</v>
      </c>
      <c r="AF31">
        <f>'Corrale Swamp'!AD31</f>
        <v>149</v>
      </c>
      <c r="AG31">
        <f>'Corrale Swamp'!AE31</f>
        <v>127</v>
      </c>
      <c r="AH31">
        <f>'Corrale Swamp'!AF31</f>
        <v>20143</v>
      </c>
      <c r="AI31">
        <f>'Corrale Swamp'!AG31</f>
        <v>0.2</v>
      </c>
      <c r="AJ31">
        <f>'Corrale Swamp'!AH31</f>
        <v>1498</v>
      </c>
      <c r="AK31">
        <f>'Corrale Swamp'!AI31</f>
        <v>885</v>
      </c>
      <c r="AL31">
        <f>'Corrale Swamp'!AJ31</f>
        <v>47</v>
      </c>
      <c r="AM31">
        <f>'Corrale Swamp'!AK31</f>
        <v>44277</v>
      </c>
      <c r="AN31">
        <f>'Corrale Swamp'!AL31</f>
        <v>0.5</v>
      </c>
      <c r="AO31">
        <f>'Corrale Swamp'!AM31</f>
        <v>1598</v>
      </c>
      <c r="AP31">
        <f>'Corrale Swamp'!AN31</f>
        <v>347</v>
      </c>
      <c r="AQ31">
        <f>'Corrale Swamp'!AO31</f>
        <v>21</v>
      </c>
      <c r="AR31">
        <f>'Corrale Swamp'!AP31</f>
        <v>7757</v>
      </c>
      <c r="AS31">
        <f>'Corrale Swamp'!AQ31</f>
        <v>0.1</v>
      </c>
      <c r="AT31">
        <f>'Corrale Swamp'!AR31</f>
        <v>1720</v>
      </c>
      <c r="AU31">
        <f>'Corrale Swamp'!AS31</f>
        <v>2745</v>
      </c>
      <c r="AV31">
        <f>'Corrale Swamp'!AT31</f>
        <v>115</v>
      </c>
      <c r="AW31">
        <f>'Corrale Swamp'!AU31</f>
        <v>336026</v>
      </c>
      <c r="AX31">
        <f>'Corrale Swamp'!AV31</f>
        <v>3.6</v>
      </c>
    </row>
    <row r="32" spans="1:50">
      <c r="A32" t="str">
        <f>'Corrale Swamp'!A32</f>
        <v>/Users/christophermarjo/Documents/Python/Projects/data/bushfire Raman/Corrale Swamp/CS 10.5 (1)</v>
      </c>
      <c r="B32" t="s">
        <v>854</v>
      </c>
      <c r="C32">
        <v>10.5</v>
      </c>
      <c r="D32" t="str">
        <f>'Corrale Swamp'!B32</f>
        <v>21.01 counts</v>
      </c>
      <c r="E32">
        <f>'Corrale Swamp'!C32</f>
        <v>0.989595</v>
      </c>
      <c r="F32">
        <f>'Corrale Swamp'!D32</f>
        <v>1369</v>
      </c>
      <c r="G32">
        <f>'Corrale Swamp'!E32</f>
        <v>13579</v>
      </c>
      <c r="H32">
        <f>'Corrale Swamp'!F32</f>
        <v>336</v>
      </c>
      <c r="I32">
        <f>'Corrale Swamp'!G32</f>
        <v>4856678</v>
      </c>
      <c r="J32">
        <f>'Corrale Swamp'!H32</f>
        <v>70.400000000000006</v>
      </c>
      <c r="K32">
        <f>'Corrale Swamp'!I32</f>
        <v>1590</v>
      </c>
      <c r="L32">
        <f>'Corrale Swamp'!J32</f>
        <v>16235</v>
      </c>
      <c r="M32">
        <f>'Corrale Swamp'!K32</f>
        <v>100</v>
      </c>
      <c r="N32">
        <f>'Corrale Swamp'!L32</f>
        <v>1728162</v>
      </c>
      <c r="O32">
        <f>'Corrale Swamp'!M32</f>
        <v>25</v>
      </c>
      <c r="P32">
        <f>'Corrale Swamp'!N32</f>
        <v>1035</v>
      </c>
      <c r="Q32">
        <f>'Corrale Swamp'!O32</f>
        <v>477</v>
      </c>
      <c r="R32">
        <f>'Corrale Swamp'!P32</f>
        <v>63</v>
      </c>
      <c r="S32">
        <f>'Corrale Swamp'!Q32</f>
        <v>31988</v>
      </c>
      <c r="T32">
        <f>'Corrale Swamp'!R32</f>
        <v>0.5</v>
      </c>
      <c r="U32">
        <f>'Corrale Swamp'!S32</f>
        <v>1186</v>
      </c>
      <c r="V32">
        <f>'Corrale Swamp'!T32</f>
        <v>1</v>
      </c>
      <c r="W32">
        <f>'Corrale Swamp'!U32</f>
        <v>1</v>
      </c>
      <c r="X32">
        <f>'Corrale Swamp'!V32</f>
        <v>1</v>
      </c>
      <c r="Y32">
        <f>'Corrale Swamp'!W32</f>
        <v>0</v>
      </c>
      <c r="Z32">
        <f>'Corrale Swamp'!X32</f>
        <v>1256</v>
      </c>
      <c r="AA32">
        <f>'Corrale Swamp'!Y32</f>
        <v>1</v>
      </c>
      <c r="AB32">
        <f>'Corrale Swamp'!Z32</f>
        <v>1</v>
      </c>
      <c r="AC32">
        <f>'Corrale Swamp'!AA32</f>
        <v>1</v>
      </c>
      <c r="AD32">
        <f>'Corrale Swamp'!AB32</f>
        <v>0</v>
      </c>
      <c r="AE32">
        <f>'Corrale Swamp'!AC32</f>
        <v>1420</v>
      </c>
      <c r="AF32">
        <f>'Corrale Swamp'!AD32</f>
        <v>77</v>
      </c>
      <c r="AG32">
        <f>'Corrale Swamp'!AE32</f>
        <v>1</v>
      </c>
      <c r="AH32">
        <f>'Corrale Swamp'!AF32</f>
        <v>82</v>
      </c>
      <c r="AI32">
        <f>'Corrale Swamp'!AG32</f>
        <v>0</v>
      </c>
      <c r="AJ32">
        <f>'Corrale Swamp'!AH32</f>
        <v>1506</v>
      </c>
      <c r="AK32">
        <f>'Corrale Swamp'!AI32</f>
        <v>547</v>
      </c>
      <c r="AL32">
        <f>'Corrale Swamp'!AJ32</f>
        <v>19</v>
      </c>
      <c r="AM32">
        <f>'Corrale Swamp'!AK32</f>
        <v>11063</v>
      </c>
      <c r="AN32">
        <f>'Corrale Swamp'!AL32</f>
        <v>0.2</v>
      </c>
      <c r="AO32">
        <f>'Corrale Swamp'!AM32</f>
        <v>1598</v>
      </c>
      <c r="AP32">
        <f>'Corrale Swamp'!AN32</f>
        <v>1551</v>
      </c>
      <c r="AQ32">
        <f>'Corrale Swamp'!AO32</f>
        <v>23</v>
      </c>
      <c r="AR32">
        <f>'Corrale Swamp'!AP32</f>
        <v>37973</v>
      </c>
      <c r="AS32">
        <f>'Corrale Swamp'!AQ32</f>
        <v>0.6</v>
      </c>
      <c r="AT32">
        <f>'Corrale Swamp'!AR32</f>
        <v>1716</v>
      </c>
      <c r="AU32">
        <f>'Corrale Swamp'!AS32</f>
        <v>2271</v>
      </c>
      <c r="AV32">
        <f>'Corrale Swamp'!AT32</f>
        <v>97</v>
      </c>
      <c r="AW32">
        <f>'Corrale Swamp'!AU32</f>
        <v>234488</v>
      </c>
      <c r="AX32">
        <f>'Corrale Swamp'!AV32</f>
        <v>3.4</v>
      </c>
    </row>
    <row r="33" spans="1:50">
      <c r="A33" t="str">
        <f>'Corrale Swamp'!A33</f>
        <v>/Users/christophermarjo/Documents/Python/Projects/data/bushfire Raman/Corrale Swamp/CS 10.5 (2)</v>
      </c>
      <c r="B33" t="s">
        <v>854</v>
      </c>
      <c r="C33">
        <v>10.5</v>
      </c>
      <c r="D33" t="str">
        <f>'Corrale Swamp'!B33</f>
        <v>13.59 counts</v>
      </c>
      <c r="E33">
        <f>'Corrale Swamp'!C33</f>
        <v>0.98931500000000006</v>
      </c>
      <c r="F33">
        <f>'Corrale Swamp'!D33</f>
        <v>1369</v>
      </c>
      <c r="G33">
        <f>'Corrale Swamp'!E33</f>
        <v>8683</v>
      </c>
      <c r="H33">
        <f>'Corrale Swamp'!F33</f>
        <v>336</v>
      </c>
      <c r="I33">
        <f>'Corrale Swamp'!G33</f>
        <v>3105570</v>
      </c>
      <c r="J33">
        <f>'Corrale Swamp'!H33</f>
        <v>70.599999999999994</v>
      </c>
      <c r="K33">
        <f>'Corrale Swamp'!I33</f>
        <v>1590</v>
      </c>
      <c r="L33">
        <f>'Corrale Swamp'!J33</f>
        <v>10135</v>
      </c>
      <c r="M33">
        <f>'Corrale Swamp'!K33</f>
        <v>102</v>
      </c>
      <c r="N33">
        <f>'Corrale Swamp'!L33</f>
        <v>1100414</v>
      </c>
      <c r="O33">
        <f>'Corrale Swamp'!M33</f>
        <v>25</v>
      </c>
      <c r="P33">
        <f>'Corrale Swamp'!N33</f>
        <v>1031</v>
      </c>
      <c r="Q33">
        <f>'Corrale Swamp'!O33</f>
        <v>225</v>
      </c>
      <c r="R33">
        <f>'Corrale Swamp'!P33</f>
        <v>71</v>
      </c>
      <c r="S33">
        <f>'Corrale Swamp'!Q33</f>
        <v>17005</v>
      </c>
      <c r="T33">
        <f>'Corrale Swamp'!R33</f>
        <v>0.4</v>
      </c>
      <c r="U33">
        <f>'Corrale Swamp'!S33</f>
        <v>1186</v>
      </c>
      <c r="V33">
        <f>'Corrale Swamp'!T33</f>
        <v>1</v>
      </c>
      <c r="W33">
        <f>'Corrale Swamp'!U33</f>
        <v>1</v>
      </c>
      <c r="X33">
        <f>'Corrale Swamp'!V33</f>
        <v>1</v>
      </c>
      <c r="Y33">
        <f>'Corrale Swamp'!W33</f>
        <v>0</v>
      </c>
      <c r="Z33">
        <f>'Corrale Swamp'!X33</f>
        <v>1256</v>
      </c>
      <c r="AA33">
        <f>'Corrale Swamp'!Y33</f>
        <v>1</v>
      </c>
      <c r="AB33">
        <f>'Corrale Swamp'!Z33</f>
        <v>1</v>
      </c>
      <c r="AC33">
        <f>'Corrale Swamp'!AA33</f>
        <v>1</v>
      </c>
      <c r="AD33">
        <f>'Corrale Swamp'!AB33</f>
        <v>0</v>
      </c>
      <c r="AE33">
        <f>'Corrale Swamp'!AC33</f>
        <v>1430</v>
      </c>
      <c r="AF33">
        <f>'Corrale Swamp'!AD33</f>
        <v>45</v>
      </c>
      <c r="AG33">
        <f>'Corrale Swamp'!AE33</f>
        <v>147</v>
      </c>
      <c r="AH33">
        <f>'Corrale Swamp'!AF33</f>
        <v>7041</v>
      </c>
      <c r="AI33">
        <f>'Corrale Swamp'!AG33</f>
        <v>0.2</v>
      </c>
      <c r="AJ33">
        <f>'Corrale Swamp'!AH33</f>
        <v>1506</v>
      </c>
      <c r="AK33">
        <f>'Corrale Swamp'!AI33</f>
        <v>235</v>
      </c>
      <c r="AL33">
        <f>'Corrale Swamp'!AJ33</f>
        <v>39</v>
      </c>
      <c r="AM33">
        <f>'Corrale Swamp'!AK33</f>
        <v>9756</v>
      </c>
      <c r="AN33">
        <f>'Corrale Swamp'!AL33</f>
        <v>0.2</v>
      </c>
      <c r="AO33">
        <f>'Corrale Swamp'!AM33</f>
        <v>1598</v>
      </c>
      <c r="AP33">
        <f>'Corrale Swamp'!AN33</f>
        <v>663</v>
      </c>
      <c r="AQ33">
        <f>'Corrale Swamp'!AO33</f>
        <v>25</v>
      </c>
      <c r="AR33">
        <f>'Corrale Swamp'!AP33</f>
        <v>17644</v>
      </c>
      <c r="AS33">
        <f>'Corrale Swamp'!AQ33</f>
        <v>0.4</v>
      </c>
      <c r="AT33">
        <f>'Corrale Swamp'!AR33</f>
        <v>1714</v>
      </c>
      <c r="AU33">
        <f>'Corrale Swamp'!AS33</f>
        <v>1215</v>
      </c>
      <c r="AV33">
        <f>'Corrale Swamp'!AT33</f>
        <v>109</v>
      </c>
      <c r="AW33">
        <f>'Corrale Swamp'!AU33</f>
        <v>140973</v>
      </c>
      <c r="AX33">
        <f>'Corrale Swamp'!AV33</f>
        <v>3.2</v>
      </c>
    </row>
    <row r="34" spans="1:50">
      <c r="A34" t="str">
        <f>'Corrale Swamp'!A34</f>
        <v>/Users/christophermarjo/Documents/Python/Projects/data/bushfire Raman/Corrale Swamp/CS 10.5 (3)</v>
      </c>
      <c r="B34" t="s">
        <v>854</v>
      </c>
      <c r="C34">
        <v>10.5</v>
      </c>
      <c r="D34" t="str">
        <f>'Corrale Swamp'!B34</f>
        <v>18.31 counts</v>
      </c>
      <c r="E34">
        <f>'Corrale Swamp'!C34</f>
        <v>0.99152399999999996</v>
      </c>
      <c r="F34">
        <f>'Corrale Swamp'!D34</f>
        <v>1369</v>
      </c>
      <c r="G34">
        <f>'Corrale Swamp'!E34</f>
        <v>13127</v>
      </c>
      <c r="H34">
        <f>'Corrale Swamp'!F34</f>
        <v>332</v>
      </c>
      <c r="I34">
        <f>'Corrale Swamp'!G34</f>
        <v>4639122</v>
      </c>
      <c r="J34">
        <f>'Corrale Swamp'!H34</f>
        <v>70.5</v>
      </c>
      <c r="K34">
        <f>'Corrale Swamp'!I34</f>
        <v>1590</v>
      </c>
      <c r="L34">
        <f>'Corrale Swamp'!J34</f>
        <v>15439</v>
      </c>
      <c r="M34">
        <f>'Corrale Swamp'!K34</f>
        <v>100</v>
      </c>
      <c r="N34">
        <f>'Corrale Swamp'!L34</f>
        <v>1643431</v>
      </c>
      <c r="O34">
        <f>'Corrale Swamp'!M34</f>
        <v>25</v>
      </c>
      <c r="P34">
        <f>'Corrale Swamp'!N34</f>
        <v>1039</v>
      </c>
      <c r="Q34">
        <f>'Corrale Swamp'!O34</f>
        <v>447</v>
      </c>
      <c r="R34">
        <f>'Corrale Swamp'!P34</f>
        <v>69</v>
      </c>
      <c r="S34">
        <f>'Corrale Swamp'!Q34</f>
        <v>32831</v>
      </c>
      <c r="T34">
        <f>'Corrale Swamp'!R34</f>
        <v>0.5</v>
      </c>
      <c r="U34">
        <f>'Corrale Swamp'!S34</f>
        <v>1154</v>
      </c>
      <c r="V34">
        <f>'Corrale Swamp'!T34</f>
        <v>1</v>
      </c>
      <c r="W34">
        <f>'Corrale Swamp'!U34</f>
        <v>1</v>
      </c>
      <c r="X34">
        <f>'Corrale Swamp'!V34</f>
        <v>1</v>
      </c>
      <c r="Y34">
        <f>'Corrale Swamp'!W34</f>
        <v>0</v>
      </c>
      <c r="Z34">
        <f>'Corrale Swamp'!X34</f>
        <v>1256</v>
      </c>
      <c r="AA34">
        <f>'Corrale Swamp'!Y34</f>
        <v>1</v>
      </c>
      <c r="AB34">
        <f>'Corrale Swamp'!Z34</f>
        <v>1</v>
      </c>
      <c r="AC34">
        <f>'Corrale Swamp'!AA34</f>
        <v>1</v>
      </c>
      <c r="AD34">
        <f>'Corrale Swamp'!AB34</f>
        <v>0</v>
      </c>
      <c r="AE34">
        <f>'Corrale Swamp'!AC34</f>
        <v>1404</v>
      </c>
      <c r="AF34">
        <f>'Corrale Swamp'!AD34</f>
        <v>75</v>
      </c>
      <c r="AG34">
        <f>'Corrale Swamp'!AE34</f>
        <v>139</v>
      </c>
      <c r="AH34">
        <f>'Corrale Swamp'!AF34</f>
        <v>11097</v>
      </c>
      <c r="AI34">
        <f>'Corrale Swamp'!AG34</f>
        <v>0.2</v>
      </c>
      <c r="AJ34">
        <f>'Corrale Swamp'!AH34</f>
        <v>1506</v>
      </c>
      <c r="AK34">
        <f>'Corrale Swamp'!AI34</f>
        <v>445</v>
      </c>
      <c r="AL34">
        <f>'Corrale Swamp'!AJ34</f>
        <v>35</v>
      </c>
      <c r="AM34">
        <f>'Corrale Swamp'!AK34</f>
        <v>16579</v>
      </c>
      <c r="AN34">
        <f>'Corrale Swamp'!AL34</f>
        <v>0.3</v>
      </c>
      <c r="AO34">
        <f>'Corrale Swamp'!AM34</f>
        <v>1594</v>
      </c>
      <c r="AP34">
        <f>'Corrale Swamp'!AN34</f>
        <v>907</v>
      </c>
      <c r="AQ34">
        <f>'Corrale Swamp'!AO34</f>
        <v>27</v>
      </c>
      <c r="AR34">
        <f>'Corrale Swamp'!AP34</f>
        <v>26068</v>
      </c>
      <c r="AS34">
        <f>'Corrale Swamp'!AQ34</f>
        <v>0.4</v>
      </c>
      <c r="AT34">
        <f>'Corrale Swamp'!AR34</f>
        <v>1718</v>
      </c>
      <c r="AU34">
        <f>'Corrale Swamp'!AS34</f>
        <v>1785</v>
      </c>
      <c r="AV34">
        <f>'Corrale Swamp'!AT34</f>
        <v>111</v>
      </c>
      <c r="AW34">
        <f>'Corrale Swamp'!AU34</f>
        <v>210908</v>
      </c>
      <c r="AX34">
        <f>'Corrale Swamp'!AV34</f>
        <v>3.2</v>
      </c>
    </row>
    <row r="35" spans="1:50">
      <c r="A35" t="str">
        <f>'Corrale Swamp'!A35</f>
        <v>/Users/christophermarjo/Documents/Python/Projects/data/bushfire Raman/Corrale Swamp/CS 10.5 (4)</v>
      </c>
      <c r="B35" t="s">
        <v>854</v>
      </c>
      <c r="C35">
        <v>10.5</v>
      </c>
      <c r="D35" t="str">
        <f>'Corrale Swamp'!B35</f>
        <v>30.78 counts</v>
      </c>
      <c r="E35">
        <f>'Corrale Swamp'!C35</f>
        <v>0.990699</v>
      </c>
      <c r="F35">
        <f>'Corrale Swamp'!D35</f>
        <v>1369</v>
      </c>
      <c r="G35">
        <f>'Corrale Swamp'!E35</f>
        <v>21241</v>
      </c>
      <c r="H35">
        <f>'Corrale Swamp'!F35</f>
        <v>332</v>
      </c>
      <c r="I35">
        <f>'Corrale Swamp'!G35</f>
        <v>7506634</v>
      </c>
      <c r="J35">
        <f>'Corrale Swamp'!H35</f>
        <v>70.099999999999994</v>
      </c>
      <c r="K35">
        <f>'Corrale Swamp'!I35</f>
        <v>1590</v>
      </c>
      <c r="L35">
        <f>'Corrale Swamp'!J35</f>
        <v>24653</v>
      </c>
      <c r="M35">
        <f>'Corrale Swamp'!K35</f>
        <v>102</v>
      </c>
      <c r="N35">
        <f>'Corrale Swamp'!L35</f>
        <v>2676715</v>
      </c>
      <c r="O35">
        <f>'Corrale Swamp'!M35</f>
        <v>25</v>
      </c>
      <c r="P35">
        <f>'Corrale Swamp'!N35</f>
        <v>1035</v>
      </c>
      <c r="Q35">
        <f>'Corrale Swamp'!O35</f>
        <v>883</v>
      </c>
      <c r="R35">
        <f>'Corrale Swamp'!P35</f>
        <v>63</v>
      </c>
      <c r="S35">
        <f>'Corrale Swamp'!Q35</f>
        <v>59215</v>
      </c>
      <c r="T35">
        <f>'Corrale Swamp'!R35</f>
        <v>0.6</v>
      </c>
      <c r="U35">
        <f>'Corrale Swamp'!S35</f>
        <v>1150</v>
      </c>
      <c r="V35">
        <f>'Corrale Swamp'!T35</f>
        <v>233</v>
      </c>
      <c r="W35">
        <f>'Corrale Swamp'!U35</f>
        <v>1</v>
      </c>
      <c r="X35">
        <f>'Corrale Swamp'!V35</f>
        <v>248</v>
      </c>
      <c r="Y35">
        <f>'Corrale Swamp'!W35</f>
        <v>0</v>
      </c>
      <c r="Z35">
        <f>'Corrale Swamp'!X35</f>
        <v>1256</v>
      </c>
      <c r="AA35">
        <f>'Corrale Swamp'!Y35</f>
        <v>1</v>
      </c>
      <c r="AB35">
        <f>'Corrale Swamp'!Z35</f>
        <v>1</v>
      </c>
      <c r="AC35">
        <f>'Corrale Swamp'!AA35</f>
        <v>1</v>
      </c>
      <c r="AD35">
        <f>'Corrale Swamp'!AB35</f>
        <v>0</v>
      </c>
      <c r="AE35">
        <f>'Corrale Swamp'!AC35</f>
        <v>1446</v>
      </c>
      <c r="AF35">
        <f>'Corrale Swamp'!AD35</f>
        <v>35</v>
      </c>
      <c r="AG35">
        <f>'Corrale Swamp'!AE35</f>
        <v>151</v>
      </c>
      <c r="AH35">
        <f>'Corrale Swamp'!AF35</f>
        <v>5626</v>
      </c>
      <c r="AI35">
        <f>'Corrale Swamp'!AG35</f>
        <v>0.1</v>
      </c>
      <c r="AJ35">
        <f>'Corrale Swamp'!AH35</f>
        <v>1506</v>
      </c>
      <c r="AK35">
        <f>'Corrale Swamp'!AI35</f>
        <v>591</v>
      </c>
      <c r="AL35">
        <f>'Corrale Swamp'!AJ35</f>
        <v>33</v>
      </c>
      <c r="AM35">
        <f>'Corrale Swamp'!AK35</f>
        <v>20760</v>
      </c>
      <c r="AN35">
        <f>'Corrale Swamp'!AL35</f>
        <v>0.2</v>
      </c>
      <c r="AO35">
        <f>'Corrale Swamp'!AM35</f>
        <v>1598</v>
      </c>
      <c r="AP35">
        <f>'Corrale Swamp'!AN35</f>
        <v>2041</v>
      </c>
      <c r="AQ35">
        <f>'Corrale Swamp'!AO35</f>
        <v>25</v>
      </c>
      <c r="AR35">
        <f>'Corrale Swamp'!AP35</f>
        <v>54314</v>
      </c>
      <c r="AS35">
        <f>'Corrale Swamp'!AQ35</f>
        <v>0.5</v>
      </c>
      <c r="AT35">
        <f>'Corrale Swamp'!AR35</f>
        <v>1716</v>
      </c>
      <c r="AU35">
        <f>'Corrale Swamp'!AS35</f>
        <v>3433</v>
      </c>
      <c r="AV35">
        <f>'Corrale Swamp'!AT35</f>
        <v>107</v>
      </c>
      <c r="AW35">
        <f>'Corrale Swamp'!AU35</f>
        <v>391012</v>
      </c>
      <c r="AX35">
        <f>'Corrale Swamp'!AV35</f>
        <v>3.6</v>
      </c>
    </row>
    <row r="36" spans="1:50">
      <c r="A36" t="str">
        <f>'Corrale Swamp'!A36</f>
        <v>/Users/christophermarjo/Documents/Python/Projects/data/bushfire Raman/Corrale Swamp/CS 10.5 (5)</v>
      </c>
      <c r="B36" t="s">
        <v>854</v>
      </c>
      <c r="C36">
        <v>10.5</v>
      </c>
      <c r="D36" t="str">
        <f>'Corrale Swamp'!B36</f>
        <v>15.51 counts</v>
      </c>
      <c r="E36">
        <f>'Corrale Swamp'!C36</f>
        <v>0.97880699999999998</v>
      </c>
      <c r="F36">
        <f>'Corrale Swamp'!D36</f>
        <v>1369</v>
      </c>
      <c r="G36">
        <f>'Corrale Swamp'!E36</f>
        <v>7201</v>
      </c>
      <c r="H36">
        <f>'Corrale Swamp'!F36</f>
        <v>316</v>
      </c>
      <c r="I36">
        <f>'Corrale Swamp'!G36</f>
        <v>2422212</v>
      </c>
      <c r="J36">
        <f>'Corrale Swamp'!H36</f>
        <v>67.900000000000006</v>
      </c>
      <c r="K36">
        <f>'Corrale Swamp'!I36</f>
        <v>1590</v>
      </c>
      <c r="L36">
        <f>'Corrale Swamp'!J36</f>
        <v>8559</v>
      </c>
      <c r="M36">
        <f>'Corrale Swamp'!K36</f>
        <v>100</v>
      </c>
      <c r="N36">
        <f>'Corrale Swamp'!L36</f>
        <v>911077</v>
      </c>
      <c r="O36">
        <f>'Corrale Swamp'!M36</f>
        <v>25.6</v>
      </c>
      <c r="P36">
        <f>'Corrale Swamp'!N36</f>
        <v>1041</v>
      </c>
      <c r="Q36">
        <f>'Corrale Swamp'!O36</f>
        <v>309</v>
      </c>
      <c r="R36">
        <f>'Corrale Swamp'!P36</f>
        <v>67</v>
      </c>
      <c r="S36">
        <f>'Corrale Swamp'!Q36</f>
        <v>22038</v>
      </c>
      <c r="T36">
        <f>'Corrale Swamp'!R36</f>
        <v>0.6</v>
      </c>
      <c r="U36">
        <f>'Corrale Swamp'!S36</f>
        <v>1152</v>
      </c>
      <c r="V36">
        <f>'Corrale Swamp'!T36</f>
        <v>137</v>
      </c>
      <c r="W36">
        <f>'Corrale Swamp'!U36</f>
        <v>11</v>
      </c>
      <c r="X36">
        <f>'Corrale Swamp'!V36</f>
        <v>1604</v>
      </c>
      <c r="Y36">
        <f>'Corrale Swamp'!W36</f>
        <v>0</v>
      </c>
      <c r="Z36">
        <f>'Corrale Swamp'!X36</f>
        <v>1256</v>
      </c>
      <c r="AA36">
        <f>'Corrale Swamp'!Y36</f>
        <v>1</v>
      </c>
      <c r="AB36">
        <f>'Corrale Swamp'!Z36</f>
        <v>1</v>
      </c>
      <c r="AC36">
        <f>'Corrale Swamp'!AA36</f>
        <v>1</v>
      </c>
      <c r="AD36">
        <f>'Corrale Swamp'!AB36</f>
        <v>0</v>
      </c>
      <c r="AE36">
        <f>'Corrale Swamp'!AC36</f>
        <v>1444</v>
      </c>
      <c r="AF36">
        <f>'Corrale Swamp'!AD36</f>
        <v>161</v>
      </c>
      <c r="AG36">
        <f>'Corrale Swamp'!AE36</f>
        <v>1</v>
      </c>
      <c r="AH36">
        <f>'Corrale Swamp'!AF36</f>
        <v>171</v>
      </c>
      <c r="AI36">
        <f>'Corrale Swamp'!AG36</f>
        <v>0</v>
      </c>
      <c r="AJ36">
        <f>'Corrale Swamp'!AH36</f>
        <v>1506</v>
      </c>
      <c r="AK36">
        <f>'Corrale Swamp'!AI36</f>
        <v>67</v>
      </c>
      <c r="AL36">
        <f>'Corrale Swamp'!AJ36</f>
        <v>59</v>
      </c>
      <c r="AM36">
        <f>'Corrale Swamp'!AK36</f>
        <v>4208</v>
      </c>
      <c r="AN36">
        <f>'Corrale Swamp'!AL36</f>
        <v>0.1</v>
      </c>
      <c r="AO36">
        <f>'Corrale Swamp'!AM36</f>
        <v>1596</v>
      </c>
      <c r="AP36">
        <f>'Corrale Swamp'!AN36</f>
        <v>473</v>
      </c>
      <c r="AQ36">
        <f>'Corrale Swamp'!AO36</f>
        <v>27</v>
      </c>
      <c r="AR36">
        <f>'Corrale Swamp'!AP36</f>
        <v>13594</v>
      </c>
      <c r="AS36">
        <f>'Corrale Swamp'!AQ36</f>
        <v>0.4</v>
      </c>
      <c r="AT36">
        <f>'Corrale Swamp'!AR36</f>
        <v>1722</v>
      </c>
      <c r="AU36">
        <f>'Corrale Swamp'!AS36</f>
        <v>1185</v>
      </c>
      <c r="AV36">
        <f>'Corrale Swamp'!AT36</f>
        <v>151</v>
      </c>
      <c r="AW36">
        <f>'Corrale Swamp'!AU36</f>
        <v>190470</v>
      </c>
      <c r="AX36">
        <f>'Corrale Swamp'!AV36</f>
        <v>5.3</v>
      </c>
    </row>
    <row r="37" spans="1:50">
      <c r="A37" t="str">
        <f>'Corrale Swamp'!A37</f>
        <v>/Users/christophermarjo/Documents/Python/Projects/data/bushfire Raman/Corrale Swamp/CS 11.5 (1)</v>
      </c>
      <c r="B37" t="s">
        <v>854</v>
      </c>
      <c r="C37">
        <v>11.5</v>
      </c>
      <c r="D37" t="str">
        <f>'Corrale Swamp'!B37</f>
        <v>26.48 counts</v>
      </c>
      <c r="E37">
        <f>'Corrale Swamp'!C37</f>
        <v>0.99354399999999998</v>
      </c>
      <c r="F37">
        <f>'Corrale Swamp'!D37</f>
        <v>1369</v>
      </c>
      <c r="G37">
        <f>'Corrale Swamp'!E37</f>
        <v>22545</v>
      </c>
      <c r="H37">
        <f>'Corrale Swamp'!F37</f>
        <v>326</v>
      </c>
      <c r="I37">
        <f>'Corrale Swamp'!G37</f>
        <v>7823481</v>
      </c>
      <c r="J37">
        <f>'Corrale Swamp'!H37</f>
        <v>71.900000000000006</v>
      </c>
      <c r="K37">
        <f>'Corrale Swamp'!I37</f>
        <v>1588</v>
      </c>
      <c r="L37">
        <f>'Corrale Swamp'!J37</f>
        <v>24205</v>
      </c>
      <c r="M37">
        <f>'Corrale Swamp'!K37</f>
        <v>100</v>
      </c>
      <c r="N37">
        <f>'Corrale Swamp'!L37</f>
        <v>2576542</v>
      </c>
      <c r="O37">
        <f>'Corrale Swamp'!M37</f>
        <v>23.7</v>
      </c>
      <c r="P37">
        <f>'Corrale Swamp'!N37</f>
        <v>1043</v>
      </c>
      <c r="Q37">
        <f>'Corrale Swamp'!O37</f>
        <v>847</v>
      </c>
      <c r="R37">
        <f>'Corrale Swamp'!P37</f>
        <v>79</v>
      </c>
      <c r="S37">
        <f>'Corrale Swamp'!Q37</f>
        <v>71227</v>
      </c>
      <c r="T37">
        <f>'Corrale Swamp'!R37</f>
        <v>0.7</v>
      </c>
      <c r="U37">
        <f>'Corrale Swamp'!S37</f>
        <v>1154</v>
      </c>
      <c r="V37">
        <f>'Corrale Swamp'!T37</f>
        <v>59</v>
      </c>
      <c r="W37">
        <f>'Corrale Swamp'!U37</f>
        <v>1</v>
      </c>
      <c r="X37">
        <f>'Corrale Swamp'!V37</f>
        <v>63</v>
      </c>
      <c r="Y37">
        <f>'Corrale Swamp'!W37</f>
        <v>0</v>
      </c>
      <c r="Z37">
        <f>'Corrale Swamp'!X37</f>
        <v>1256</v>
      </c>
      <c r="AA37">
        <f>'Corrale Swamp'!Y37</f>
        <v>1</v>
      </c>
      <c r="AB37">
        <f>'Corrale Swamp'!Z37</f>
        <v>1</v>
      </c>
      <c r="AC37">
        <f>'Corrale Swamp'!AA37</f>
        <v>1</v>
      </c>
      <c r="AD37">
        <f>'Corrale Swamp'!AB37</f>
        <v>0</v>
      </c>
      <c r="AE37">
        <f>'Corrale Swamp'!AC37</f>
        <v>1406</v>
      </c>
      <c r="AF37">
        <f>'Corrale Swamp'!AD37</f>
        <v>1</v>
      </c>
      <c r="AG37">
        <f>'Corrale Swamp'!AE37</f>
        <v>1</v>
      </c>
      <c r="AH37">
        <f>'Corrale Swamp'!AF37</f>
        <v>1</v>
      </c>
      <c r="AI37">
        <f>'Corrale Swamp'!AG37</f>
        <v>0</v>
      </c>
      <c r="AJ37">
        <f>'Corrale Swamp'!AH37</f>
        <v>1506</v>
      </c>
      <c r="AK37">
        <f>'Corrale Swamp'!AI37</f>
        <v>509</v>
      </c>
      <c r="AL37">
        <f>'Corrale Swamp'!AJ37</f>
        <v>31</v>
      </c>
      <c r="AM37">
        <f>'Corrale Swamp'!AK37</f>
        <v>16796</v>
      </c>
      <c r="AN37">
        <f>'Corrale Swamp'!AL37</f>
        <v>0.2</v>
      </c>
      <c r="AO37">
        <f>'Corrale Swamp'!AM37</f>
        <v>1598</v>
      </c>
      <c r="AP37">
        <f>'Corrale Swamp'!AN37</f>
        <v>1985</v>
      </c>
      <c r="AQ37">
        <f>'Corrale Swamp'!AO37</f>
        <v>29</v>
      </c>
      <c r="AR37">
        <f>'Corrale Swamp'!AP37</f>
        <v>61276</v>
      </c>
      <c r="AS37">
        <f>'Corrale Swamp'!AQ37</f>
        <v>0.6</v>
      </c>
      <c r="AT37">
        <f>'Corrale Swamp'!AR37</f>
        <v>1720</v>
      </c>
      <c r="AU37">
        <f>'Corrale Swamp'!AS37</f>
        <v>2597</v>
      </c>
      <c r="AV37">
        <f>'Corrale Swamp'!AT37</f>
        <v>119</v>
      </c>
      <c r="AW37">
        <f>'Corrale Swamp'!AU37</f>
        <v>328966</v>
      </c>
      <c r="AX37">
        <f>'Corrale Swamp'!AV37</f>
        <v>3</v>
      </c>
    </row>
    <row r="38" spans="1:50">
      <c r="A38" t="str">
        <f>'Corrale Swamp'!A38</f>
        <v>/Users/christophermarjo/Documents/Python/Projects/data/bushfire Raman/Corrale Swamp/CS 11.5 (2)</v>
      </c>
      <c r="B38" t="s">
        <v>854</v>
      </c>
      <c r="C38">
        <v>11.5</v>
      </c>
      <c r="D38" t="str">
        <f>'Corrale Swamp'!B38</f>
        <v>16.86 counts</v>
      </c>
      <c r="E38">
        <f>'Corrale Swamp'!C38</f>
        <v>0.99091200000000002</v>
      </c>
      <c r="F38">
        <f>'Corrale Swamp'!D38</f>
        <v>1367</v>
      </c>
      <c r="G38">
        <f>'Corrale Swamp'!E38</f>
        <v>12287</v>
      </c>
      <c r="H38">
        <f>'Corrale Swamp'!F38</f>
        <v>312</v>
      </c>
      <c r="I38">
        <f>'Corrale Swamp'!G38</f>
        <v>4080681</v>
      </c>
      <c r="J38">
        <f>'Corrale Swamp'!H38</f>
        <v>70.7</v>
      </c>
      <c r="K38">
        <f>'Corrale Swamp'!I38</f>
        <v>1590</v>
      </c>
      <c r="L38">
        <f>'Corrale Swamp'!J38</f>
        <v>13461</v>
      </c>
      <c r="M38">
        <f>'Corrale Swamp'!K38</f>
        <v>102</v>
      </c>
      <c r="N38">
        <f>'Corrale Swamp'!L38</f>
        <v>1461537</v>
      </c>
      <c r="O38">
        <f>'Corrale Swamp'!M38</f>
        <v>25.3</v>
      </c>
      <c r="P38">
        <f>'Corrale Swamp'!N38</f>
        <v>1027</v>
      </c>
      <c r="Q38">
        <f>'Corrale Swamp'!O38</f>
        <v>475</v>
      </c>
      <c r="R38">
        <f>'Corrale Swamp'!P38</f>
        <v>47</v>
      </c>
      <c r="S38">
        <f>'Corrale Swamp'!Q38</f>
        <v>23764</v>
      </c>
      <c r="T38">
        <f>'Corrale Swamp'!R38</f>
        <v>0.4</v>
      </c>
      <c r="U38">
        <f>'Corrale Swamp'!S38</f>
        <v>1154</v>
      </c>
      <c r="V38">
        <f>'Corrale Swamp'!T38</f>
        <v>9</v>
      </c>
      <c r="W38">
        <f>'Corrale Swamp'!U38</f>
        <v>1</v>
      </c>
      <c r="X38">
        <f>'Corrale Swamp'!V38</f>
        <v>10</v>
      </c>
      <c r="Y38">
        <f>'Corrale Swamp'!W38</f>
        <v>0</v>
      </c>
      <c r="Z38">
        <f>'Corrale Swamp'!X38</f>
        <v>1256</v>
      </c>
      <c r="AA38">
        <f>'Corrale Swamp'!Y38</f>
        <v>1</v>
      </c>
      <c r="AB38">
        <f>'Corrale Swamp'!Z38</f>
        <v>1</v>
      </c>
      <c r="AC38">
        <f>'Corrale Swamp'!AA38</f>
        <v>1</v>
      </c>
      <c r="AD38">
        <f>'Corrale Swamp'!AB38</f>
        <v>0</v>
      </c>
      <c r="AE38">
        <f>'Corrale Swamp'!AC38</f>
        <v>1458</v>
      </c>
      <c r="AF38">
        <f>'Corrale Swamp'!AD38</f>
        <v>153</v>
      </c>
      <c r="AG38">
        <f>'Corrale Swamp'!AE38</f>
        <v>1</v>
      </c>
      <c r="AH38">
        <f>'Corrale Swamp'!AF38</f>
        <v>163</v>
      </c>
      <c r="AI38">
        <f>'Corrale Swamp'!AG38</f>
        <v>0</v>
      </c>
      <c r="AJ38">
        <f>'Corrale Swamp'!AH38</f>
        <v>1506</v>
      </c>
      <c r="AK38">
        <f>'Corrale Swamp'!AI38</f>
        <v>715</v>
      </c>
      <c r="AL38">
        <f>'Corrale Swamp'!AJ38</f>
        <v>37</v>
      </c>
      <c r="AM38">
        <f>'Corrale Swamp'!AK38</f>
        <v>28160</v>
      </c>
      <c r="AN38">
        <f>'Corrale Swamp'!AL38</f>
        <v>0.5</v>
      </c>
      <c r="AO38">
        <f>'Corrale Swamp'!AM38</f>
        <v>1596</v>
      </c>
      <c r="AP38">
        <f>'Corrale Swamp'!AN38</f>
        <v>513</v>
      </c>
      <c r="AQ38">
        <f>'Corrale Swamp'!AO38</f>
        <v>25</v>
      </c>
      <c r="AR38">
        <f>'Corrale Swamp'!AP38</f>
        <v>13652</v>
      </c>
      <c r="AS38">
        <f>'Corrale Swamp'!AQ38</f>
        <v>0.2</v>
      </c>
      <c r="AT38">
        <f>'Corrale Swamp'!AR38</f>
        <v>1716</v>
      </c>
      <c r="AU38">
        <f>'Corrale Swamp'!AS38</f>
        <v>1549</v>
      </c>
      <c r="AV38">
        <f>'Corrale Swamp'!AT38</f>
        <v>97</v>
      </c>
      <c r="AW38">
        <f>'Corrale Swamp'!AU38</f>
        <v>159939</v>
      </c>
      <c r="AX38">
        <f>'Corrale Swamp'!AV38</f>
        <v>2.8</v>
      </c>
    </row>
    <row r="39" spans="1:50">
      <c r="A39" t="str">
        <f>'Corrale Swamp'!A39</f>
        <v>/Users/christophermarjo/Documents/Python/Projects/data/bushfire Raman/Corrale Swamp/CS 11.5 (3)</v>
      </c>
      <c r="B39" t="s">
        <v>854</v>
      </c>
      <c r="C39">
        <v>11.5</v>
      </c>
      <c r="D39" t="str">
        <f>'Corrale Swamp'!B39</f>
        <v>15.78 counts</v>
      </c>
      <c r="E39">
        <f>'Corrale Swamp'!C39</f>
        <v>0.98311199999999999</v>
      </c>
      <c r="F39">
        <f>'Corrale Swamp'!D39</f>
        <v>1369</v>
      </c>
      <c r="G39">
        <f>'Corrale Swamp'!E39</f>
        <v>8493</v>
      </c>
      <c r="H39">
        <f>'Corrale Swamp'!F39</f>
        <v>346</v>
      </c>
      <c r="I39">
        <f>'Corrale Swamp'!G39</f>
        <v>3128019</v>
      </c>
      <c r="J39">
        <f>'Corrale Swamp'!H39</f>
        <v>74.400000000000006</v>
      </c>
      <c r="K39">
        <f>'Corrale Swamp'!I39</f>
        <v>1588</v>
      </c>
      <c r="L39">
        <f>'Corrale Swamp'!J39</f>
        <v>7987</v>
      </c>
      <c r="M39">
        <f>'Corrale Swamp'!K39</f>
        <v>102</v>
      </c>
      <c r="N39">
        <f>'Corrale Swamp'!L39</f>
        <v>867194</v>
      </c>
      <c r="O39">
        <f>'Corrale Swamp'!M39</f>
        <v>20.6</v>
      </c>
      <c r="P39">
        <f>'Corrale Swamp'!N39</f>
        <v>1037</v>
      </c>
      <c r="Q39">
        <f>'Corrale Swamp'!O39</f>
        <v>341</v>
      </c>
      <c r="R39">
        <f>'Corrale Swamp'!P39</f>
        <v>61</v>
      </c>
      <c r="S39">
        <f>'Corrale Swamp'!Q39</f>
        <v>22142</v>
      </c>
      <c r="T39">
        <f>'Corrale Swamp'!R39</f>
        <v>0.5</v>
      </c>
      <c r="U39">
        <f>'Corrale Swamp'!S39</f>
        <v>1186</v>
      </c>
      <c r="V39">
        <f>'Corrale Swamp'!T39</f>
        <v>1</v>
      </c>
      <c r="W39">
        <f>'Corrale Swamp'!U39</f>
        <v>1</v>
      </c>
      <c r="X39">
        <f>'Corrale Swamp'!V39</f>
        <v>1</v>
      </c>
      <c r="Y39">
        <f>'Corrale Swamp'!W39</f>
        <v>0</v>
      </c>
      <c r="Z39">
        <f>'Corrale Swamp'!X39</f>
        <v>1256</v>
      </c>
      <c r="AA39">
        <f>'Corrale Swamp'!Y39</f>
        <v>1</v>
      </c>
      <c r="AB39">
        <f>'Corrale Swamp'!Z39</f>
        <v>1</v>
      </c>
      <c r="AC39">
        <f>'Corrale Swamp'!AA39</f>
        <v>1</v>
      </c>
      <c r="AD39">
        <f>'Corrale Swamp'!AB39</f>
        <v>0</v>
      </c>
      <c r="AE39">
        <f>'Corrale Swamp'!AC39</f>
        <v>1402</v>
      </c>
      <c r="AF39">
        <f>'Corrale Swamp'!AD39</f>
        <v>61</v>
      </c>
      <c r="AG39">
        <f>'Corrale Swamp'!AE39</f>
        <v>1</v>
      </c>
      <c r="AH39">
        <f>'Corrale Swamp'!AF39</f>
        <v>65</v>
      </c>
      <c r="AI39">
        <f>'Corrale Swamp'!AG39</f>
        <v>0</v>
      </c>
      <c r="AJ39">
        <f>'Corrale Swamp'!AH39</f>
        <v>1506</v>
      </c>
      <c r="AK39">
        <f>'Corrale Swamp'!AI39</f>
        <v>301</v>
      </c>
      <c r="AL39">
        <f>'Corrale Swamp'!AJ39</f>
        <v>29</v>
      </c>
      <c r="AM39">
        <f>'Corrale Swamp'!AK39</f>
        <v>9292</v>
      </c>
      <c r="AN39">
        <f>'Corrale Swamp'!AL39</f>
        <v>0.2</v>
      </c>
      <c r="AO39">
        <f>'Corrale Swamp'!AM39</f>
        <v>1598</v>
      </c>
      <c r="AP39">
        <f>'Corrale Swamp'!AN39</f>
        <v>893</v>
      </c>
      <c r="AQ39">
        <f>'Corrale Swamp'!AO39</f>
        <v>27</v>
      </c>
      <c r="AR39">
        <f>'Corrale Swamp'!AP39</f>
        <v>25665</v>
      </c>
      <c r="AS39">
        <f>'Corrale Swamp'!AQ39</f>
        <v>0.6</v>
      </c>
      <c r="AT39">
        <f>'Corrale Swamp'!AR39</f>
        <v>1720</v>
      </c>
      <c r="AU39">
        <f>'Corrale Swamp'!AS39</f>
        <v>959</v>
      </c>
      <c r="AV39">
        <f>'Corrale Swamp'!AT39</f>
        <v>147</v>
      </c>
      <c r="AW39">
        <f>'Corrale Swamp'!AU39</f>
        <v>150061</v>
      </c>
      <c r="AX39">
        <f>'Corrale Swamp'!AV39</f>
        <v>3.6</v>
      </c>
    </row>
    <row r="40" spans="1:50">
      <c r="A40" t="str">
        <f>'Corrale Swamp'!A40</f>
        <v>/Users/christophermarjo/Documents/Python/Projects/data/bushfire Raman/Corrale Swamp/CS 11.5 (4)</v>
      </c>
      <c r="B40" t="s">
        <v>854</v>
      </c>
      <c r="C40">
        <v>11.5</v>
      </c>
      <c r="D40" t="str">
        <f>'Corrale Swamp'!B40</f>
        <v>9.67 counts</v>
      </c>
      <c r="E40">
        <f>'Corrale Swamp'!C40</f>
        <v>0.98573500000000003</v>
      </c>
      <c r="F40">
        <f>'Corrale Swamp'!D40</f>
        <v>1369</v>
      </c>
      <c r="G40">
        <f>'Corrale Swamp'!E40</f>
        <v>5681</v>
      </c>
      <c r="H40">
        <f>'Corrale Swamp'!F40</f>
        <v>344</v>
      </c>
      <c r="I40">
        <f>'Corrale Swamp'!G40</f>
        <v>2080250</v>
      </c>
      <c r="J40">
        <f>'Corrale Swamp'!H40</f>
        <v>74.599999999999994</v>
      </c>
      <c r="K40">
        <f>'Corrale Swamp'!I40</f>
        <v>1588</v>
      </c>
      <c r="L40">
        <f>'Corrale Swamp'!J40</f>
        <v>5359</v>
      </c>
      <c r="M40">
        <f>'Corrale Swamp'!K40</f>
        <v>106</v>
      </c>
      <c r="N40">
        <f>'Corrale Swamp'!L40</f>
        <v>604675</v>
      </c>
      <c r="O40">
        <f>'Corrale Swamp'!M40</f>
        <v>21.7</v>
      </c>
      <c r="P40">
        <f>'Corrale Swamp'!N40</f>
        <v>1033</v>
      </c>
      <c r="Q40">
        <f>'Corrale Swamp'!O40</f>
        <v>205</v>
      </c>
      <c r="R40">
        <f>'Corrale Swamp'!P40</f>
        <v>63</v>
      </c>
      <c r="S40">
        <f>'Corrale Swamp'!Q40</f>
        <v>13748</v>
      </c>
      <c r="T40">
        <f>'Corrale Swamp'!R40</f>
        <v>0.5</v>
      </c>
      <c r="U40">
        <f>'Corrale Swamp'!S40</f>
        <v>1186</v>
      </c>
      <c r="V40">
        <f>'Corrale Swamp'!T40</f>
        <v>1</v>
      </c>
      <c r="W40">
        <f>'Corrale Swamp'!U40</f>
        <v>1</v>
      </c>
      <c r="X40">
        <f>'Corrale Swamp'!V40</f>
        <v>1</v>
      </c>
      <c r="Y40">
        <f>'Corrale Swamp'!W40</f>
        <v>0</v>
      </c>
      <c r="Z40">
        <f>'Corrale Swamp'!X40</f>
        <v>1256</v>
      </c>
      <c r="AA40">
        <f>'Corrale Swamp'!Y40</f>
        <v>1</v>
      </c>
      <c r="AB40">
        <f>'Corrale Swamp'!Z40</f>
        <v>1</v>
      </c>
      <c r="AC40">
        <f>'Corrale Swamp'!AA40</f>
        <v>1</v>
      </c>
      <c r="AD40">
        <f>'Corrale Swamp'!AB40</f>
        <v>0</v>
      </c>
      <c r="AE40">
        <f>'Corrale Swamp'!AC40</f>
        <v>1406</v>
      </c>
      <c r="AF40">
        <f>'Corrale Swamp'!AD40</f>
        <v>1</v>
      </c>
      <c r="AG40">
        <f>'Corrale Swamp'!AE40</f>
        <v>1</v>
      </c>
      <c r="AH40">
        <f>'Corrale Swamp'!AF40</f>
        <v>1</v>
      </c>
      <c r="AI40">
        <f>'Corrale Swamp'!AG40</f>
        <v>0</v>
      </c>
      <c r="AJ40">
        <f>'Corrale Swamp'!AH40</f>
        <v>1506</v>
      </c>
      <c r="AK40">
        <f>'Corrale Swamp'!AI40</f>
        <v>181</v>
      </c>
      <c r="AL40">
        <f>'Corrale Swamp'!AJ40</f>
        <v>29</v>
      </c>
      <c r="AM40">
        <f>'Corrale Swamp'!AK40</f>
        <v>5587</v>
      </c>
      <c r="AN40">
        <f>'Corrale Swamp'!AL40</f>
        <v>0.2</v>
      </c>
      <c r="AO40">
        <f>'Corrale Swamp'!AM40</f>
        <v>1598</v>
      </c>
      <c r="AP40">
        <f>'Corrale Swamp'!AN40</f>
        <v>143</v>
      </c>
      <c r="AQ40">
        <f>'Corrale Swamp'!AO40</f>
        <v>23</v>
      </c>
      <c r="AR40">
        <f>'Corrale Swamp'!AP40</f>
        <v>3501</v>
      </c>
      <c r="AS40">
        <f>'Corrale Swamp'!AQ40</f>
        <v>0.1</v>
      </c>
      <c r="AT40">
        <f>'Corrale Swamp'!AR40</f>
        <v>1724</v>
      </c>
      <c r="AU40">
        <f>'Corrale Swamp'!AS40</f>
        <v>561</v>
      </c>
      <c r="AV40">
        <f>'Corrale Swamp'!AT40</f>
        <v>135</v>
      </c>
      <c r="AW40">
        <f>'Corrale Swamp'!AU40</f>
        <v>80617</v>
      </c>
      <c r="AX40">
        <f>'Corrale Swamp'!AV40</f>
        <v>2.9</v>
      </c>
    </row>
    <row r="41" spans="1:50">
      <c r="A41" t="str">
        <f>'Corrale Swamp'!A41</f>
        <v>/Users/christophermarjo/Documents/Python/Projects/data/bushfire Raman/Corrale Swamp/CS 11.5 (5)</v>
      </c>
      <c r="B41" t="s">
        <v>854</v>
      </c>
      <c r="C41">
        <v>11.5</v>
      </c>
      <c r="D41" t="str">
        <f>'Corrale Swamp'!B41</f>
        <v>15.05 counts</v>
      </c>
      <c r="E41">
        <f>'Corrale Swamp'!C41</f>
        <v>0.981684</v>
      </c>
      <c r="F41">
        <f>'Corrale Swamp'!D41</f>
        <v>1369</v>
      </c>
      <c r="G41">
        <f>'Corrale Swamp'!E41</f>
        <v>7891</v>
      </c>
      <c r="H41">
        <f>'Corrale Swamp'!F41</f>
        <v>346</v>
      </c>
      <c r="I41">
        <f>'Corrale Swamp'!G41</f>
        <v>2906299</v>
      </c>
      <c r="J41">
        <f>'Corrale Swamp'!H41</f>
        <v>73.599999999999994</v>
      </c>
      <c r="K41">
        <f>'Corrale Swamp'!I41</f>
        <v>1588</v>
      </c>
      <c r="L41">
        <f>'Corrale Swamp'!J41</f>
        <v>7391</v>
      </c>
      <c r="M41">
        <f>'Corrale Swamp'!K41</f>
        <v>104</v>
      </c>
      <c r="N41">
        <f>'Corrale Swamp'!L41</f>
        <v>818217</v>
      </c>
      <c r="O41">
        <f>'Corrale Swamp'!M41</f>
        <v>20.7</v>
      </c>
      <c r="P41">
        <f>'Corrale Swamp'!N41</f>
        <v>1051</v>
      </c>
      <c r="Q41">
        <f>'Corrale Swamp'!O41</f>
        <v>257</v>
      </c>
      <c r="R41">
        <f>'Corrale Swamp'!P41</f>
        <v>49</v>
      </c>
      <c r="S41">
        <f>'Corrale Swamp'!Q41</f>
        <v>13405</v>
      </c>
      <c r="T41">
        <f>'Corrale Swamp'!R41</f>
        <v>0.3</v>
      </c>
      <c r="U41">
        <f>'Corrale Swamp'!S41</f>
        <v>1186</v>
      </c>
      <c r="V41">
        <f>'Corrale Swamp'!T41</f>
        <v>1</v>
      </c>
      <c r="W41">
        <f>'Corrale Swamp'!U41</f>
        <v>1</v>
      </c>
      <c r="X41">
        <f>'Corrale Swamp'!V41</f>
        <v>1</v>
      </c>
      <c r="Y41">
        <f>'Corrale Swamp'!W41</f>
        <v>0</v>
      </c>
      <c r="Z41">
        <f>'Corrale Swamp'!X41</f>
        <v>1256</v>
      </c>
      <c r="AA41">
        <f>'Corrale Swamp'!Y41</f>
        <v>1</v>
      </c>
      <c r="AB41">
        <f>'Corrale Swamp'!Z41</f>
        <v>1</v>
      </c>
      <c r="AC41">
        <f>'Corrale Swamp'!AA41</f>
        <v>1</v>
      </c>
      <c r="AD41">
        <f>'Corrale Swamp'!AB41</f>
        <v>0</v>
      </c>
      <c r="AE41">
        <f>'Corrale Swamp'!AC41</f>
        <v>1406</v>
      </c>
      <c r="AF41">
        <f>'Corrale Swamp'!AD41</f>
        <v>1</v>
      </c>
      <c r="AG41">
        <f>'Corrale Swamp'!AE41</f>
        <v>1</v>
      </c>
      <c r="AH41">
        <f>'Corrale Swamp'!AF41</f>
        <v>1</v>
      </c>
      <c r="AI41">
        <f>'Corrale Swamp'!AG41</f>
        <v>0</v>
      </c>
      <c r="AJ41">
        <f>'Corrale Swamp'!AH41</f>
        <v>1506</v>
      </c>
      <c r="AK41">
        <f>'Corrale Swamp'!AI41</f>
        <v>317</v>
      </c>
      <c r="AL41">
        <f>'Corrale Swamp'!AJ41</f>
        <v>37</v>
      </c>
      <c r="AM41">
        <f>'Corrale Swamp'!AK41</f>
        <v>12485</v>
      </c>
      <c r="AN41">
        <f>'Corrale Swamp'!AL41</f>
        <v>0.3</v>
      </c>
      <c r="AO41">
        <f>'Corrale Swamp'!AM41</f>
        <v>1592</v>
      </c>
      <c r="AP41">
        <f>'Corrale Swamp'!AN41</f>
        <v>599</v>
      </c>
      <c r="AQ41">
        <f>'Corrale Swamp'!AO41</f>
        <v>1</v>
      </c>
      <c r="AR41">
        <f>'Corrale Swamp'!AP41</f>
        <v>638</v>
      </c>
      <c r="AS41">
        <f>'Corrale Swamp'!AQ41</f>
        <v>0</v>
      </c>
      <c r="AT41">
        <f>'Corrale Swamp'!AR41</f>
        <v>1742</v>
      </c>
      <c r="AU41">
        <f>'Corrale Swamp'!AS41</f>
        <v>929</v>
      </c>
      <c r="AV41">
        <f>'Corrale Swamp'!AT41</f>
        <v>199</v>
      </c>
      <c r="AW41">
        <f>'Corrale Swamp'!AU41</f>
        <v>196789</v>
      </c>
      <c r="AX41">
        <f>'Corrale Swamp'!AV41</f>
        <v>5</v>
      </c>
    </row>
    <row r="42" spans="1:50">
      <c r="A42" t="str">
        <f>'Corrale Swamp'!A42</f>
        <v>/Users/christophermarjo/Documents/Python/Projects/data/bushfire Raman/Corrale Swamp/CS 12.5 (1)</v>
      </c>
      <c r="B42" t="s">
        <v>854</v>
      </c>
      <c r="C42">
        <v>12.5</v>
      </c>
      <c r="D42" t="str">
        <f>'Corrale Swamp'!B42</f>
        <v>39.51 counts</v>
      </c>
      <c r="E42">
        <f>'Corrale Swamp'!C42</f>
        <v>0.98904300000000001</v>
      </c>
      <c r="F42">
        <f>'Corrale Swamp'!D42</f>
        <v>1369</v>
      </c>
      <c r="G42">
        <f>'Corrale Swamp'!E42</f>
        <v>23737</v>
      </c>
      <c r="H42">
        <f>'Corrale Swamp'!F42</f>
        <v>344</v>
      </c>
      <c r="I42">
        <f>'Corrale Swamp'!G42</f>
        <v>8691935</v>
      </c>
      <c r="J42">
        <f>'Corrale Swamp'!H42</f>
        <v>67.8</v>
      </c>
      <c r="K42">
        <f>'Corrale Swamp'!I42</f>
        <v>1586</v>
      </c>
      <c r="L42">
        <f>'Corrale Swamp'!J42</f>
        <v>29331</v>
      </c>
      <c r="M42">
        <f>'Corrale Swamp'!K42</f>
        <v>112</v>
      </c>
      <c r="N42">
        <f>'Corrale Swamp'!L42</f>
        <v>3496851</v>
      </c>
      <c r="O42">
        <f>'Corrale Swamp'!M42</f>
        <v>27.3</v>
      </c>
      <c r="P42">
        <f>'Corrale Swamp'!N42</f>
        <v>1051</v>
      </c>
      <c r="Q42">
        <f>'Corrale Swamp'!O42</f>
        <v>779</v>
      </c>
      <c r="R42">
        <f>'Corrale Swamp'!P42</f>
        <v>59</v>
      </c>
      <c r="S42">
        <f>'Corrale Swamp'!Q42</f>
        <v>48924</v>
      </c>
      <c r="T42">
        <f>'Corrale Swamp'!R42</f>
        <v>0.4</v>
      </c>
      <c r="U42">
        <f>'Corrale Swamp'!S42</f>
        <v>1186</v>
      </c>
      <c r="V42">
        <f>'Corrale Swamp'!T42</f>
        <v>1</v>
      </c>
      <c r="W42">
        <f>'Corrale Swamp'!U42</f>
        <v>1</v>
      </c>
      <c r="X42">
        <f>'Corrale Swamp'!V42</f>
        <v>1</v>
      </c>
      <c r="Y42">
        <f>'Corrale Swamp'!W42</f>
        <v>0</v>
      </c>
      <c r="Z42">
        <f>'Corrale Swamp'!X42</f>
        <v>1256</v>
      </c>
      <c r="AA42">
        <f>'Corrale Swamp'!Y42</f>
        <v>1</v>
      </c>
      <c r="AB42">
        <f>'Corrale Swamp'!Z42</f>
        <v>1</v>
      </c>
      <c r="AC42">
        <f>'Corrale Swamp'!AA42</f>
        <v>1</v>
      </c>
      <c r="AD42">
        <f>'Corrale Swamp'!AB42</f>
        <v>0</v>
      </c>
      <c r="AE42">
        <f>'Corrale Swamp'!AC42</f>
        <v>1440</v>
      </c>
      <c r="AF42">
        <f>'Corrale Swamp'!AD42</f>
        <v>599</v>
      </c>
      <c r="AG42">
        <f>'Corrale Swamp'!AE42</f>
        <v>101</v>
      </c>
      <c r="AH42">
        <f>'Corrale Swamp'!AF42</f>
        <v>64399</v>
      </c>
      <c r="AI42">
        <f>'Corrale Swamp'!AG42</f>
        <v>0.5</v>
      </c>
      <c r="AJ42">
        <f>'Corrale Swamp'!AH42</f>
        <v>1486</v>
      </c>
      <c r="AK42">
        <f>'Corrale Swamp'!AI42</f>
        <v>1025</v>
      </c>
      <c r="AL42">
        <f>'Corrale Swamp'!AJ42</f>
        <v>41</v>
      </c>
      <c r="AM42">
        <f>'Corrale Swamp'!AK42</f>
        <v>44734</v>
      </c>
      <c r="AN42">
        <f>'Corrale Swamp'!AL42</f>
        <v>0.3</v>
      </c>
      <c r="AO42">
        <f>'Corrale Swamp'!AM42</f>
        <v>1596</v>
      </c>
      <c r="AP42">
        <f>'Corrale Swamp'!AN42</f>
        <v>1343</v>
      </c>
      <c r="AQ42">
        <f>'Corrale Swamp'!AO42</f>
        <v>25</v>
      </c>
      <c r="AR42">
        <f>'Corrale Swamp'!AP42</f>
        <v>35739</v>
      </c>
      <c r="AS42">
        <f>'Corrale Swamp'!AQ42</f>
        <v>0.3</v>
      </c>
      <c r="AT42">
        <f>'Corrale Swamp'!AR42</f>
        <v>1736</v>
      </c>
      <c r="AU42">
        <f>'Corrale Swamp'!AS42</f>
        <v>3171</v>
      </c>
      <c r="AV42">
        <f>'Corrale Swamp'!AT42</f>
        <v>129</v>
      </c>
      <c r="AW42">
        <f>'Corrale Swamp'!AU42</f>
        <v>435430</v>
      </c>
      <c r="AX42">
        <f>'Corrale Swamp'!AV42</f>
        <v>3.4</v>
      </c>
    </row>
    <row r="43" spans="1:50">
      <c r="A43" t="str">
        <f>'Corrale Swamp'!A43</f>
        <v>/Users/christophermarjo/Documents/Python/Projects/data/bushfire Raman/Corrale Swamp/CS 12.5 (2)</v>
      </c>
      <c r="B43" t="s">
        <v>854</v>
      </c>
      <c r="C43">
        <v>12.5</v>
      </c>
      <c r="D43" t="str">
        <f>'Corrale Swamp'!B43</f>
        <v>50.86 counts</v>
      </c>
      <c r="E43">
        <f>'Corrale Swamp'!C43</f>
        <v>0.98835200000000001</v>
      </c>
      <c r="F43">
        <f>'Corrale Swamp'!D43</f>
        <v>1367</v>
      </c>
      <c r="G43">
        <f>'Corrale Swamp'!E43</f>
        <v>29175</v>
      </c>
      <c r="H43">
        <f>'Corrale Swamp'!F43</f>
        <v>346</v>
      </c>
      <c r="I43">
        <f>'Corrale Swamp'!G43</f>
        <v>10745316</v>
      </c>
      <c r="J43">
        <f>'Corrale Swamp'!H43</f>
        <v>66</v>
      </c>
      <c r="K43">
        <f>'Corrale Swamp'!I43</f>
        <v>1584</v>
      </c>
      <c r="L43">
        <f>'Corrale Swamp'!J43</f>
        <v>35071</v>
      </c>
      <c r="M43">
        <f>'Corrale Swamp'!K43</f>
        <v>122</v>
      </c>
      <c r="N43">
        <f>'Corrale Swamp'!L43</f>
        <v>4554495</v>
      </c>
      <c r="O43">
        <f>'Corrale Swamp'!M43</f>
        <v>28</v>
      </c>
      <c r="P43">
        <f>'Corrale Swamp'!N43</f>
        <v>1043</v>
      </c>
      <c r="Q43">
        <f>'Corrale Swamp'!O43</f>
        <v>1115</v>
      </c>
      <c r="R43">
        <f>'Corrale Swamp'!P43</f>
        <v>71</v>
      </c>
      <c r="S43">
        <f>'Corrale Swamp'!Q43</f>
        <v>84269</v>
      </c>
      <c r="T43">
        <f>'Corrale Swamp'!R43</f>
        <v>0.5</v>
      </c>
      <c r="U43">
        <f>'Corrale Swamp'!S43</f>
        <v>1186</v>
      </c>
      <c r="V43">
        <f>'Corrale Swamp'!T43</f>
        <v>1</v>
      </c>
      <c r="W43">
        <f>'Corrale Swamp'!U43</f>
        <v>1</v>
      </c>
      <c r="X43">
        <f>'Corrale Swamp'!V43</f>
        <v>1</v>
      </c>
      <c r="Y43">
        <f>'Corrale Swamp'!W43</f>
        <v>0</v>
      </c>
      <c r="Z43">
        <f>'Corrale Swamp'!X43</f>
        <v>1256</v>
      </c>
      <c r="AA43">
        <f>'Corrale Swamp'!Y43</f>
        <v>1</v>
      </c>
      <c r="AB43">
        <f>'Corrale Swamp'!Z43</f>
        <v>1</v>
      </c>
      <c r="AC43">
        <f>'Corrale Swamp'!AA43</f>
        <v>1</v>
      </c>
      <c r="AD43">
        <f>'Corrale Swamp'!AB43</f>
        <v>0</v>
      </c>
      <c r="AE43">
        <f>'Corrale Swamp'!AC43</f>
        <v>1440</v>
      </c>
      <c r="AF43">
        <f>'Corrale Swamp'!AD43</f>
        <v>1881</v>
      </c>
      <c r="AG43">
        <f>'Corrale Swamp'!AE43</f>
        <v>83</v>
      </c>
      <c r="AH43">
        <f>'Corrale Swamp'!AF43</f>
        <v>166188</v>
      </c>
      <c r="AI43">
        <f>'Corrale Swamp'!AG43</f>
        <v>1</v>
      </c>
      <c r="AJ43">
        <f>'Corrale Swamp'!AH43</f>
        <v>1488</v>
      </c>
      <c r="AK43">
        <f>'Corrale Swamp'!AI43</f>
        <v>1145</v>
      </c>
      <c r="AL43">
        <f>'Corrale Swamp'!AJ43</f>
        <v>39</v>
      </c>
      <c r="AM43">
        <f>'Corrale Swamp'!AK43</f>
        <v>47534</v>
      </c>
      <c r="AN43">
        <f>'Corrale Swamp'!AL43</f>
        <v>0.3</v>
      </c>
      <c r="AO43">
        <f>'Corrale Swamp'!AM43</f>
        <v>1582</v>
      </c>
      <c r="AP43">
        <f>'Corrale Swamp'!AN43</f>
        <v>1133</v>
      </c>
      <c r="AQ43">
        <f>'Corrale Swamp'!AO43</f>
        <v>29</v>
      </c>
      <c r="AR43">
        <f>'Corrale Swamp'!AP43</f>
        <v>34975</v>
      </c>
      <c r="AS43">
        <f>'Corrale Swamp'!AQ43</f>
        <v>0.2</v>
      </c>
      <c r="AT43">
        <f>'Corrale Swamp'!AR43</f>
        <v>1748</v>
      </c>
      <c r="AU43">
        <f>'Corrale Swamp'!AS43</f>
        <v>3403</v>
      </c>
      <c r="AV43">
        <f>'Corrale Swamp'!AT43</f>
        <v>181</v>
      </c>
      <c r="AW43">
        <f>'Corrale Swamp'!AU43</f>
        <v>655651</v>
      </c>
      <c r="AX43">
        <f>'Corrale Swamp'!AV43</f>
        <v>4</v>
      </c>
    </row>
    <row r="44" spans="1:50">
      <c r="A44" t="str">
        <f>'Corrale Swamp'!A44</f>
        <v>/Users/christophermarjo/Documents/Python/Projects/data/bushfire Raman/Corrale Swamp/CS 12.5 (3)</v>
      </c>
      <c r="B44" t="s">
        <v>854</v>
      </c>
      <c r="C44">
        <v>12.5</v>
      </c>
      <c r="D44" t="str">
        <f>'Corrale Swamp'!B44</f>
        <v>44.53 counts</v>
      </c>
      <c r="E44">
        <f>'Corrale Swamp'!C44</f>
        <v>0.99003699999999994</v>
      </c>
      <c r="F44">
        <f>'Corrale Swamp'!D44</f>
        <v>1369</v>
      </c>
      <c r="G44">
        <f>'Corrale Swamp'!E44</f>
        <v>28777</v>
      </c>
      <c r="H44">
        <f>'Corrale Swamp'!F44</f>
        <v>346</v>
      </c>
      <c r="I44">
        <f>'Corrale Swamp'!G44</f>
        <v>10598730</v>
      </c>
      <c r="J44">
        <f>'Corrale Swamp'!H44</f>
        <v>69.7</v>
      </c>
      <c r="K44">
        <f>'Corrale Swamp'!I44</f>
        <v>1586</v>
      </c>
      <c r="L44">
        <f>'Corrale Swamp'!J44</f>
        <v>32993</v>
      </c>
      <c r="M44">
        <f>'Corrale Swamp'!K44</f>
        <v>114</v>
      </c>
      <c r="N44">
        <f>'Corrale Swamp'!L44</f>
        <v>4003676</v>
      </c>
      <c r="O44">
        <f>'Corrale Swamp'!M44</f>
        <v>26.3</v>
      </c>
      <c r="P44">
        <f>'Corrale Swamp'!N44</f>
        <v>1043</v>
      </c>
      <c r="Q44">
        <f>'Corrale Swamp'!O44</f>
        <v>823</v>
      </c>
      <c r="R44">
        <f>'Corrale Swamp'!P44</f>
        <v>75</v>
      </c>
      <c r="S44">
        <f>'Corrale Swamp'!Q44</f>
        <v>65704</v>
      </c>
      <c r="T44">
        <f>'Corrale Swamp'!R44</f>
        <v>0.4</v>
      </c>
      <c r="U44">
        <f>'Corrale Swamp'!S44</f>
        <v>1186</v>
      </c>
      <c r="V44">
        <f>'Corrale Swamp'!T44</f>
        <v>1</v>
      </c>
      <c r="W44">
        <f>'Corrale Swamp'!U44</f>
        <v>1</v>
      </c>
      <c r="X44">
        <f>'Corrale Swamp'!V44</f>
        <v>1</v>
      </c>
      <c r="Y44">
        <f>'Corrale Swamp'!W44</f>
        <v>0</v>
      </c>
      <c r="Z44">
        <f>'Corrale Swamp'!X44</f>
        <v>1256</v>
      </c>
      <c r="AA44">
        <f>'Corrale Swamp'!Y44</f>
        <v>1</v>
      </c>
      <c r="AB44">
        <f>'Corrale Swamp'!Z44</f>
        <v>1</v>
      </c>
      <c r="AC44">
        <f>'Corrale Swamp'!AA44</f>
        <v>1</v>
      </c>
      <c r="AD44">
        <f>'Corrale Swamp'!AB44</f>
        <v>0</v>
      </c>
      <c r="AE44">
        <f>'Corrale Swamp'!AC44</f>
        <v>1440</v>
      </c>
      <c r="AF44">
        <f>'Corrale Swamp'!AD44</f>
        <v>877</v>
      </c>
      <c r="AG44">
        <f>'Corrale Swamp'!AE44</f>
        <v>91</v>
      </c>
      <c r="AH44">
        <f>'Corrale Swamp'!AF44</f>
        <v>84952</v>
      </c>
      <c r="AI44">
        <f>'Corrale Swamp'!AG44</f>
        <v>0.6</v>
      </c>
      <c r="AJ44">
        <f>'Corrale Swamp'!AH44</f>
        <v>1486</v>
      </c>
      <c r="AK44">
        <f>'Corrale Swamp'!AI44</f>
        <v>885</v>
      </c>
      <c r="AL44">
        <f>'Corrale Swamp'!AJ44</f>
        <v>45</v>
      </c>
      <c r="AM44">
        <f>'Corrale Swamp'!AK44</f>
        <v>42392</v>
      </c>
      <c r="AN44">
        <f>'Corrale Swamp'!AL44</f>
        <v>0.3</v>
      </c>
      <c r="AO44">
        <f>'Corrale Swamp'!AM44</f>
        <v>1592</v>
      </c>
      <c r="AP44">
        <f>'Corrale Swamp'!AN44</f>
        <v>1139</v>
      </c>
      <c r="AQ44">
        <f>'Corrale Swamp'!AO44</f>
        <v>23</v>
      </c>
      <c r="AR44">
        <f>'Corrale Swamp'!AP44</f>
        <v>27886</v>
      </c>
      <c r="AS44">
        <f>'Corrale Swamp'!AQ44</f>
        <v>0.2</v>
      </c>
      <c r="AT44">
        <f>'Corrale Swamp'!AR44</f>
        <v>1730</v>
      </c>
      <c r="AU44">
        <f>'Corrale Swamp'!AS44</f>
        <v>3325</v>
      </c>
      <c r="AV44">
        <f>'Corrale Swamp'!AT44</f>
        <v>111</v>
      </c>
      <c r="AW44">
        <f>'Corrale Swamp'!AU44</f>
        <v>392868</v>
      </c>
      <c r="AX44">
        <f>'Corrale Swamp'!AV44</f>
        <v>2.6</v>
      </c>
    </row>
    <row r="45" spans="1:50">
      <c r="A45" t="str">
        <f>'Corrale Swamp'!A45</f>
        <v>/Users/christophermarjo/Documents/Python/Projects/data/bushfire Raman/Corrale Swamp/CS 12.5 (4)</v>
      </c>
      <c r="B45" t="s">
        <v>854</v>
      </c>
      <c r="C45">
        <v>12.5</v>
      </c>
      <c r="D45" t="str">
        <f>'Corrale Swamp'!B45</f>
        <v>14.47 counts</v>
      </c>
      <c r="E45">
        <f>'Corrale Swamp'!C45</f>
        <v>0.99290199999999995</v>
      </c>
      <c r="F45">
        <f>'Corrale Swamp'!D45</f>
        <v>1369</v>
      </c>
      <c r="G45">
        <f>'Corrale Swamp'!E45</f>
        <v>10813</v>
      </c>
      <c r="H45">
        <f>'Corrale Swamp'!F45</f>
        <v>338</v>
      </c>
      <c r="I45">
        <f>'Corrale Swamp'!G45</f>
        <v>3890408</v>
      </c>
      <c r="J45">
        <f>'Corrale Swamp'!H45</f>
        <v>69</v>
      </c>
      <c r="K45">
        <f>'Corrale Swamp'!I45</f>
        <v>1586</v>
      </c>
      <c r="L45">
        <f>'Corrale Swamp'!J45</f>
        <v>12909</v>
      </c>
      <c r="M45">
        <f>'Corrale Swamp'!K45</f>
        <v>114</v>
      </c>
      <c r="N45">
        <f>'Corrale Swamp'!L45</f>
        <v>1566497</v>
      </c>
      <c r="O45">
        <f>'Corrale Swamp'!M45</f>
        <v>27.8</v>
      </c>
      <c r="P45">
        <f>'Corrale Swamp'!N45</f>
        <v>1043</v>
      </c>
      <c r="Q45">
        <f>'Corrale Swamp'!O45</f>
        <v>299</v>
      </c>
      <c r="R45">
        <f>'Corrale Swamp'!P45</f>
        <v>67</v>
      </c>
      <c r="S45">
        <f>'Corrale Swamp'!Q45</f>
        <v>21324</v>
      </c>
      <c r="T45">
        <f>'Corrale Swamp'!R45</f>
        <v>0.4</v>
      </c>
      <c r="U45">
        <f>'Corrale Swamp'!S45</f>
        <v>1186</v>
      </c>
      <c r="V45">
        <f>'Corrale Swamp'!T45</f>
        <v>1</v>
      </c>
      <c r="W45">
        <f>'Corrale Swamp'!U45</f>
        <v>1</v>
      </c>
      <c r="X45">
        <f>'Corrale Swamp'!V45</f>
        <v>1</v>
      </c>
      <c r="Y45">
        <f>'Corrale Swamp'!W45</f>
        <v>0</v>
      </c>
      <c r="Z45">
        <f>'Corrale Swamp'!X45</f>
        <v>1256</v>
      </c>
      <c r="AA45">
        <f>'Corrale Swamp'!Y45</f>
        <v>1</v>
      </c>
      <c r="AB45">
        <f>'Corrale Swamp'!Z45</f>
        <v>1</v>
      </c>
      <c r="AC45">
        <f>'Corrale Swamp'!AA45</f>
        <v>1</v>
      </c>
      <c r="AD45">
        <f>'Corrale Swamp'!AB45</f>
        <v>0</v>
      </c>
      <c r="AE45">
        <f>'Corrale Swamp'!AC45</f>
        <v>1424</v>
      </c>
      <c r="AF45">
        <f>'Corrale Swamp'!AD45</f>
        <v>273</v>
      </c>
      <c r="AG45">
        <f>'Corrale Swamp'!AE45</f>
        <v>113</v>
      </c>
      <c r="AH45">
        <f>'Corrale Swamp'!AF45</f>
        <v>32838</v>
      </c>
      <c r="AI45">
        <f>'Corrale Swamp'!AG45</f>
        <v>0.6</v>
      </c>
      <c r="AJ45">
        <f>'Corrale Swamp'!AH45</f>
        <v>1484</v>
      </c>
      <c r="AK45">
        <f>'Corrale Swamp'!AI45</f>
        <v>365</v>
      </c>
      <c r="AL45">
        <f>'Corrale Swamp'!AJ45</f>
        <v>43</v>
      </c>
      <c r="AM45">
        <f>'Corrale Swamp'!AK45</f>
        <v>16707</v>
      </c>
      <c r="AN45">
        <f>'Corrale Swamp'!AL45</f>
        <v>0.3</v>
      </c>
      <c r="AO45">
        <f>'Corrale Swamp'!AM45</f>
        <v>1592</v>
      </c>
      <c r="AP45">
        <f>'Corrale Swamp'!AN45</f>
        <v>423</v>
      </c>
      <c r="AQ45">
        <f>'Corrale Swamp'!AO45</f>
        <v>27</v>
      </c>
      <c r="AR45">
        <f>'Corrale Swamp'!AP45</f>
        <v>12157</v>
      </c>
      <c r="AS45">
        <f>'Corrale Swamp'!AQ45</f>
        <v>0.2</v>
      </c>
      <c r="AT45">
        <f>'Corrale Swamp'!AR45</f>
        <v>1712</v>
      </c>
      <c r="AU45">
        <f>'Corrale Swamp'!AS45</f>
        <v>1447</v>
      </c>
      <c r="AV45">
        <f>'Corrale Swamp'!AT45</f>
        <v>63</v>
      </c>
      <c r="AW45">
        <f>'Corrale Swamp'!AU45</f>
        <v>97038</v>
      </c>
      <c r="AX45">
        <f>'Corrale Swamp'!AV45</f>
        <v>1.7</v>
      </c>
    </row>
    <row r="46" spans="1:50">
      <c r="A46" t="str">
        <f>'Corrale Swamp'!A46</f>
        <v>/Users/christophermarjo/Documents/Python/Projects/data/bushfire Raman/Corrale Swamp/CS 12.5 (5)</v>
      </c>
      <c r="B46" t="s">
        <v>854</v>
      </c>
      <c r="C46">
        <v>12.5</v>
      </c>
      <c r="D46" t="str">
        <f>'Corrale Swamp'!B46</f>
        <v>27.30 counts</v>
      </c>
      <c r="E46">
        <f>'Corrale Swamp'!C46</f>
        <v>0.98574600000000001</v>
      </c>
      <c r="F46">
        <f>'Corrale Swamp'!D46</f>
        <v>1369</v>
      </c>
      <c r="G46">
        <f>'Corrale Swamp'!E46</f>
        <v>13703</v>
      </c>
      <c r="H46">
        <f>'Corrale Swamp'!F46</f>
        <v>348</v>
      </c>
      <c r="I46">
        <f>'Corrale Swamp'!G46</f>
        <v>5076064</v>
      </c>
      <c r="J46">
        <f>'Corrale Swamp'!H46</f>
        <v>65.599999999999994</v>
      </c>
      <c r="K46">
        <f>'Corrale Swamp'!I46</f>
        <v>1586</v>
      </c>
      <c r="L46">
        <f>'Corrale Swamp'!J46</f>
        <v>18347</v>
      </c>
      <c r="M46">
        <f>'Corrale Swamp'!K46</f>
        <v>114</v>
      </c>
      <c r="N46">
        <f>'Corrale Swamp'!L46</f>
        <v>2226395</v>
      </c>
      <c r="O46">
        <f>'Corrale Swamp'!M46</f>
        <v>28.8</v>
      </c>
      <c r="P46">
        <f>'Corrale Swamp'!N46</f>
        <v>1043</v>
      </c>
      <c r="Q46">
        <f>'Corrale Swamp'!O46</f>
        <v>353</v>
      </c>
      <c r="R46">
        <f>'Corrale Swamp'!P46</f>
        <v>65</v>
      </c>
      <c r="S46">
        <f>'Corrale Swamp'!Q46</f>
        <v>24424</v>
      </c>
      <c r="T46">
        <f>'Corrale Swamp'!R46</f>
        <v>0.3</v>
      </c>
      <c r="U46">
        <f>'Corrale Swamp'!S46</f>
        <v>1186</v>
      </c>
      <c r="V46">
        <f>'Corrale Swamp'!T46</f>
        <v>1</v>
      </c>
      <c r="W46">
        <f>'Corrale Swamp'!U46</f>
        <v>1</v>
      </c>
      <c r="X46">
        <f>'Corrale Swamp'!V46</f>
        <v>1</v>
      </c>
      <c r="Y46">
        <f>'Corrale Swamp'!W46</f>
        <v>0</v>
      </c>
      <c r="Z46">
        <f>'Corrale Swamp'!X46</f>
        <v>1256</v>
      </c>
      <c r="AA46">
        <f>'Corrale Swamp'!Y46</f>
        <v>1</v>
      </c>
      <c r="AB46">
        <f>'Corrale Swamp'!Z46</f>
        <v>1</v>
      </c>
      <c r="AC46">
        <f>'Corrale Swamp'!AA46</f>
        <v>1</v>
      </c>
      <c r="AD46">
        <f>'Corrale Swamp'!AB46</f>
        <v>0</v>
      </c>
      <c r="AE46">
        <f>'Corrale Swamp'!AC46</f>
        <v>1440</v>
      </c>
      <c r="AF46">
        <f>'Corrale Swamp'!AD46</f>
        <v>795</v>
      </c>
      <c r="AG46">
        <f>'Corrale Swamp'!AE46</f>
        <v>91</v>
      </c>
      <c r="AH46">
        <f>'Corrale Swamp'!AF46</f>
        <v>77009</v>
      </c>
      <c r="AI46">
        <f>'Corrale Swamp'!AG46</f>
        <v>1</v>
      </c>
      <c r="AJ46">
        <f>'Corrale Swamp'!AH46</f>
        <v>1492</v>
      </c>
      <c r="AK46">
        <f>'Corrale Swamp'!AI46</f>
        <v>719</v>
      </c>
      <c r="AL46">
        <f>'Corrale Swamp'!AJ46</f>
        <v>49</v>
      </c>
      <c r="AM46">
        <f>'Corrale Swamp'!AK46</f>
        <v>37502</v>
      </c>
      <c r="AN46">
        <f>'Corrale Swamp'!AL46</f>
        <v>0.5</v>
      </c>
      <c r="AO46">
        <f>'Corrale Swamp'!AM46</f>
        <v>1582</v>
      </c>
      <c r="AP46">
        <f>'Corrale Swamp'!AN46</f>
        <v>391</v>
      </c>
      <c r="AQ46">
        <f>'Corrale Swamp'!AO46</f>
        <v>23</v>
      </c>
      <c r="AR46">
        <f>'Corrale Swamp'!AP46</f>
        <v>9573</v>
      </c>
      <c r="AS46">
        <f>'Corrale Swamp'!AQ46</f>
        <v>0.1</v>
      </c>
      <c r="AT46">
        <f>'Corrale Swamp'!AR46</f>
        <v>1730</v>
      </c>
      <c r="AU46">
        <f>'Corrale Swamp'!AS46</f>
        <v>2601</v>
      </c>
      <c r="AV46">
        <f>'Corrale Swamp'!AT46</f>
        <v>103</v>
      </c>
      <c r="AW46">
        <f>'Corrale Swamp'!AU46</f>
        <v>285174</v>
      </c>
      <c r="AX46">
        <f>'Corrale Swamp'!AV46</f>
        <v>3.7</v>
      </c>
    </row>
    <row r="47" spans="1:50">
      <c r="A47" t="str">
        <f>'Corrale Swamp'!A47</f>
        <v>/Users/christophermarjo/Documents/Python/Projects/data/bushfire Raman/Corrale Swamp/CS 13 (1)</v>
      </c>
      <c r="B47" t="s">
        <v>854</v>
      </c>
      <c r="C47">
        <v>13</v>
      </c>
      <c r="D47" t="str">
        <f>'Corrale Swamp'!B47</f>
        <v>92.75 counts</v>
      </c>
      <c r="E47">
        <f>'Corrale Swamp'!C47</f>
        <v>0.94644700000000004</v>
      </c>
      <c r="F47">
        <f>'Corrale Swamp'!D47</f>
        <v>1369</v>
      </c>
      <c r="G47">
        <f>'Corrale Swamp'!E47</f>
        <v>25355</v>
      </c>
      <c r="H47">
        <f>'Corrale Swamp'!F47</f>
        <v>294</v>
      </c>
      <c r="I47">
        <f>'Corrale Swamp'!G47</f>
        <v>7934931</v>
      </c>
      <c r="J47">
        <f>'Corrale Swamp'!H47</f>
        <v>57.7</v>
      </c>
      <c r="K47">
        <f>'Corrale Swamp'!I47</f>
        <v>1592</v>
      </c>
      <c r="L47">
        <f>'Corrale Swamp'!J47</f>
        <v>34627</v>
      </c>
      <c r="M47">
        <f>'Corrale Swamp'!K47</f>
        <v>112</v>
      </c>
      <c r="N47">
        <f>'Corrale Swamp'!L47</f>
        <v>4128242</v>
      </c>
      <c r="O47">
        <f>'Corrale Swamp'!M47</f>
        <v>30</v>
      </c>
      <c r="P47">
        <f>'Corrale Swamp'!N47</f>
        <v>1029</v>
      </c>
      <c r="Q47">
        <f>'Corrale Swamp'!O47</f>
        <v>2017</v>
      </c>
      <c r="R47">
        <f>'Corrale Swamp'!P47</f>
        <v>19</v>
      </c>
      <c r="S47">
        <f>'Corrale Swamp'!Q47</f>
        <v>40794</v>
      </c>
      <c r="T47">
        <f>'Corrale Swamp'!R47</f>
        <v>0.3</v>
      </c>
      <c r="U47">
        <f>'Corrale Swamp'!S47</f>
        <v>1156</v>
      </c>
      <c r="V47">
        <f>'Corrale Swamp'!T47</f>
        <v>1359</v>
      </c>
      <c r="W47">
        <f>'Corrale Swamp'!U47</f>
        <v>3</v>
      </c>
      <c r="X47">
        <f>'Corrale Swamp'!V47</f>
        <v>4340</v>
      </c>
      <c r="Y47">
        <f>'Corrale Swamp'!W47</f>
        <v>0</v>
      </c>
      <c r="Z47">
        <f>'Corrale Swamp'!X47</f>
        <v>1270</v>
      </c>
      <c r="AA47">
        <f>'Corrale Swamp'!Y47</f>
        <v>1</v>
      </c>
      <c r="AB47">
        <f>'Corrale Swamp'!Z47</f>
        <v>1</v>
      </c>
      <c r="AC47">
        <f>'Corrale Swamp'!AA47</f>
        <v>1</v>
      </c>
      <c r="AD47">
        <f>'Corrale Swamp'!AB47</f>
        <v>0</v>
      </c>
      <c r="AE47">
        <f>'Corrale Swamp'!AC47</f>
        <v>1456</v>
      </c>
      <c r="AF47">
        <f>'Corrale Swamp'!AD47</f>
        <v>4765</v>
      </c>
      <c r="AG47">
        <f>'Corrale Swamp'!AE47</f>
        <v>81</v>
      </c>
      <c r="AH47">
        <f>'Corrale Swamp'!AF47</f>
        <v>410847</v>
      </c>
      <c r="AI47">
        <f>'Corrale Swamp'!AG47</f>
        <v>3</v>
      </c>
      <c r="AJ47">
        <f>'Corrale Swamp'!AH47</f>
        <v>1492</v>
      </c>
      <c r="AK47">
        <f>'Corrale Swamp'!AI47</f>
        <v>2115</v>
      </c>
      <c r="AL47">
        <f>'Corrale Swamp'!AJ47</f>
        <v>19</v>
      </c>
      <c r="AM47">
        <f>'Corrale Swamp'!AK47</f>
        <v>42776</v>
      </c>
      <c r="AN47">
        <f>'Corrale Swamp'!AL47</f>
        <v>0.3</v>
      </c>
      <c r="AO47">
        <f>'Corrale Swamp'!AM47</f>
        <v>1592</v>
      </c>
      <c r="AP47">
        <f>'Corrale Swamp'!AN47</f>
        <v>729</v>
      </c>
      <c r="AQ47">
        <f>'Corrale Swamp'!AO47</f>
        <v>3</v>
      </c>
      <c r="AR47">
        <f>'Corrale Swamp'!AP47</f>
        <v>2328</v>
      </c>
      <c r="AS47">
        <f>'Corrale Swamp'!AQ47</f>
        <v>0</v>
      </c>
      <c r="AT47">
        <f>'Corrale Swamp'!AR47</f>
        <v>1746</v>
      </c>
      <c r="AU47">
        <f>'Corrale Swamp'!AS47</f>
        <v>7245</v>
      </c>
      <c r="AV47">
        <f>'Corrale Swamp'!AT47</f>
        <v>153</v>
      </c>
      <c r="AW47">
        <f>'Corrale Swamp'!AU47</f>
        <v>1179946</v>
      </c>
      <c r="AX47">
        <f>'Corrale Swamp'!AV47</f>
        <v>8.6</v>
      </c>
    </row>
    <row r="48" spans="1:50">
      <c r="A48" t="str">
        <f>'Corrale Swamp'!A48</f>
        <v>/Users/christophermarjo/Documents/Python/Projects/data/bushfire Raman/Corrale Swamp/CS 13 (2)</v>
      </c>
      <c r="B48" t="s">
        <v>854</v>
      </c>
      <c r="C48">
        <v>13</v>
      </c>
      <c r="D48" t="str">
        <f>'Corrale Swamp'!B48</f>
        <v>128.70 counts</v>
      </c>
      <c r="E48">
        <f>'Corrale Swamp'!C48</f>
        <v>0.87256</v>
      </c>
      <c r="F48">
        <f>'Corrale Swamp'!D48</f>
        <v>1369</v>
      </c>
      <c r="G48">
        <f>'Corrale Swamp'!E48</f>
        <v>18799</v>
      </c>
      <c r="H48">
        <f>'Corrale Swamp'!F48</f>
        <v>330</v>
      </c>
      <c r="I48">
        <f>'Corrale Swamp'!G48</f>
        <v>6603602</v>
      </c>
      <c r="J48">
        <f>'Corrale Swamp'!H48</f>
        <v>51.3</v>
      </c>
      <c r="K48">
        <f>'Corrale Swamp'!I48</f>
        <v>1592</v>
      </c>
      <c r="L48">
        <f>'Corrale Swamp'!J48</f>
        <v>29797</v>
      </c>
      <c r="M48">
        <f>'Corrale Swamp'!K48</f>
        <v>118</v>
      </c>
      <c r="N48">
        <f>'Corrale Swamp'!L48</f>
        <v>3742715</v>
      </c>
      <c r="O48">
        <f>'Corrale Swamp'!M48</f>
        <v>29.1</v>
      </c>
      <c r="P48">
        <f>'Corrale Swamp'!N48</f>
        <v>1017</v>
      </c>
      <c r="Q48">
        <f>'Corrale Swamp'!O48</f>
        <v>5</v>
      </c>
      <c r="R48">
        <f>'Corrale Swamp'!P48</f>
        <v>5</v>
      </c>
      <c r="S48">
        <f>'Corrale Swamp'!Q48</f>
        <v>27</v>
      </c>
      <c r="T48">
        <f>'Corrale Swamp'!R48</f>
        <v>0</v>
      </c>
      <c r="U48">
        <f>'Corrale Swamp'!S48</f>
        <v>1156</v>
      </c>
      <c r="V48">
        <f>'Corrale Swamp'!T48</f>
        <v>73</v>
      </c>
      <c r="W48">
        <f>'Corrale Swamp'!U48</f>
        <v>1</v>
      </c>
      <c r="X48">
        <f>'Corrale Swamp'!V48</f>
        <v>78</v>
      </c>
      <c r="Y48">
        <f>'Corrale Swamp'!W48</f>
        <v>0</v>
      </c>
      <c r="Z48">
        <f>'Corrale Swamp'!X48</f>
        <v>1270</v>
      </c>
      <c r="AA48">
        <f>'Corrale Swamp'!Y48</f>
        <v>1</v>
      </c>
      <c r="AB48">
        <f>'Corrale Swamp'!Z48</f>
        <v>1</v>
      </c>
      <c r="AC48">
        <f>'Corrale Swamp'!AA48</f>
        <v>1</v>
      </c>
      <c r="AD48">
        <f>'Corrale Swamp'!AB48</f>
        <v>0</v>
      </c>
      <c r="AE48">
        <f>'Corrale Swamp'!AC48</f>
        <v>1458</v>
      </c>
      <c r="AF48">
        <f>'Corrale Swamp'!AD48</f>
        <v>8943</v>
      </c>
      <c r="AG48">
        <f>'Corrale Swamp'!AE48</f>
        <v>67</v>
      </c>
      <c r="AH48">
        <f>'Corrale Swamp'!AF48</f>
        <v>637808</v>
      </c>
      <c r="AI48">
        <f>'Corrale Swamp'!AG48</f>
        <v>5</v>
      </c>
      <c r="AJ48">
        <f>'Corrale Swamp'!AH48</f>
        <v>1496</v>
      </c>
      <c r="AK48">
        <f>'Corrale Swamp'!AI48</f>
        <v>573</v>
      </c>
      <c r="AL48">
        <f>'Corrale Swamp'!AJ48</f>
        <v>9</v>
      </c>
      <c r="AM48">
        <f>'Corrale Swamp'!AK48</f>
        <v>5489</v>
      </c>
      <c r="AN48">
        <f>'Corrale Swamp'!AL48</f>
        <v>0</v>
      </c>
      <c r="AO48">
        <f>'Corrale Swamp'!AM48</f>
        <v>1580</v>
      </c>
      <c r="AP48">
        <f>'Corrale Swamp'!AN48</f>
        <v>2557</v>
      </c>
      <c r="AQ48">
        <f>'Corrale Swamp'!AO48</f>
        <v>1</v>
      </c>
      <c r="AR48">
        <f>'Corrale Swamp'!AP48</f>
        <v>2722</v>
      </c>
      <c r="AS48">
        <f>'Corrale Swamp'!AQ48</f>
        <v>0</v>
      </c>
      <c r="AT48">
        <f>'Corrale Swamp'!AR48</f>
        <v>1748</v>
      </c>
      <c r="AU48">
        <f>'Corrale Swamp'!AS48</f>
        <v>8831</v>
      </c>
      <c r="AV48">
        <f>'Corrale Swamp'!AT48</f>
        <v>199</v>
      </c>
      <c r="AW48">
        <f>'Corrale Swamp'!AU48</f>
        <v>1870661</v>
      </c>
      <c r="AX48">
        <f>'Corrale Swamp'!AV48</f>
        <v>14.5</v>
      </c>
    </row>
    <row r="49" spans="1:50">
      <c r="A49" t="str">
        <f>'Corrale Swamp'!A49</f>
        <v>/Users/christophermarjo/Documents/Python/Projects/data/bushfire Raman/Corrale Swamp/CS 13 (3)</v>
      </c>
      <c r="B49" t="s">
        <v>854</v>
      </c>
      <c r="C49">
        <v>13</v>
      </c>
      <c r="D49" t="str">
        <f>'Corrale Swamp'!B49</f>
        <v>23.21 counts</v>
      </c>
      <c r="E49">
        <f>'Corrale Swamp'!C49</f>
        <v>0.98942200000000002</v>
      </c>
      <c r="F49">
        <f>'Corrale Swamp'!D49</f>
        <v>1367</v>
      </c>
      <c r="G49">
        <f>'Corrale Swamp'!E49</f>
        <v>15799</v>
      </c>
      <c r="H49">
        <f>'Corrale Swamp'!F49</f>
        <v>334</v>
      </c>
      <c r="I49">
        <f>'Corrale Swamp'!G49</f>
        <v>5617050</v>
      </c>
      <c r="J49">
        <f>'Corrale Swamp'!H49</f>
        <v>74.5</v>
      </c>
      <c r="K49">
        <f>'Corrale Swamp'!I49</f>
        <v>1586</v>
      </c>
      <c r="L49">
        <f>'Corrale Swamp'!J49</f>
        <v>14477</v>
      </c>
      <c r="M49">
        <f>'Corrale Swamp'!K49</f>
        <v>100</v>
      </c>
      <c r="N49">
        <f>'Corrale Swamp'!L49</f>
        <v>1541029</v>
      </c>
      <c r="O49">
        <f>'Corrale Swamp'!M49</f>
        <v>20.399999999999999</v>
      </c>
      <c r="P49">
        <f>'Corrale Swamp'!N49</f>
        <v>1039</v>
      </c>
      <c r="Q49">
        <f>'Corrale Swamp'!O49</f>
        <v>573</v>
      </c>
      <c r="R49">
        <f>'Corrale Swamp'!P49</f>
        <v>69</v>
      </c>
      <c r="S49">
        <f>'Corrale Swamp'!Q49</f>
        <v>42086</v>
      </c>
      <c r="T49">
        <f>'Corrale Swamp'!R49</f>
        <v>0.6</v>
      </c>
      <c r="U49">
        <f>'Corrale Swamp'!S49</f>
        <v>1150</v>
      </c>
      <c r="V49">
        <f>'Corrale Swamp'!T49</f>
        <v>3</v>
      </c>
      <c r="W49">
        <f>'Corrale Swamp'!U49</f>
        <v>1</v>
      </c>
      <c r="X49">
        <f>'Corrale Swamp'!V49</f>
        <v>3</v>
      </c>
      <c r="Y49">
        <f>'Corrale Swamp'!W49</f>
        <v>0</v>
      </c>
      <c r="Z49">
        <f>'Corrale Swamp'!X49</f>
        <v>1292</v>
      </c>
      <c r="AA49">
        <f>'Corrale Swamp'!Y49</f>
        <v>239</v>
      </c>
      <c r="AB49">
        <f>'Corrale Swamp'!Z49</f>
        <v>1</v>
      </c>
      <c r="AC49">
        <f>'Corrale Swamp'!AA49</f>
        <v>254</v>
      </c>
      <c r="AD49">
        <f>'Corrale Swamp'!AB49</f>
        <v>0</v>
      </c>
      <c r="AE49">
        <f>'Corrale Swamp'!AC49</f>
        <v>1400</v>
      </c>
      <c r="AF49">
        <f>'Corrale Swamp'!AD49</f>
        <v>1</v>
      </c>
      <c r="AG49">
        <f>'Corrale Swamp'!AE49</f>
        <v>1</v>
      </c>
      <c r="AH49">
        <f>'Corrale Swamp'!AF49</f>
        <v>1</v>
      </c>
      <c r="AI49">
        <f>'Corrale Swamp'!AG49</f>
        <v>0</v>
      </c>
      <c r="AJ49">
        <f>'Corrale Swamp'!AH49</f>
        <v>1500</v>
      </c>
      <c r="AK49">
        <f>'Corrale Swamp'!AI49</f>
        <v>453</v>
      </c>
      <c r="AL49">
        <f>'Corrale Swamp'!AJ49</f>
        <v>21</v>
      </c>
      <c r="AM49">
        <f>'Corrale Swamp'!AK49</f>
        <v>10126</v>
      </c>
      <c r="AN49">
        <f>'Corrale Swamp'!AL49</f>
        <v>0.1</v>
      </c>
      <c r="AO49">
        <f>'Corrale Swamp'!AM49</f>
        <v>1592</v>
      </c>
      <c r="AP49">
        <f>'Corrale Swamp'!AN49</f>
        <v>2741</v>
      </c>
      <c r="AQ49">
        <f>'Corrale Swamp'!AO49</f>
        <v>33</v>
      </c>
      <c r="AR49">
        <f>'Corrale Swamp'!AP49</f>
        <v>96284</v>
      </c>
      <c r="AS49">
        <f>'Corrale Swamp'!AQ49</f>
        <v>1.3</v>
      </c>
      <c r="AT49">
        <f>'Corrale Swamp'!AR49</f>
        <v>1748</v>
      </c>
      <c r="AU49">
        <f>'Corrale Swamp'!AS49</f>
        <v>1093</v>
      </c>
      <c r="AV49">
        <f>'Corrale Swamp'!AT49</f>
        <v>199</v>
      </c>
      <c r="AW49">
        <f>'Corrale Swamp'!AU49</f>
        <v>231529</v>
      </c>
      <c r="AX49">
        <f>'Corrale Swamp'!AV49</f>
        <v>3.1</v>
      </c>
    </row>
    <row r="50" spans="1:50">
      <c r="A50" t="str">
        <f>'Corrale Swamp'!A50</f>
        <v>/Users/christophermarjo/Documents/Python/Projects/data/bushfire Raman/Corrale Swamp/CS 13 (4)</v>
      </c>
      <c r="B50" t="s">
        <v>854</v>
      </c>
      <c r="C50">
        <v>13</v>
      </c>
      <c r="D50" t="str">
        <f>'Corrale Swamp'!B50</f>
        <v>9.61 counts</v>
      </c>
      <c r="E50">
        <f>'Corrale Swamp'!C50</f>
        <v>0.98346199999999995</v>
      </c>
      <c r="F50">
        <f>'Corrale Swamp'!D50</f>
        <v>1365</v>
      </c>
      <c r="G50">
        <f>'Corrale Swamp'!E50</f>
        <v>5371</v>
      </c>
      <c r="H50">
        <f>'Corrale Swamp'!F50</f>
        <v>314</v>
      </c>
      <c r="I50">
        <f>'Corrale Swamp'!G50</f>
        <v>1795217</v>
      </c>
      <c r="J50">
        <f>'Corrale Swamp'!H50</f>
        <v>75</v>
      </c>
      <c r="K50">
        <f>'Corrale Swamp'!I50</f>
        <v>1586</v>
      </c>
      <c r="L50">
        <f>'Corrale Swamp'!J50</f>
        <v>4645</v>
      </c>
      <c r="M50">
        <f>'Corrale Swamp'!K50</f>
        <v>100</v>
      </c>
      <c r="N50">
        <f>'Corrale Swamp'!L50</f>
        <v>494445</v>
      </c>
      <c r="O50">
        <f>'Corrale Swamp'!M50</f>
        <v>20.7</v>
      </c>
      <c r="P50">
        <f>'Corrale Swamp'!N50</f>
        <v>1045</v>
      </c>
      <c r="Q50">
        <f>'Corrale Swamp'!O50</f>
        <v>207</v>
      </c>
      <c r="R50">
        <f>'Corrale Swamp'!P50</f>
        <v>93</v>
      </c>
      <c r="S50">
        <f>'Corrale Swamp'!Q50</f>
        <v>20492</v>
      </c>
      <c r="T50">
        <f>'Corrale Swamp'!R50</f>
        <v>0.9</v>
      </c>
      <c r="U50">
        <f>'Corrale Swamp'!S50</f>
        <v>1172</v>
      </c>
      <c r="V50">
        <f>'Corrale Swamp'!T50</f>
        <v>1</v>
      </c>
      <c r="W50">
        <f>'Corrale Swamp'!U50</f>
        <v>1</v>
      </c>
      <c r="X50">
        <f>'Corrale Swamp'!V50</f>
        <v>1</v>
      </c>
      <c r="Y50">
        <f>'Corrale Swamp'!W50</f>
        <v>0</v>
      </c>
      <c r="Z50">
        <f>'Corrale Swamp'!X50</f>
        <v>1292</v>
      </c>
      <c r="AA50">
        <f>'Corrale Swamp'!Y50</f>
        <v>161</v>
      </c>
      <c r="AB50">
        <f>'Corrale Swamp'!Z50</f>
        <v>63</v>
      </c>
      <c r="AC50">
        <f>'Corrale Swamp'!AA50</f>
        <v>10797</v>
      </c>
      <c r="AD50">
        <f>'Corrale Swamp'!AB50</f>
        <v>0.5</v>
      </c>
      <c r="AE50">
        <f>'Corrale Swamp'!AC50</f>
        <v>1400</v>
      </c>
      <c r="AF50">
        <f>'Corrale Swamp'!AD50</f>
        <v>1</v>
      </c>
      <c r="AG50">
        <f>'Corrale Swamp'!AE50</f>
        <v>1</v>
      </c>
      <c r="AH50">
        <f>'Corrale Swamp'!AF50</f>
        <v>1</v>
      </c>
      <c r="AI50">
        <f>'Corrale Swamp'!AG50</f>
        <v>0</v>
      </c>
      <c r="AJ50">
        <f>'Corrale Swamp'!AH50</f>
        <v>1500</v>
      </c>
      <c r="AK50">
        <f>'Corrale Swamp'!AI50</f>
        <v>149</v>
      </c>
      <c r="AL50">
        <f>'Corrale Swamp'!AJ50</f>
        <v>3</v>
      </c>
      <c r="AM50">
        <f>'Corrale Swamp'!AK50</f>
        <v>476</v>
      </c>
      <c r="AN50">
        <f>'Corrale Swamp'!AL50</f>
        <v>0</v>
      </c>
      <c r="AO50">
        <f>'Corrale Swamp'!AM50</f>
        <v>1590</v>
      </c>
      <c r="AP50">
        <f>'Corrale Swamp'!AN50</f>
        <v>927</v>
      </c>
      <c r="AQ50">
        <f>'Corrale Swamp'!AO50</f>
        <v>35</v>
      </c>
      <c r="AR50">
        <f>'Corrale Swamp'!AP50</f>
        <v>34537</v>
      </c>
      <c r="AS50">
        <f>'Corrale Swamp'!AQ50</f>
        <v>1.4</v>
      </c>
      <c r="AT50">
        <f>'Corrale Swamp'!AR50</f>
        <v>1738</v>
      </c>
      <c r="AU50">
        <f>'Corrale Swamp'!AS50</f>
        <v>275</v>
      </c>
      <c r="AV50">
        <f>'Corrale Swamp'!AT50</f>
        <v>125</v>
      </c>
      <c r="AW50">
        <f>'Corrale Swamp'!AU50</f>
        <v>36591</v>
      </c>
      <c r="AX50">
        <f>'Corrale Swamp'!AV50</f>
        <v>1.5</v>
      </c>
    </row>
    <row r="51" spans="1:50">
      <c r="A51" t="str">
        <f>'Corrale Swamp'!A51</f>
        <v xml:space="preserve">/Users/christophermarjo/Documents/Python/Projects/data/bushfire Raman/Corrale Swamp/CS 13 (5) </v>
      </c>
      <c r="B51" t="s">
        <v>854</v>
      </c>
      <c r="C51">
        <v>13</v>
      </c>
      <c r="D51" t="str">
        <f>'Corrale Swamp'!B51</f>
        <v>7.15 counts</v>
      </c>
      <c r="E51">
        <f>'Corrale Swamp'!C51</f>
        <v>0.98206800000000005</v>
      </c>
      <c r="F51">
        <f>'Corrale Swamp'!D51</f>
        <v>1355</v>
      </c>
      <c r="G51">
        <f>'Corrale Swamp'!E51</f>
        <v>3825</v>
      </c>
      <c r="H51">
        <f>'Corrale Swamp'!F51</f>
        <v>276</v>
      </c>
      <c r="I51">
        <f>'Corrale Swamp'!G51</f>
        <v>1123758</v>
      </c>
      <c r="J51">
        <f>'Corrale Swamp'!H51</f>
        <v>66.400000000000006</v>
      </c>
      <c r="K51">
        <f>'Corrale Swamp'!I51</f>
        <v>1592</v>
      </c>
      <c r="L51">
        <f>'Corrale Swamp'!J51</f>
        <v>4155</v>
      </c>
      <c r="M51">
        <f>'Corrale Swamp'!K51</f>
        <v>102</v>
      </c>
      <c r="N51">
        <f>'Corrale Swamp'!L51</f>
        <v>451132</v>
      </c>
      <c r="O51">
        <f>'Corrale Swamp'!M51</f>
        <v>26.7</v>
      </c>
      <c r="P51">
        <f>'Corrale Swamp'!N51</f>
        <v>1041</v>
      </c>
      <c r="Q51">
        <f>'Corrale Swamp'!O51</f>
        <v>127</v>
      </c>
      <c r="R51">
        <f>'Corrale Swamp'!P51</f>
        <v>137</v>
      </c>
      <c r="S51">
        <f>'Corrale Swamp'!Q51</f>
        <v>18521</v>
      </c>
      <c r="T51">
        <f>'Corrale Swamp'!R51</f>
        <v>1.1000000000000001</v>
      </c>
      <c r="U51">
        <f>'Corrale Swamp'!S51</f>
        <v>1160</v>
      </c>
      <c r="V51">
        <f>'Corrale Swamp'!T51</f>
        <v>15</v>
      </c>
      <c r="W51">
        <f>'Corrale Swamp'!U51</f>
        <v>1</v>
      </c>
      <c r="X51">
        <f>'Corrale Swamp'!V51</f>
        <v>16</v>
      </c>
      <c r="Y51">
        <f>'Corrale Swamp'!W51</f>
        <v>0</v>
      </c>
      <c r="Z51">
        <f>'Corrale Swamp'!X51</f>
        <v>1270</v>
      </c>
      <c r="AA51">
        <f>'Corrale Swamp'!Y51</f>
        <v>1</v>
      </c>
      <c r="AB51">
        <f>'Corrale Swamp'!Z51</f>
        <v>1</v>
      </c>
      <c r="AC51">
        <f>'Corrale Swamp'!AA51</f>
        <v>1</v>
      </c>
      <c r="AD51">
        <f>'Corrale Swamp'!AB51</f>
        <v>0</v>
      </c>
      <c r="AE51">
        <f>'Corrale Swamp'!AC51</f>
        <v>1402</v>
      </c>
      <c r="AF51">
        <f>'Corrale Swamp'!AD51</f>
        <v>49</v>
      </c>
      <c r="AG51">
        <f>'Corrale Swamp'!AE51</f>
        <v>149</v>
      </c>
      <c r="AH51">
        <f>'Corrale Swamp'!AF51</f>
        <v>7772</v>
      </c>
      <c r="AI51">
        <f>'Corrale Swamp'!AG51</f>
        <v>0.5</v>
      </c>
      <c r="AJ51">
        <f>'Corrale Swamp'!AH51</f>
        <v>1500</v>
      </c>
      <c r="AK51">
        <f>'Corrale Swamp'!AI51</f>
        <v>117</v>
      </c>
      <c r="AL51">
        <f>'Corrale Swamp'!AJ51</f>
        <v>39</v>
      </c>
      <c r="AM51">
        <f>'Corrale Swamp'!AK51</f>
        <v>4857</v>
      </c>
      <c r="AN51">
        <f>'Corrale Swamp'!AL51</f>
        <v>0.3</v>
      </c>
      <c r="AO51">
        <f>'Corrale Swamp'!AM51</f>
        <v>1598</v>
      </c>
      <c r="AP51">
        <f>'Corrale Swamp'!AN51</f>
        <v>871</v>
      </c>
      <c r="AQ51">
        <f>'Corrale Swamp'!AO51</f>
        <v>23</v>
      </c>
      <c r="AR51">
        <f>'Corrale Swamp'!AP51</f>
        <v>21324</v>
      </c>
      <c r="AS51">
        <f>'Corrale Swamp'!AQ51</f>
        <v>1.3</v>
      </c>
      <c r="AT51">
        <f>'Corrale Swamp'!AR51</f>
        <v>1730</v>
      </c>
      <c r="AU51">
        <f>'Corrale Swamp'!AS51</f>
        <v>389</v>
      </c>
      <c r="AV51">
        <f>'Corrale Swamp'!AT51</f>
        <v>155</v>
      </c>
      <c r="AW51">
        <f>'Corrale Swamp'!AU51</f>
        <v>64182</v>
      </c>
      <c r="AX51">
        <f>'Corrale Swamp'!AV51</f>
        <v>3.8</v>
      </c>
    </row>
    <row r="52" spans="1:50">
      <c r="A52" t="str">
        <f>'Corrale Swamp'!A52</f>
        <v xml:space="preserve">/Users/christophermarjo/Documents/Python/Projects/data/bushfire Raman/Corrale Swamp/CS 13 (6) </v>
      </c>
      <c r="B52" t="s">
        <v>854</v>
      </c>
      <c r="C52">
        <v>13</v>
      </c>
      <c r="D52" t="str">
        <f>'Corrale Swamp'!B52</f>
        <v>7.46 counts</v>
      </c>
      <c r="E52">
        <f>'Corrale Swamp'!C52</f>
        <v>0.96768900000000002</v>
      </c>
      <c r="F52">
        <f>'Corrale Swamp'!D52</f>
        <v>1357</v>
      </c>
      <c r="G52">
        <f>'Corrale Swamp'!E52</f>
        <v>2977</v>
      </c>
      <c r="H52">
        <f>'Corrale Swamp'!F52</f>
        <v>254</v>
      </c>
      <c r="I52">
        <f>'Corrale Swamp'!G52</f>
        <v>804905</v>
      </c>
      <c r="J52">
        <f>'Corrale Swamp'!H52</f>
        <v>64.3</v>
      </c>
      <c r="K52">
        <f>'Corrale Swamp'!I52</f>
        <v>1594</v>
      </c>
      <c r="L52">
        <f>'Corrale Swamp'!J52</f>
        <v>3469</v>
      </c>
      <c r="M52">
        <f>'Corrale Swamp'!K52</f>
        <v>100</v>
      </c>
      <c r="N52">
        <f>'Corrale Swamp'!L52</f>
        <v>369264</v>
      </c>
      <c r="O52">
        <f>'Corrale Swamp'!M52</f>
        <v>29.5</v>
      </c>
      <c r="P52">
        <f>'Corrale Swamp'!N52</f>
        <v>1073</v>
      </c>
      <c r="Q52">
        <f>'Corrale Swamp'!O52</f>
        <v>99</v>
      </c>
      <c r="R52">
        <f>'Corrale Swamp'!P52</f>
        <v>145</v>
      </c>
      <c r="S52">
        <f>'Corrale Swamp'!Q52</f>
        <v>15280</v>
      </c>
      <c r="T52">
        <f>'Corrale Swamp'!R52</f>
        <v>1.2</v>
      </c>
      <c r="U52">
        <f>'Corrale Swamp'!S52</f>
        <v>1174</v>
      </c>
      <c r="V52">
        <f>'Corrale Swamp'!T52</f>
        <v>73</v>
      </c>
      <c r="W52">
        <f>'Corrale Swamp'!U52</f>
        <v>1</v>
      </c>
      <c r="X52">
        <f>'Corrale Swamp'!V52</f>
        <v>78</v>
      </c>
      <c r="Y52">
        <f>'Corrale Swamp'!W52</f>
        <v>0</v>
      </c>
      <c r="Z52">
        <f>'Corrale Swamp'!X52</f>
        <v>1270</v>
      </c>
      <c r="AA52">
        <f>'Corrale Swamp'!Y52</f>
        <v>1</v>
      </c>
      <c r="AB52">
        <f>'Corrale Swamp'!Z52</f>
        <v>1</v>
      </c>
      <c r="AC52">
        <f>'Corrale Swamp'!AA52</f>
        <v>1</v>
      </c>
      <c r="AD52">
        <f>'Corrale Swamp'!AB52</f>
        <v>0</v>
      </c>
      <c r="AE52">
        <f>'Corrale Swamp'!AC52</f>
        <v>1456</v>
      </c>
      <c r="AF52">
        <f>'Corrale Swamp'!AD52</f>
        <v>83</v>
      </c>
      <c r="AG52">
        <f>'Corrale Swamp'!AE52</f>
        <v>3</v>
      </c>
      <c r="AH52">
        <f>'Corrale Swamp'!AF52</f>
        <v>265</v>
      </c>
      <c r="AI52">
        <f>'Corrale Swamp'!AG52</f>
        <v>0</v>
      </c>
      <c r="AJ52">
        <f>'Corrale Swamp'!AH52</f>
        <v>1500</v>
      </c>
      <c r="AK52">
        <f>'Corrale Swamp'!AI52</f>
        <v>247</v>
      </c>
      <c r="AL52">
        <f>'Corrale Swamp'!AJ52</f>
        <v>41</v>
      </c>
      <c r="AM52">
        <f>'Corrale Swamp'!AK52</f>
        <v>10780</v>
      </c>
      <c r="AN52">
        <f>'Corrale Swamp'!AL52</f>
        <v>0.9</v>
      </c>
      <c r="AO52">
        <f>'Corrale Swamp'!AM52</f>
        <v>1598</v>
      </c>
      <c r="AP52">
        <f>'Corrale Swamp'!AN52</f>
        <v>611</v>
      </c>
      <c r="AQ52">
        <f>'Corrale Swamp'!AO52</f>
        <v>17</v>
      </c>
      <c r="AR52">
        <f>'Corrale Swamp'!AP52</f>
        <v>11057</v>
      </c>
      <c r="AS52">
        <f>'Corrale Swamp'!AQ52</f>
        <v>0.9</v>
      </c>
      <c r="AT52">
        <f>'Corrale Swamp'!AR52</f>
        <v>1736</v>
      </c>
      <c r="AU52">
        <f>'Corrale Swamp'!AS52</f>
        <v>277</v>
      </c>
      <c r="AV52">
        <f>'Corrale Swamp'!AT52</f>
        <v>137</v>
      </c>
      <c r="AW52">
        <f>'Corrale Swamp'!AU52</f>
        <v>40395</v>
      </c>
      <c r="AX52">
        <f>'Corrale Swamp'!AV52</f>
        <v>3.2</v>
      </c>
    </row>
    <row r="53" spans="1:50">
      <c r="A53" t="str">
        <f>'Corrale Swamp'!A53</f>
        <v xml:space="preserve">/Users/christophermarjo/Documents/Python/Projects/data/bushfire Raman/Corrale Swamp/CS 13.5 (1) </v>
      </c>
      <c r="B53" t="s">
        <v>854</v>
      </c>
      <c r="C53">
        <v>3.5</v>
      </c>
      <c r="D53" t="str">
        <f>'Corrale Swamp'!B53</f>
        <v>20.81 counts</v>
      </c>
      <c r="E53">
        <f>'Corrale Swamp'!C53</f>
        <v>0.98943099999999995</v>
      </c>
      <c r="F53">
        <f>'Corrale Swamp'!D53</f>
        <v>1367</v>
      </c>
      <c r="G53">
        <f>'Corrale Swamp'!E53</f>
        <v>14461</v>
      </c>
      <c r="H53">
        <f>'Corrale Swamp'!F53</f>
        <v>308</v>
      </c>
      <c r="I53">
        <f>'Corrale Swamp'!G53</f>
        <v>4741123</v>
      </c>
      <c r="J53">
        <f>'Corrale Swamp'!H53</f>
        <v>70.8</v>
      </c>
      <c r="K53">
        <f>'Corrale Swamp'!I53</f>
        <v>1590</v>
      </c>
      <c r="L53">
        <f>'Corrale Swamp'!J53</f>
        <v>14995</v>
      </c>
      <c r="M53">
        <f>'Corrale Swamp'!K53</f>
        <v>102</v>
      </c>
      <c r="N53">
        <f>'Corrale Swamp'!L53</f>
        <v>1628092</v>
      </c>
      <c r="O53">
        <f>'Corrale Swamp'!M53</f>
        <v>24.3</v>
      </c>
      <c r="P53">
        <f>'Corrale Swamp'!N53</f>
        <v>1045</v>
      </c>
      <c r="Q53">
        <f>'Corrale Swamp'!O53</f>
        <v>721</v>
      </c>
      <c r="R53">
        <f>'Corrale Swamp'!P53</f>
        <v>91</v>
      </c>
      <c r="S53">
        <f>'Corrale Swamp'!Q53</f>
        <v>69841</v>
      </c>
      <c r="T53">
        <f>'Corrale Swamp'!R53</f>
        <v>1</v>
      </c>
      <c r="U53">
        <f>'Corrale Swamp'!S53</f>
        <v>1172</v>
      </c>
      <c r="V53">
        <f>'Corrale Swamp'!T53</f>
        <v>1</v>
      </c>
      <c r="W53">
        <f>'Corrale Swamp'!U53</f>
        <v>1</v>
      </c>
      <c r="X53">
        <f>'Corrale Swamp'!V53</f>
        <v>1</v>
      </c>
      <c r="Y53">
        <f>'Corrale Swamp'!W53</f>
        <v>0</v>
      </c>
      <c r="Z53">
        <f>'Corrale Swamp'!X53</f>
        <v>1270</v>
      </c>
      <c r="AA53">
        <f>'Corrale Swamp'!Y53</f>
        <v>1</v>
      </c>
      <c r="AB53">
        <f>'Corrale Swamp'!Z53</f>
        <v>1</v>
      </c>
      <c r="AC53">
        <f>'Corrale Swamp'!AA53</f>
        <v>1</v>
      </c>
      <c r="AD53">
        <f>'Corrale Swamp'!AB53</f>
        <v>0</v>
      </c>
      <c r="AE53">
        <f>'Corrale Swamp'!AC53</f>
        <v>1404</v>
      </c>
      <c r="AF53">
        <f>'Corrale Swamp'!AD53</f>
        <v>53</v>
      </c>
      <c r="AG53">
        <f>'Corrale Swamp'!AE53</f>
        <v>1</v>
      </c>
      <c r="AH53">
        <f>'Corrale Swamp'!AF53</f>
        <v>56</v>
      </c>
      <c r="AI53">
        <f>'Corrale Swamp'!AG53</f>
        <v>0</v>
      </c>
      <c r="AJ53">
        <f>'Corrale Swamp'!AH53</f>
        <v>1500</v>
      </c>
      <c r="AK53">
        <f>'Corrale Swamp'!AI53</f>
        <v>599</v>
      </c>
      <c r="AL53">
        <f>'Corrale Swamp'!AJ53</f>
        <v>31</v>
      </c>
      <c r="AM53">
        <f>'Corrale Swamp'!AK53</f>
        <v>19766</v>
      </c>
      <c r="AN53">
        <f>'Corrale Swamp'!AL53</f>
        <v>0.3</v>
      </c>
      <c r="AO53">
        <f>'Corrale Swamp'!AM53</f>
        <v>1594</v>
      </c>
      <c r="AP53">
        <f>'Corrale Swamp'!AN53</f>
        <v>921</v>
      </c>
      <c r="AQ53">
        <f>'Corrale Swamp'!AO53</f>
        <v>25</v>
      </c>
      <c r="AR53">
        <f>'Corrale Swamp'!AP53</f>
        <v>24509</v>
      </c>
      <c r="AS53">
        <f>'Corrale Swamp'!AQ53</f>
        <v>0.4</v>
      </c>
      <c r="AT53">
        <f>'Corrale Swamp'!AR53</f>
        <v>1728</v>
      </c>
      <c r="AU53">
        <f>'Corrale Swamp'!AS53</f>
        <v>1641</v>
      </c>
      <c r="AV53">
        <f>'Corrale Swamp'!AT53</f>
        <v>123</v>
      </c>
      <c r="AW53">
        <f>'Corrale Swamp'!AU53</f>
        <v>214855</v>
      </c>
      <c r="AX53">
        <f>'Corrale Swamp'!AV53</f>
        <v>3.2</v>
      </c>
    </row>
    <row r="54" spans="1:50">
      <c r="A54" t="str">
        <f>'Corrale Swamp'!A54</f>
        <v xml:space="preserve">/Users/christophermarjo/Documents/Python/Projects/data/bushfire Raman/Corrale Swamp/CS 13.5 (2) </v>
      </c>
      <c r="B54" t="s">
        <v>854</v>
      </c>
      <c r="C54">
        <v>3.5</v>
      </c>
      <c r="D54" t="str">
        <f>'Corrale Swamp'!B54</f>
        <v>23.29 counts</v>
      </c>
      <c r="E54">
        <f>'Corrale Swamp'!C54</f>
        <v>0.98421700000000001</v>
      </c>
      <c r="F54">
        <f>'Corrale Swamp'!D54</f>
        <v>1365</v>
      </c>
      <c r="G54">
        <f>'Corrale Swamp'!E54</f>
        <v>13415</v>
      </c>
      <c r="H54">
        <f>'Corrale Swamp'!F54</f>
        <v>306</v>
      </c>
      <c r="I54">
        <f>'Corrale Swamp'!G54</f>
        <v>4369627</v>
      </c>
      <c r="J54">
        <f>'Corrale Swamp'!H54</f>
        <v>69.8</v>
      </c>
      <c r="K54">
        <f>'Corrale Swamp'!I54</f>
        <v>1590</v>
      </c>
      <c r="L54">
        <f>'Corrale Swamp'!J54</f>
        <v>13737</v>
      </c>
      <c r="M54">
        <f>'Corrale Swamp'!K54</f>
        <v>102</v>
      </c>
      <c r="N54">
        <f>'Corrale Swamp'!L54</f>
        <v>1491504</v>
      </c>
      <c r="O54">
        <f>'Corrale Swamp'!M54</f>
        <v>23.8</v>
      </c>
      <c r="P54">
        <f>'Corrale Swamp'!N54</f>
        <v>1041</v>
      </c>
      <c r="Q54">
        <f>'Corrale Swamp'!O54</f>
        <v>657</v>
      </c>
      <c r="R54">
        <f>'Corrale Swamp'!P54</f>
        <v>91</v>
      </c>
      <c r="S54">
        <f>'Corrale Swamp'!Q54</f>
        <v>63641</v>
      </c>
      <c r="T54">
        <f>'Corrale Swamp'!R54</f>
        <v>1</v>
      </c>
      <c r="U54">
        <f>'Corrale Swamp'!S54</f>
        <v>1172</v>
      </c>
      <c r="V54">
        <f>'Corrale Swamp'!T54</f>
        <v>1</v>
      </c>
      <c r="W54">
        <f>'Corrale Swamp'!U54</f>
        <v>1</v>
      </c>
      <c r="X54">
        <f>'Corrale Swamp'!V54</f>
        <v>1</v>
      </c>
      <c r="Y54">
        <f>'Corrale Swamp'!W54</f>
        <v>0</v>
      </c>
      <c r="Z54">
        <f>'Corrale Swamp'!X54</f>
        <v>1270</v>
      </c>
      <c r="AA54">
        <f>'Corrale Swamp'!Y54</f>
        <v>1</v>
      </c>
      <c r="AB54">
        <f>'Corrale Swamp'!Z54</f>
        <v>1</v>
      </c>
      <c r="AC54">
        <f>'Corrale Swamp'!AA54</f>
        <v>1</v>
      </c>
      <c r="AD54">
        <f>'Corrale Swamp'!AB54</f>
        <v>0</v>
      </c>
      <c r="AE54">
        <f>'Corrale Swamp'!AC54</f>
        <v>1402</v>
      </c>
      <c r="AF54">
        <f>'Corrale Swamp'!AD54</f>
        <v>3</v>
      </c>
      <c r="AG54">
        <f>'Corrale Swamp'!AE54</f>
        <v>1</v>
      </c>
      <c r="AH54">
        <f>'Corrale Swamp'!AF54</f>
        <v>3</v>
      </c>
      <c r="AI54">
        <f>'Corrale Swamp'!AG54</f>
        <v>0</v>
      </c>
      <c r="AJ54">
        <f>'Corrale Swamp'!AH54</f>
        <v>1500</v>
      </c>
      <c r="AK54">
        <f>'Corrale Swamp'!AI54</f>
        <v>557</v>
      </c>
      <c r="AL54">
        <f>'Corrale Swamp'!AJ54</f>
        <v>27</v>
      </c>
      <c r="AM54">
        <f>'Corrale Swamp'!AK54</f>
        <v>16009</v>
      </c>
      <c r="AN54">
        <f>'Corrale Swamp'!AL54</f>
        <v>0.3</v>
      </c>
      <c r="AO54">
        <f>'Corrale Swamp'!AM54</f>
        <v>1598</v>
      </c>
      <c r="AP54">
        <f>'Corrale Swamp'!AN54</f>
        <v>1347</v>
      </c>
      <c r="AQ54">
        <f>'Corrale Swamp'!AO54</f>
        <v>25</v>
      </c>
      <c r="AR54">
        <f>'Corrale Swamp'!AP54</f>
        <v>35846</v>
      </c>
      <c r="AS54">
        <f>'Corrale Swamp'!AQ54</f>
        <v>0.6</v>
      </c>
      <c r="AT54">
        <f>'Corrale Swamp'!AR54</f>
        <v>1748</v>
      </c>
      <c r="AU54">
        <f>'Corrale Swamp'!AS54</f>
        <v>1341</v>
      </c>
      <c r="AV54">
        <f>'Corrale Swamp'!AT54</f>
        <v>197</v>
      </c>
      <c r="AW54">
        <f>'Corrale Swamp'!AU54</f>
        <v>281208</v>
      </c>
      <c r="AX54">
        <f>'Corrale Swamp'!AV54</f>
        <v>4.5</v>
      </c>
    </row>
    <row r="55" spans="1:50">
      <c r="A55" t="str">
        <f>'Corrale Swamp'!A55</f>
        <v xml:space="preserve">/Users/christophermarjo/Documents/Python/Projects/data/bushfire Raman/Corrale Swamp/CS 13.5 (3) </v>
      </c>
      <c r="B55" t="s">
        <v>854</v>
      </c>
      <c r="C55">
        <v>3.5</v>
      </c>
      <c r="D55" t="str">
        <f>'Corrale Swamp'!B55</f>
        <v>14.02 counts</v>
      </c>
      <c r="E55">
        <f>'Corrale Swamp'!C55</f>
        <v>0.98862000000000005</v>
      </c>
      <c r="F55">
        <f>'Corrale Swamp'!D55</f>
        <v>1367</v>
      </c>
      <c r="G55">
        <f>'Corrale Swamp'!E55</f>
        <v>9387</v>
      </c>
      <c r="H55">
        <f>'Corrale Swamp'!F55</f>
        <v>308</v>
      </c>
      <c r="I55">
        <f>'Corrale Swamp'!G55</f>
        <v>3077583</v>
      </c>
      <c r="J55">
        <f>'Corrale Swamp'!H55</f>
        <v>70.400000000000006</v>
      </c>
      <c r="K55">
        <f>'Corrale Swamp'!I55</f>
        <v>1590</v>
      </c>
      <c r="L55">
        <f>'Corrale Swamp'!J55</f>
        <v>9837</v>
      </c>
      <c r="M55">
        <f>'Corrale Swamp'!K55</f>
        <v>102</v>
      </c>
      <c r="N55">
        <f>'Corrale Swamp'!L55</f>
        <v>1068059</v>
      </c>
      <c r="O55">
        <f>'Corrale Swamp'!M55</f>
        <v>24.4</v>
      </c>
      <c r="P55">
        <f>'Corrale Swamp'!N55</f>
        <v>1045</v>
      </c>
      <c r="Q55">
        <f>'Corrale Swamp'!O55</f>
        <v>431</v>
      </c>
      <c r="R55">
        <f>'Corrale Swamp'!P55</f>
        <v>83</v>
      </c>
      <c r="S55">
        <f>'Corrale Swamp'!Q55</f>
        <v>38079</v>
      </c>
      <c r="T55">
        <f>'Corrale Swamp'!R55</f>
        <v>0.9</v>
      </c>
      <c r="U55">
        <f>'Corrale Swamp'!S55</f>
        <v>1172</v>
      </c>
      <c r="V55">
        <f>'Corrale Swamp'!T55</f>
        <v>1</v>
      </c>
      <c r="W55">
        <f>'Corrale Swamp'!U55</f>
        <v>1</v>
      </c>
      <c r="X55">
        <f>'Corrale Swamp'!V55</f>
        <v>1</v>
      </c>
      <c r="Y55">
        <f>'Corrale Swamp'!W55</f>
        <v>0</v>
      </c>
      <c r="Z55">
        <f>'Corrale Swamp'!X55</f>
        <v>1270</v>
      </c>
      <c r="AA55">
        <f>'Corrale Swamp'!Y55</f>
        <v>1</v>
      </c>
      <c r="AB55">
        <f>'Corrale Swamp'!Z55</f>
        <v>1</v>
      </c>
      <c r="AC55">
        <f>'Corrale Swamp'!AA55</f>
        <v>1</v>
      </c>
      <c r="AD55">
        <f>'Corrale Swamp'!AB55</f>
        <v>0</v>
      </c>
      <c r="AE55">
        <f>'Corrale Swamp'!AC55</f>
        <v>1406</v>
      </c>
      <c r="AF55">
        <f>'Corrale Swamp'!AD55</f>
        <v>33</v>
      </c>
      <c r="AG55">
        <f>'Corrale Swamp'!AE55</f>
        <v>1</v>
      </c>
      <c r="AH55">
        <f>'Corrale Swamp'!AF55</f>
        <v>35</v>
      </c>
      <c r="AI55">
        <f>'Corrale Swamp'!AG55</f>
        <v>0</v>
      </c>
      <c r="AJ55">
        <f>'Corrale Swamp'!AH55</f>
        <v>1500</v>
      </c>
      <c r="AK55">
        <f>'Corrale Swamp'!AI55</f>
        <v>417</v>
      </c>
      <c r="AL55">
        <f>'Corrale Swamp'!AJ55</f>
        <v>33</v>
      </c>
      <c r="AM55">
        <f>'Corrale Swamp'!AK55</f>
        <v>14648</v>
      </c>
      <c r="AN55">
        <f>'Corrale Swamp'!AL55</f>
        <v>0.3</v>
      </c>
      <c r="AO55">
        <f>'Corrale Swamp'!AM55</f>
        <v>1596</v>
      </c>
      <c r="AP55">
        <f>'Corrale Swamp'!AN55</f>
        <v>403</v>
      </c>
      <c r="AQ55">
        <f>'Corrale Swamp'!AO55</f>
        <v>23</v>
      </c>
      <c r="AR55">
        <f>'Corrale Swamp'!AP55</f>
        <v>9867</v>
      </c>
      <c r="AS55">
        <f>'Corrale Swamp'!AQ55</f>
        <v>0.2</v>
      </c>
      <c r="AT55">
        <f>'Corrale Swamp'!AR55</f>
        <v>1738</v>
      </c>
      <c r="AU55">
        <f>'Corrale Swamp'!AS55</f>
        <v>1025</v>
      </c>
      <c r="AV55">
        <f>'Corrale Swamp'!AT55</f>
        <v>147</v>
      </c>
      <c r="AW55">
        <f>'Corrale Swamp'!AU55</f>
        <v>160389</v>
      </c>
      <c r="AX55">
        <f>'Corrale Swamp'!AV55</f>
        <v>3.7</v>
      </c>
    </row>
    <row r="56" spans="1:50">
      <c r="A56" t="str">
        <f>'Corrale Swamp'!A56</f>
        <v>/Users/christophermarjo/Documents/Python/Projects/data/bushfire Raman/Corrale Swamp/CS 13.5 (4)</v>
      </c>
      <c r="B56" t="s">
        <v>854</v>
      </c>
      <c r="C56">
        <v>13.5</v>
      </c>
      <c r="D56" t="str">
        <f>'Corrale Swamp'!B56</f>
        <v>22.71 counts</v>
      </c>
      <c r="E56">
        <f>'Corrale Swamp'!C56</f>
        <v>0.98862399999999995</v>
      </c>
      <c r="F56">
        <f>'Corrale Swamp'!D56</f>
        <v>1369</v>
      </c>
      <c r="G56">
        <f>'Corrale Swamp'!E56</f>
        <v>14941</v>
      </c>
      <c r="H56">
        <f>'Corrale Swamp'!F56</f>
        <v>316</v>
      </c>
      <c r="I56">
        <f>'Corrale Swamp'!G56</f>
        <v>5025728</v>
      </c>
      <c r="J56">
        <f>'Corrale Swamp'!H56</f>
        <v>71.3</v>
      </c>
      <c r="K56">
        <f>'Corrale Swamp'!I56</f>
        <v>1588</v>
      </c>
      <c r="L56">
        <f>'Corrale Swamp'!J56</f>
        <v>15671</v>
      </c>
      <c r="M56">
        <f>'Corrale Swamp'!K56</f>
        <v>102</v>
      </c>
      <c r="N56">
        <f>'Corrale Swamp'!L56</f>
        <v>1701489</v>
      </c>
      <c r="O56">
        <f>'Corrale Swamp'!M56</f>
        <v>24.1</v>
      </c>
      <c r="P56">
        <f>'Corrale Swamp'!N56</f>
        <v>1035</v>
      </c>
      <c r="Q56">
        <f>'Corrale Swamp'!O56</f>
        <v>695</v>
      </c>
      <c r="R56">
        <f>'Corrale Swamp'!P56</f>
        <v>63</v>
      </c>
      <c r="S56">
        <f>'Corrale Swamp'!Q56</f>
        <v>46608</v>
      </c>
      <c r="T56">
        <f>'Corrale Swamp'!R56</f>
        <v>0.7</v>
      </c>
      <c r="U56">
        <f>'Corrale Swamp'!S56</f>
        <v>1172</v>
      </c>
      <c r="V56">
        <f>'Corrale Swamp'!T56</f>
        <v>1</v>
      </c>
      <c r="W56">
        <f>'Corrale Swamp'!U56</f>
        <v>1</v>
      </c>
      <c r="X56">
        <f>'Corrale Swamp'!V56</f>
        <v>1</v>
      </c>
      <c r="Y56">
        <f>'Corrale Swamp'!W56</f>
        <v>0</v>
      </c>
      <c r="Z56">
        <f>'Corrale Swamp'!X56</f>
        <v>1270</v>
      </c>
      <c r="AA56">
        <f>'Corrale Swamp'!Y56</f>
        <v>1</v>
      </c>
      <c r="AB56">
        <f>'Corrale Swamp'!Z56</f>
        <v>1</v>
      </c>
      <c r="AC56">
        <f>'Corrale Swamp'!AA56</f>
        <v>1</v>
      </c>
      <c r="AD56">
        <f>'Corrale Swamp'!AB56</f>
        <v>0</v>
      </c>
      <c r="AE56">
        <f>'Corrale Swamp'!AC56</f>
        <v>1456</v>
      </c>
      <c r="AF56">
        <f>'Corrale Swamp'!AD56</f>
        <v>39</v>
      </c>
      <c r="AG56">
        <f>'Corrale Swamp'!AE56</f>
        <v>1</v>
      </c>
      <c r="AH56">
        <f>'Corrale Swamp'!AF56</f>
        <v>42</v>
      </c>
      <c r="AI56">
        <f>'Corrale Swamp'!AG56</f>
        <v>0</v>
      </c>
      <c r="AJ56">
        <f>'Corrale Swamp'!AH56</f>
        <v>1502</v>
      </c>
      <c r="AK56">
        <f>'Corrale Swamp'!AI56</f>
        <v>729</v>
      </c>
      <c r="AL56">
        <f>'Corrale Swamp'!AJ56</f>
        <v>35</v>
      </c>
      <c r="AM56">
        <f>'Corrale Swamp'!AK56</f>
        <v>27160</v>
      </c>
      <c r="AN56">
        <f>'Corrale Swamp'!AL56</f>
        <v>0.4</v>
      </c>
      <c r="AO56">
        <f>'Corrale Swamp'!AM56</f>
        <v>1592</v>
      </c>
      <c r="AP56">
        <f>'Corrale Swamp'!AN56</f>
        <v>761</v>
      </c>
      <c r="AQ56">
        <f>'Corrale Swamp'!AO56</f>
        <v>11</v>
      </c>
      <c r="AR56">
        <f>'Corrale Swamp'!AP56</f>
        <v>8911</v>
      </c>
      <c r="AS56">
        <f>'Corrale Swamp'!AQ56</f>
        <v>0.1</v>
      </c>
      <c r="AT56">
        <f>'Corrale Swamp'!AR56</f>
        <v>1732</v>
      </c>
      <c r="AU56">
        <f>'Corrale Swamp'!AS56</f>
        <v>1683</v>
      </c>
      <c r="AV56">
        <f>'Corrale Swamp'!AT56</f>
        <v>135</v>
      </c>
      <c r="AW56">
        <f>'Corrale Swamp'!AU56</f>
        <v>241852</v>
      </c>
      <c r="AX56">
        <f>'Corrale Swamp'!AV56</f>
        <v>3.4</v>
      </c>
    </row>
    <row r="57" spans="1:50">
      <c r="A57" t="str">
        <f>'Corrale Swamp'!A57</f>
        <v xml:space="preserve">/Users/christophermarjo/Documents/Python/Projects/data/bushfire Raman/Corrale Swamp/CS 13.5 (5) </v>
      </c>
      <c r="B57" t="s">
        <v>854</v>
      </c>
      <c r="C57">
        <v>3.5</v>
      </c>
      <c r="D57" t="str">
        <f>'Corrale Swamp'!B57</f>
        <v>16.76 counts</v>
      </c>
      <c r="E57">
        <f>'Corrale Swamp'!C57</f>
        <v>0.989398</v>
      </c>
      <c r="F57">
        <f>'Corrale Swamp'!D57</f>
        <v>1365</v>
      </c>
      <c r="G57">
        <f>'Corrale Swamp'!E57</f>
        <v>11671</v>
      </c>
      <c r="H57">
        <f>'Corrale Swamp'!F57</f>
        <v>298</v>
      </c>
      <c r="I57">
        <f>'Corrale Swamp'!G57</f>
        <v>3702172</v>
      </c>
      <c r="J57">
        <f>'Corrale Swamp'!H57</f>
        <v>69</v>
      </c>
      <c r="K57">
        <f>'Corrale Swamp'!I57</f>
        <v>1592</v>
      </c>
      <c r="L57">
        <f>'Corrale Swamp'!J57</f>
        <v>12453</v>
      </c>
      <c r="M57">
        <f>'Corrale Swamp'!K57</f>
        <v>100</v>
      </c>
      <c r="N57">
        <f>'Corrale Swamp'!L57</f>
        <v>1325581</v>
      </c>
      <c r="O57">
        <f>'Corrale Swamp'!M57</f>
        <v>24.7</v>
      </c>
      <c r="P57">
        <f>'Corrale Swamp'!N57</f>
        <v>1051</v>
      </c>
      <c r="Q57">
        <f>'Corrale Swamp'!O57</f>
        <v>459</v>
      </c>
      <c r="R57">
        <f>'Corrale Swamp'!P57</f>
        <v>95</v>
      </c>
      <c r="S57">
        <f>'Corrale Swamp'!Q57</f>
        <v>46416</v>
      </c>
      <c r="T57">
        <f>'Corrale Swamp'!R57</f>
        <v>0.9</v>
      </c>
      <c r="U57">
        <f>'Corrale Swamp'!S57</f>
        <v>1172</v>
      </c>
      <c r="V57">
        <f>'Corrale Swamp'!T57</f>
        <v>1</v>
      </c>
      <c r="W57">
        <f>'Corrale Swamp'!U57</f>
        <v>1</v>
      </c>
      <c r="X57">
        <f>'Corrale Swamp'!V57</f>
        <v>1</v>
      </c>
      <c r="Y57">
        <f>'Corrale Swamp'!W57</f>
        <v>0</v>
      </c>
      <c r="Z57">
        <f>'Corrale Swamp'!X57</f>
        <v>1270</v>
      </c>
      <c r="AA57">
        <f>'Corrale Swamp'!Y57</f>
        <v>1</v>
      </c>
      <c r="AB57">
        <f>'Corrale Swamp'!Z57</f>
        <v>1</v>
      </c>
      <c r="AC57">
        <f>'Corrale Swamp'!AA57</f>
        <v>1</v>
      </c>
      <c r="AD57">
        <f>'Corrale Swamp'!AB57</f>
        <v>0</v>
      </c>
      <c r="AE57">
        <f>'Corrale Swamp'!AC57</f>
        <v>1402</v>
      </c>
      <c r="AF57">
        <f>'Corrale Swamp'!AD57</f>
        <v>37</v>
      </c>
      <c r="AG57">
        <f>'Corrale Swamp'!AE57</f>
        <v>119</v>
      </c>
      <c r="AH57">
        <f>'Corrale Swamp'!AF57</f>
        <v>4687</v>
      </c>
      <c r="AI57">
        <f>'Corrale Swamp'!AG57</f>
        <v>0.1</v>
      </c>
      <c r="AJ57">
        <f>'Corrale Swamp'!AH57</f>
        <v>1500</v>
      </c>
      <c r="AK57">
        <f>'Corrale Swamp'!AI57</f>
        <v>431</v>
      </c>
      <c r="AL57">
        <f>'Corrale Swamp'!AJ57</f>
        <v>33</v>
      </c>
      <c r="AM57">
        <f>'Corrale Swamp'!AK57</f>
        <v>15140</v>
      </c>
      <c r="AN57">
        <f>'Corrale Swamp'!AL57</f>
        <v>0.3</v>
      </c>
      <c r="AO57">
        <f>'Corrale Swamp'!AM57</f>
        <v>1598</v>
      </c>
      <c r="AP57">
        <f>'Corrale Swamp'!AN57</f>
        <v>1309</v>
      </c>
      <c r="AQ57">
        <f>'Corrale Swamp'!AO57</f>
        <v>29</v>
      </c>
      <c r="AR57">
        <f>'Corrale Swamp'!AP57</f>
        <v>40408</v>
      </c>
      <c r="AS57">
        <f>'Corrale Swamp'!AQ57</f>
        <v>0.8</v>
      </c>
      <c r="AT57">
        <f>'Corrale Swamp'!AR57</f>
        <v>1738</v>
      </c>
      <c r="AU57">
        <f>'Corrale Swamp'!AS57</f>
        <v>1263</v>
      </c>
      <c r="AV57">
        <f>'Corrale Swamp'!AT57</f>
        <v>173</v>
      </c>
      <c r="AW57">
        <f>'Corrale Swamp'!AU57</f>
        <v>232585</v>
      </c>
      <c r="AX57">
        <f>'Corrale Swamp'!AV57</f>
        <v>4.3</v>
      </c>
    </row>
    <row r="58" spans="1:50">
      <c r="A58" t="str">
        <f>'Corrale Swamp'!A58</f>
        <v>/Users/christophermarjo/Documents/Python/Projects/data/bushfire Raman/Corrale Swamp/CS 14.5 (1)</v>
      </c>
      <c r="B58" t="s">
        <v>854</v>
      </c>
      <c r="C58">
        <v>14.5</v>
      </c>
      <c r="D58" t="str">
        <f>'Corrale Swamp'!B58</f>
        <v>18.16 counts</v>
      </c>
      <c r="E58">
        <f>'Corrale Swamp'!C58</f>
        <v>0.987236</v>
      </c>
      <c r="F58">
        <f>'Corrale Swamp'!D58</f>
        <v>1365</v>
      </c>
      <c r="G58">
        <f>'Corrale Swamp'!E58</f>
        <v>11231</v>
      </c>
      <c r="H58">
        <f>'Corrale Swamp'!F58</f>
        <v>300</v>
      </c>
      <c r="I58">
        <f>'Corrale Swamp'!G58</f>
        <v>3586509</v>
      </c>
      <c r="J58">
        <f>'Corrale Swamp'!H58</f>
        <v>68.3</v>
      </c>
      <c r="K58">
        <f>'Corrale Swamp'!I58</f>
        <v>1590</v>
      </c>
      <c r="L58">
        <f>'Corrale Swamp'!J58</f>
        <v>12925</v>
      </c>
      <c r="M58">
        <f>'Corrale Swamp'!K58</f>
        <v>100</v>
      </c>
      <c r="N58">
        <f>'Corrale Swamp'!L58</f>
        <v>1375824</v>
      </c>
      <c r="O58">
        <f>'Corrale Swamp'!M58</f>
        <v>26.2</v>
      </c>
      <c r="P58">
        <f>'Corrale Swamp'!N58</f>
        <v>1049</v>
      </c>
      <c r="Q58">
        <f>'Corrale Swamp'!O58</f>
        <v>507</v>
      </c>
      <c r="R58">
        <f>'Corrale Swamp'!P58</f>
        <v>79</v>
      </c>
      <c r="S58">
        <f>'Corrale Swamp'!Q58</f>
        <v>42635</v>
      </c>
      <c r="T58">
        <f>'Corrale Swamp'!R58</f>
        <v>0.8</v>
      </c>
      <c r="U58">
        <f>'Corrale Swamp'!S58</f>
        <v>1170</v>
      </c>
      <c r="V58">
        <f>'Corrale Swamp'!T58</f>
        <v>1</v>
      </c>
      <c r="W58">
        <f>'Corrale Swamp'!U58</f>
        <v>1</v>
      </c>
      <c r="X58">
        <f>'Corrale Swamp'!V58</f>
        <v>1</v>
      </c>
      <c r="Y58">
        <f>'Corrale Swamp'!W58</f>
        <v>0</v>
      </c>
      <c r="Z58">
        <f>'Corrale Swamp'!X58</f>
        <v>1270</v>
      </c>
      <c r="AA58">
        <f>'Corrale Swamp'!Y58</f>
        <v>1</v>
      </c>
      <c r="AB58">
        <f>'Corrale Swamp'!Z58</f>
        <v>1</v>
      </c>
      <c r="AC58">
        <f>'Corrale Swamp'!AA58</f>
        <v>1</v>
      </c>
      <c r="AD58">
        <f>'Corrale Swamp'!AB58</f>
        <v>0</v>
      </c>
      <c r="AE58">
        <f>'Corrale Swamp'!AC58</f>
        <v>1456</v>
      </c>
      <c r="AF58">
        <f>'Corrale Swamp'!AD58</f>
        <v>5</v>
      </c>
      <c r="AG58">
        <f>'Corrale Swamp'!AE58</f>
        <v>1</v>
      </c>
      <c r="AH58">
        <f>'Corrale Swamp'!AF58</f>
        <v>5</v>
      </c>
      <c r="AI58">
        <f>'Corrale Swamp'!AG58</f>
        <v>0</v>
      </c>
      <c r="AJ58">
        <f>'Corrale Swamp'!AH58</f>
        <v>1500</v>
      </c>
      <c r="AK58">
        <f>'Corrale Swamp'!AI58</f>
        <v>473</v>
      </c>
      <c r="AL58">
        <f>'Corrale Swamp'!AJ58</f>
        <v>33</v>
      </c>
      <c r="AM58">
        <f>'Corrale Swamp'!AK58</f>
        <v>16615</v>
      </c>
      <c r="AN58">
        <f>'Corrale Swamp'!AL58</f>
        <v>0.3</v>
      </c>
      <c r="AO58">
        <f>'Corrale Swamp'!AM58</f>
        <v>1594</v>
      </c>
      <c r="AP58">
        <f>'Corrale Swamp'!AN58</f>
        <v>1083</v>
      </c>
      <c r="AQ58">
        <f>'Corrale Swamp'!AO58</f>
        <v>27</v>
      </c>
      <c r="AR58">
        <f>'Corrale Swamp'!AP58</f>
        <v>31126</v>
      </c>
      <c r="AS58">
        <f>'Corrale Swamp'!AQ58</f>
        <v>0.6</v>
      </c>
      <c r="AT58">
        <f>'Corrale Swamp'!AR58</f>
        <v>1728</v>
      </c>
      <c r="AU58">
        <f>'Corrale Swamp'!AS58</f>
        <v>1333</v>
      </c>
      <c r="AV58">
        <f>'Corrale Swamp'!AT58</f>
        <v>141</v>
      </c>
      <c r="AW58">
        <f>'Corrale Swamp'!AU58</f>
        <v>200070</v>
      </c>
      <c r="AX58">
        <f>'Corrale Swamp'!AV58</f>
        <v>3.8</v>
      </c>
    </row>
    <row r="59" spans="1:50">
      <c r="A59" t="str">
        <f>'Corrale Swamp'!A59</f>
        <v xml:space="preserve">/Users/christophermarjo/Documents/Python/Projects/data/bushfire Raman/Corrale Swamp/CS 14.5 (2) </v>
      </c>
      <c r="B59" t="s">
        <v>854</v>
      </c>
      <c r="C59">
        <v>4.5</v>
      </c>
      <c r="D59" t="str">
        <f>'Corrale Swamp'!B59</f>
        <v>15.06 counts</v>
      </c>
      <c r="E59">
        <f>'Corrale Swamp'!C59</f>
        <v>0.98910600000000004</v>
      </c>
      <c r="F59">
        <f>'Corrale Swamp'!D59</f>
        <v>1367</v>
      </c>
      <c r="G59">
        <f>'Corrale Swamp'!E59</f>
        <v>9863</v>
      </c>
      <c r="H59">
        <f>'Corrale Swamp'!F59</f>
        <v>302</v>
      </c>
      <c r="I59">
        <f>'Corrale Swamp'!G59</f>
        <v>3170649</v>
      </c>
      <c r="J59">
        <f>'Corrale Swamp'!H59</f>
        <v>68.400000000000006</v>
      </c>
      <c r="K59">
        <f>'Corrale Swamp'!I59</f>
        <v>1592</v>
      </c>
      <c r="L59">
        <f>'Corrale Swamp'!J59</f>
        <v>11737</v>
      </c>
      <c r="M59">
        <f>'Corrale Swamp'!K59</f>
        <v>100</v>
      </c>
      <c r="N59">
        <f>'Corrale Swamp'!L59</f>
        <v>1249365</v>
      </c>
      <c r="O59">
        <f>'Corrale Swamp'!M59</f>
        <v>26.9</v>
      </c>
      <c r="P59">
        <f>'Corrale Swamp'!N59</f>
        <v>1047</v>
      </c>
      <c r="Q59">
        <f>'Corrale Swamp'!O59</f>
        <v>359</v>
      </c>
      <c r="R59">
        <f>'Corrale Swamp'!P59</f>
        <v>87</v>
      </c>
      <c r="S59">
        <f>'Corrale Swamp'!Q59</f>
        <v>33246</v>
      </c>
      <c r="T59">
        <f>'Corrale Swamp'!R59</f>
        <v>0.7</v>
      </c>
      <c r="U59">
        <f>'Corrale Swamp'!S59</f>
        <v>1160</v>
      </c>
      <c r="V59">
        <f>'Corrale Swamp'!T59</f>
        <v>11</v>
      </c>
      <c r="W59">
        <f>'Corrale Swamp'!U59</f>
        <v>1</v>
      </c>
      <c r="X59">
        <f>'Corrale Swamp'!V59</f>
        <v>12</v>
      </c>
      <c r="Y59">
        <f>'Corrale Swamp'!W59</f>
        <v>0</v>
      </c>
      <c r="Z59">
        <f>'Corrale Swamp'!X59</f>
        <v>1270</v>
      </c>
      <c r="AA59">
        <f>'Corrale Swamp'!Y59</f>
        <v>1</v>
      </c>
      <c r="AB59">
        <f>'Corrale Swamp'!Z59</f>
        <v>1</v>
      </c>
      <c r="AC59">
        <f>'Corrale Swamp'!AA59</f>
        <v>1</v>
      </c>
      <c r="AD59">
        <f>'Corrale Swamp'!AB59</f>
        <v>0</v>
      </c>
      <c r="AE59">
        <f>'Corrale Swamp'!AC59</f>
        <v>1450</v>
      </c>
      <c r="AF59">
        <f>'Corrale Swamp'!AD59</f>
        <v>3</v>
      </c>
      <c r="AG59">
        <f>'Corrale Swamp'!AE59</f>
        <v>1</v>
      </c>
      <c r="AH59">
        <f>'Corrale Swamp'!AF59</f>
        <v>3</v>
      </c>
      <c r="AI59">
        <f>'Corrale Swamp'!AG59</f>
        <v>0</v>
      </c>
      <c r="AJ59">
        <f>'Corrale Swamp'!AH59</f>
        <v>1534</v>
      </c>
      <c r="AK59">
        <f>'Corrale Swamp'!AI59</f>
        <v>239</v>
      </c>
      <c r="AL59">
        <f>'Corrale Swamp'!AJ59</f>
        <v>77</v>
      </c>
      <c r="AM59">
        <f>'Corrale Swamp'!AK59</f>
        <v>19589</v>
      </c>
      <c r="AN59">
        <f>'Corrale Swamp'!AL59</f>
        <v>0.4</v>
      </c>
      <c r="AO59">
        <f>'Corrale Swamp'!AM59</f>
        <v>1594</v>
      </c>
      <c r="AP59">
        <f>'Corrale Swamp'!AN59</f>
        <v>591</v>
      </c>
      <c r="AQ59">
        <f>'Corrale Swamp'!AO59</f>
        <v>29</v>
      </c>
      <c r="AR59">
        <f>'Corrale Swamp'!AP59</f>
        <v>18244</v>
      </c>
      <c r="AS59">
        <f>'Corrale Swamp'!AQ59</f>
        <v>0.4</v>
      </c>
      <c r="AT59">
        <f>'Corrale Swamp'!AR59</f>
        <v>1738</v>
      </c>
      <c r="AU59">
        <f>'Corrale Swamp'!AS59</f>
        <v>941</v>
      </c>
      <c r="AV59">
        <f>'Corrale Swamp'!AT59</f>
        <v>147</v>
      </c>
      <c r="AW59">
        <f>'Corrale Swamp'!AU59</f>
        <v>147245</v>
      </c>
      <c r="AX59">
        <f>'Corrale Swamp'!AV59</f>
        <v>3.2</v>
      </c>
    </row>
    <row r="60" spans="1:50">
      <c r="A60" t="str">
        <f>'Corrale Swamp'!A60</f>
        <v>/Users/christophermarjo/Documents/Python/Projects/data/bushfire Raman/Corrale Swamp/CS 14.5 (3)</v>
      </c>
      <c r="B60" t="s">
        <v>854</v>
      </c>
      <c r="C60">
        <v>14.5</v>
      </c>
      <c r="D60" t="str">
        <f>'Corrale Swamp'!B60</f>
        <v>22.46 counts</v>
      </c>
      <c r="E60">
        <f>'Corrale Swamp'!C60</f>
        <v>0.99003600000000003</v>
      </c>
      <c r="F60">
        <f>'Corrale Swamp'!D60</f>
        <v>1367</v>
      </c>
      <c r="G60">
        <f>'Corrale Swamp'!E60</f>
        <v>15327</v>
      </c>
      <c r="H60">
        <f>'Corrale Swamp'!F60</f>
        <v>312</v>
      </c>
      <c r="I60">
        <f>'Corrale Swamp'!G60</f>
        <v>5090307</v>
      </c>
      <c r="J60">
        <f>'Corrale Swamp'!H60</f>
        <v>68.3</v>
      </c>
      <c r="K60">
        <f>'Corrale Swamp'!I60</f>
        <v>1590</v>
      </c>
      <c r="L60">
        <f>'Corrale Swamp'!J60</f>
        <v>17845</v>
      </c>
      <c r="M60">
        <f>'Corrale Swamp'!K60</f>
        <v>100</v>
      </c>
      <c r="N60">
        <f>'Corrale Swamp'!L60</f>
        <v>1899541</v>
      </c>
      <c r="O60">
        <f>'Corrale Swamp'!M60</f>
        <v>25.5</v>
      </c>
      <c r="P60">
        <f>'Corrale Swamp'!N60</f>
        <v>1045</v>
      </c>
      <c r="Q60">
        <f>'Corrale Swamp'!O60</f>
        <v>683</v>
      </c>
      <c r="R60">
        <f>'Corrale Swamp'!P60</f>
        <v>83</v>
      </c>
      <c r="S60">
        <f>'Corrale Swamp'!Q60</f>
        <v>60344</v>
      </c>
      <c r="T60">
        <f>'Corrale Swamp'!R60</f>
        <v>0.8</v>
      </c>
      <c r="U60">
        <f>'Corrale Swamp'!S60</f>
        <v>1172</v>
      </c>
      <c r="V60">
        <f>'Corrale Swamp'!T60</f>
        <v>1</v>
      </c>
      <c r="W60">
        <f>'Corrale Swamp'!U60</f>
        <v>1</v>
      </c>
      <c r="X60">
        <f>'Corrale Swamp'!V60</f>
        <v>1</v>
      </c>
      <c r="Y60">
        <f>'Corrale Swamp'!W60</f>
        <v>0</v>
      </c>
      <c r="Z60">
        <f>'Corrale Swamp'!X60</f>
        <v>1270</v>
      </c>
      <c r="AA60">
        <f>'Corrale Swamp'!Y60</f>
        <v>1</v>
      </c>
      <c r="AB60">
        <f>'Corrale Swamp'!Z60</f>
        <v>1</v>
      </c>
      <c r="AC60">
        <f>'Corrale Swamp'!AA60</f>
        <v>1</v>
      </c>
      <c r="AD60">
        <f>'Corrale Swamp'!AB60</f>
        <v>0</v>
      </c>
      <c r="AE60">
        <f>'Corrale Swamp'!AC60</f>
        <v>1402</v>
      </c>
      <c r="AF60">
        <f>'Corrale Swamp'!AD60</f>
        <v>47</v>
      </c>
      <c r="AG60">
        <f>'Corrale Swamp'!AE60</f>
        <v>127</v>
      </c>
      <c r="AH60">
        <f>'Corrale Swamp'!AF60</f>
        <v>6354</v>
      </c>
      <c r="AI60">
        <f>'Corrale Swamp'!AG60</f>
        <v>0.1</v>
      </c>
      <c r="AJ60">
        <f>'Corrale Swamp'!AH60</f>
        <v>1500</v>
      </c>
      <c r="AK60">
        <f>'Corrale Swamp'!AI60</f>
        <v>727</v>
      </c>
      <c r="AL60">
        <f>'Corrale Swamp'!AJ60</f>
        <v>37</v>
      </c>
      <c r="AM60">
        <f>'Corrale Swamp'!AK60</f>
        <v>28633</v>
      </c>
      <c r="AN60">
        <f>'Corrale Swamp'!AL60</f>
        <v>0.4</v>
      </c>
      <c r="AO60">
        <f>'Corrale Swamp'!AM60</f>
        <v>1594</v>
      </c>
      <c r="AP60">
        <f>'Corrale Swamp'!AN60</f>
        <v>1509</v>
      </c>
      <c r="AQ60">
        <f>'Corrale Swamp'!AO60</f>
        <v>33</v>
      </c>
      <c r="AR60">
        <f>'Corrale Swamp'!AP60</f>
        <v>53007</v>
      </c>
      <c r="AS60">
        <f>'Corrale Swamp'!AQ60</f>
        <v>0.7</v>
      </c>
      <c r="AT60">
        <f>'Corrale Swamp'!AR60</f>
        <v>1736</v>
      </c>
      <c r="AU60">
        <f>'Corrale Swamp'!AS60</f>
        <v>1965</v>
      </c>
      <c r="AV60">
        <f>'Corrale Swamp'!AT60</f>
        <v>153</v>
      </c>
      <c r="AW60">
        <f>'Corrale Swamp'!AU60</f>
        <v>320027</v>
      </c>
      <c r="AX60">
        <f>'Corrale Swamp'!AV60</f>
        <v>4.3</v>
      </c>
    </row>
    <row r="61" spans="1:50">
      <c r="A61" t="str">
        <f>'Corrale Swamp'!A61</f>
        <v>/Users/christophermarjo/Documents/Python/Projects/data/bushfire Raman/Corrale Swamp/CS 14.5 (4)</v>
      </c>
      <c r="B61" t="s">
        <v>854</v>
      </c>
      <c r="C61">
        <v>14.5</v>
      </c>
      <c r="D61" t="str">
        <f>'Corrale Swamp'!B61</f>
        <v>14.24 counts</v>
      </c>
      <c r="E61">
        <f>'Corrale Swamp'!C61</f>
        <v>0.98979099999999998</v>
      </c>
      <c r="F61">
        <f>'Corrale Swamp'!D61</f>
        <v>1369</v>
      </c>
      <c r="G61">
        <f>'Corrale Swamp'!E61</f>
        <v>9553</v>
      </c>
      <c r="H61">
        <f>'Corrale Swamp'!F61</f>
        <v>312</v>
      </c>
      <c r="I61">
        <f>'Corrale Swamp'!G61</f>
        <v>3172682</v>
      </c>
      <c r="J61">
        <f>'Corrale Swamp'!H61</f>
        <v>68.8</v>
      </c>
      <c r="K61">
        <f>'Corrale Swamp'!I61</f>
        <v>1592</v>
      </c>
      <c r="L61">
        <f>'Corrale Swamp'!J61</f>
        <v>11141</v>
      </c>
      <c r="M61">
        <f>'Corrale Swamp'!K61</f>
        <v>100</v>
      </c>
      <c r="N61">
        <f>'Corrale Swamp'!L61</f>
        <v>1185923</v>
      </c>
      <c r="O61">
        <f>'Corrale Swamp'!M61</f>
        <v>25.7</v>
      </c>
      <c r="P61">
        <f>'Corrale Swamp'!N61</f>
        <v>1043</v>
      </c>
      <c r="Q61">
        <f>'Corrale Swamp'!O61</f>
        <v>477</v>
      </c>
      <c r="R61">
        <f>'Corrale Swamp'!P61</f>
        <v>81</v>
      </c>
      <c r="S61">
        <f>'Corrale Swamp'!Q61</f>
        <v>41128</v>
      </c>
      <c r="T61">
        <f>'Corrale Swamp'!R61</f>
        <v>0.9</v>
      </c>
      <c r="U61">
        <f>'Corrale Swamp'!S61</f>
        <v>1154</v>
      </c>
      <c r="V61">
        <f>'Corrale Swamp'!T61</f>
        <v>1</v>
      </c>
      <c r="W61">
        <f>'Corrale Swamp'!U61</f>
        <v>1</v>
      </c>
      <c r="X61">
        <f>'Corrale Swamp'!V61</f>
        <v>1</v>
      </c>
      <c r="Y61">
        <f>'Corrale Swamp'!W61</f>
        <v>0</v>
      </c>
      <c r="Z61">
        <f>'Corrale Swamp'!X61</f>
        <v>1270</v>
      </c>
      <c r="AA61">
        <f>'Corrale Swamp'!Y61</f>
        <v>1</v>
      </c>
      <c r="AB61">
        <f>'Corrale Swamp'!Z61</f>
        <v>1</v>
      </c>
      <c r="AC61">
        <f>'Corrale Swamp'!AA61</f>
        <v>1</v>
      </c>
      <c r="AD61">
        <f>'Corrale Swamp'!AB61</f>
        <v>0</v>
      </c>
      <c r="AE61">
        <f>'Corrale Swamp'!AC61</f>
        <v>1402</v>
      </c>
      <c r="AF61">
        <f>'Corrale Swamp'!AD61</f>
        <v>247</v>
      </c>
      <c r="AG61">
        <f>'Corrale Swamp'!AE61</f>
        <v>1</v>
      </c>
      <c r="AH61">
        <f>'Corrale Swamp'!AF61</f>
        <v>263</v>
      </c>
      <c r="AI61">
        <f>'Corrale Swamp'!AG61</f>
        <v>0</v>
      </c>
      <c r="AJ61">
        <f>'Corrale Swamp'!AH61</f>
        <v>1500</v>
      </c>
      <c r="AK61">
        <f>'Corrale Swamp'!AI61</f>
        <v>381</v>
      </c>
      <c r="AL61">
        <f>'Corrale Swamp'!AJ61</f>
        <v>23</v>
      </c>
      <c r="AM61">
        <f>'Corrale Swamp'!AK61</f>
        <v>9328</v>
      </c>
      <c r="AN61">
        <f>'Corrale Swamp'!AL61</f>
        <v>0.2</v>
      </c>
      <c r="AO61">
        <f>'Corrale Swamp'!AM61</f>
        <v>1596</v>
      </c>
      <c r="AP61">
        <f>'Corrale Swamp'!AN61</f>
        <v>967</v>
      </c>
      <c r="AQ61">
        <f>'Corrale Swamp'!AO61</f>
        <v>29</v>
      </c>
      <c r="AR61">
        <f>'Corrale Swamp'!AP61</f>
        <v>29851</v>
      </c>
      <c r="AS61">
        <f>'Corrale Swamp'!AQ61</f>
        <v>0.6</v>
      </c>
      <c r="AT61">
        <f>'Corrale Swamp'!AR61</f>
        <v>1740</v>
      </c>
      <c r="AU61">
        <f>'Corrale Swamp'!AS61</f>
        <v>993</v>
      </c>
      <c r="AV61">
        <f>'Corrale Swamp'!AT61</f>
        <v>163</v>
      </c>
      <c r="AW61">
        <f>'Corrale Swamp'!AU61</f>
        <v>172294</v>
      </c>
      <c r="AX61">
        <f>'Corrale Swamp'!AV61</f>
        <v>3.7</v>
      </c>
    </row>
    <row r="62" spans="1:50">
      <c r="A62" t="str">
        <f>'Corrale Swamp'!A62</f>
        <v>/Users/christophermarjo/Documents/Python/Projects/data/bushfire Raman/Corrale Swamp/CS 14.5 (5)</v>
      </c>
      <c r="B62" t="s">
        <v>854</v>
      </c>
      <c r="C62">
        <v>14.5</v>
      </c>
      <c r="D62" t="str">
        <f>'Corrale Swamp'!B62</f>
        <v>14.26 counts</v>
      </c>
      <c r="E62">
        <f>'Corrale Swamp'!C62</f>
        <v>0.98787800000000003</v>
      </c>
      <c r="F62">
        <f>'Corrale Swamp'!D62</f>
        <v>1365</v>
      </c>
      <c r="G62">
        <f>'Corrale Swamp'!E62</f>
        <v>8897</v>
      </c>
      <c r="H62">
        <f>'Corrale Swamp'!F62</f>
        <v>302</v>
      </c>
      <c r="I62">
        <f>'Corrale Swamp'!G62</f>
        <v>2860110</v>
      </c>
      <c r="J62">
        <f>'Corrale Swamp'!H62</f>
        <v>67.7</v>
      </c>
      <c r="K62">
        <f>'Corrale Swamp'!I62</f>
        <v>1592</v>
      </c>
      <c r="L62">
        <f>'Corrale Swamp'!J62</f>
        <v>10665</v>
      </c>
      <c r="M62">
        <f>'Corrale Swamp'!K62</f>
        <v>100</v>
      </c>
      <c r="N62">
        <f>'Corrale Swamp'!L62</f>
        <v>1135254</v>
      </c>
      <c r="O62">
        <f>'Corrale Swamp'!M62</f>
        <v>26.9</v>
      </c>
      <c r="P62">
        <f>'Corrale Swamp'!N62</f>
        <v>1049</v>
      </c>
      <c r="Q62">
        <f>'Corrale Swamp'!O62</f>
        <v>297</v>
      </c>
      <c r="R62">
        <f>'Corrale Swamp'!P62</f>
        <v>81</v>
      </c>
      <c r="S62">
        <f>'Corrale Swamp'!Q62</f>
        <v>25608</v>
      </c>
      <c r="T62">
        <f>'Corrale Swamp'!R62</f>
        <v>0.6</v>
      </c>
      <c r="U62">
        <f>'Corrale Swamp'!S62</f>
        <v>1150</v>
      </c>
      <c r="V62">
        <f>'Corrale Swamp'!T62</f>
        <v>1</v>
      </c>
      <c r="W62">
        <f>'Corrale Swamp'!U62</f>
        <v>1</v>
      </c>
      <c r="X62">
        <f>'Corrale Swamp'!V62</f>
        <v>1</v>
      </c>
      <c r="Y62">
        <f>'Corrale Swamp'!W62</f>
        <v>0</v>
      </c>
      <c r="Z62">
        <f>'Corrale Swamp'!X62</f>
        <v>1270</v>
      </c>
      <c r="AA62">
        <f>'Corrale Swamp'!Y62</f>
        <v>1</v>
      </c>
      <c r="AB62">
        <f>'Corrale Swamp'!Z62</f>
        <v>1</v>
      </c>
      <c r="AC62">
        <f>'Corrale Swamp'!AA62</f>
        <v>1</v>
      </c>
      <c r="AD62">
        <f>'Corrale Swamp'!AB62</f>
        <v>0</v>
      </c>
      <c r="AE62">
        <f>'Corrale Swamp'!AC62</f>
        <v>1456</v>
      </c>
      <c r="AF62">
        <f>'Corrale Swamp'!AD62</f>
        <v>89</v>
      </c>
      <c r="AG62">
        <f>'Corrale Swamp'!AE62</f>
        <v>129</v>
      </c>
      <c r="AH62">
        <f>'Corrale Swamp'!AF62</f>
        <v>12221</v>
      </c>
      <c r="AI62">
        <f>'Corrale Swamp'!AG62</f>
        <v>0.3</v>
      </c>
      <c r="AJ62">
        <f>'Corrale Swamp'!AH62</f>
        <v>1500</v>
      </c>
      <c r="AK62">
        <f>'Corrale Swamp'!AI62</f>
        <v>465</v>
      </c>
      <c r="AL62">
        <f>'Corrale Swamp'!AJ62</f>
        <v>31</v>
      </c>
      <c r="AM62">
        <f>'Corrale Swamp'!AK62</f>
        <v>15344</v>
      </c>
      <c r="AN62">
        <f>'Corrale Swamp'!AL62</f>
        <v>0.4</v>
      </c>
      <c r="AO62">
        <f>'Corrale Swamp'!AM62</f>
        <v>1590</v>
      </c>
      <c r="AP62">
        <f>'Corrale Swamp'!AN62</f>
        <v>763</v>
      </c>
      <c r="AQ62">
        <f>'Corrale Swamp'!AO62</f>
        <v>27</v>
      </c>
      <c r="AR62">
        <f>'Corrale Swamp'!AP62</f>
        <v>21929</v>
      </c>
      <c r="AS62">
        <f>'Corrale Swamp'!AQ62</f>
        <v>0.5</v>
      </c>
      <c r="AT62">
        <f>'Corrale Swamp'!AR62</f>
        <v>1732</v>
      </c>
      <c r="AU62">
        <f>'Corrale Swamp'!AS62</f>
        <v>1009</v>
      </c>
      <c r="AV62">
        <f>'Corrale Swamp'!AT62</f>
        <v>143</v>
      </c>
      <c r="AW62">
        <f>'Corrale Swamp'!AU62</f>
        <v>153589</v>
      </c>
      <c r="AX62">
        <f>'Corrale Swamp'!AV62</f>
        <v>3.6</v>
      </c>
    </row>
    <row r="63" spans="1:50">
      <c r="A63" t="str">
        <f>'Corrale Swamp'!A63</f>
        <v>/Users/christophermarjo/Documents/Python/Projects/data/bushfire Raman/Corrale Swamp/CS 14.5 (6)</v>
      </c>
      <c r="B63" t="s">
        <v>854</v>
      </c>
      <c r="C63">
        <v>14.5</v>
      </c>
      <c r="D63" t="str">
        <f>'Corrale Swamp'!B63</f>
        <v>42.96 counts</v>
      </c>
      <c r="E63">
        <f>'Corrale Swamp'!C63</f>
        <v>0.98798600000000003</v>
      </c>
      <c r="F63">
        <f>'Corrale Swamp'!D63</f>
        <v>1369</v>
      </c>
      <c r="G63">
        <f>'Corrale Swamp'!E63</f>
        <v>24231</v>
      </c>
      <c r="H63">
        <f>'Corrale Swamp'!F63</f>
        <v>288</v>
      </c>
      <c r="I63">
        <f>'Corrale Swamp'!G63</f>
        <v>7428413</v>
      </c>
      <c r="J63">
        <f>'Corrale Swamp'!H63</f>
        <v>60.9</v>
      </c>
      <c r="K63">
        <f>'Corrale Swamp'!I63</f>
        <v>1584</v>
      </c>
      <c r="L63">
        <f>'Corrale Swamp'!J63</f>
        <v>32325</v>
      </c>
      <c r="M63">
        <f>'Corrale Swamp'!K63</f>
        <v>120</v>
      </c>
      <c r="N63">
        <f>'Corrale Swamp'!L63</f>
        <v>4129068</v>
      </c>
      <c r="O63">
        <f>'Corrale Swamp'!M63</f>
        <v>33.9</v>
      </c>
      <c r="P63">
        <f>'Corrale Swamp'!N63</f>
        <v>1031</v>
      </c>
      <c r="Q63">
        <f>'Corrale Swamp'!O63</f>
        <v>913</v>
      </c>
      <c r="R63">
        <f>'Corrale Swamp'!P63</f>
        <v>39</v>
      </c>
      <c r="S63">
        <f>'Corrale Swamp'!Q63</f>
        <v>37902</v>
      </c>
      <c r="T63">
        <f>'Corrale Swamp'!R63</f>
        <v>0.3</v>
      </c>
      <c r="U63">
        <f>'Corrale Swamp'!S63</f>
        <v>1156</v>
      </c>
      <c r="V63">
        <f>'Corrale Swamp'!T63</f>
        <v>89</v>
      </c>
      <c r="W63">
        <f>'Corrale Swamp'!U63</f>
        <v>9</v>
      </c>
      <c r="X63">
        <f>'Corrale Swamp'!V63</f>
        <v>853</v>
      </c>
      <c r="Y63">
        <f>'Corrale Swamp'!W63</f>
        <v>0</v>
      </c>
      <c r="Z63">
        <f>'Corrale Swamp'!X63</f>
        <v>1270</v>
      </c>
      <c r="AA63">
        <f>'Corrale Swamp'!Y63</f>
        <v>1</v>
      </c>
      <c r="AB63">
        <f>'Corrale Swamp'!Z63</f>
        <v>1</v>
      </c>
      <c r="AC63">
        <f>'Corrale Swamp'!AA63</f>
        <v>1</v>
      </c>
      <c r="AD63">
        <f>'Corrale Swamp'!AB63</f>
        <v>0</v>
      </c>
      <c r="AE63">
        <f>'Corrale Swamp'!AC63</f>
        <v>1456</v>
      </c>
      <c r="AF63">
        <f>'Corrale Swamp'!AD63</f>
        <v>1463</v>
      </c>
      <c r="AG63">
        <f>'Corrale Swamp'!AE63</f>
        <v>69</v>
      </c>
      <c r="AH63">
        <f>'Corrale Swamp'!AF63</f>
        <v>107455</v>
      </c>
      <c r="AI63">
        <f>'Corrale Swamp'!AG63</f>
        <v>0.9</v>
      </c>
      <c r="AJ63">
        <f>'Corrale Swamp'!AH63</f>
        <v>1484</v>
      </c>
      <c r="AK63">
        <f>'Corrale Swamp'!AI63</f>
        <v>709</v>
      </c>
      <c r="AL63">
        <f>'Corrale Swamp'!AJ63</f>
        <v>37</v>
      </c>
      <c r="AM63">
        <f>'Corrale Swamp'!AK63</f>
        <v>27924</v>
      </c>
      <c r="AN63">
        <f>'Corrale Swamp'!AL63</f>
        <v>0.2</v>
      </c>
      <c r="AO63">
        <f>'Corrale Swamp'!AM63</f>
        <v>1592</v>
      </c>
      <c r="AP63">
        <f>'Corrale Swamp'!AN63</f>
        <v>2285</v>
      </c>
      <c r="AQ63">
        <f>'Corrale Swamp'!AO63</f>
        <v>23</v>
      </c>
      <c r="AR63">
        <f>'Corrale Swamp'!AP63</f>
        <v>55943</v>
      </c>
      <c r="AS63">
        <f>'Corrale Swamp'!AQ63</f>
        <v>0.5</v>
      </c>
      <c r="AT63">
        <f>'Corrale Swamp'!AR63</f>
        <v>1748</v>
      </c>
      <c r="AU63">
        <f>'Corrale Swamp'!AS63</f>
        <v>2913</v>
      </c>
      <c r="AV63">
        <f>'Corrale Swamp'!AT63</f>
        <v>131</v>
      </c>
      <c r="AW63">
        <f>'Corrale Swamp'!AU63</f>
        <v>406204</v>
      </c>
      <c r="AX63">
        <f>'Corrale Swamp'!AV63</f>
        <v>3.3</v>
      </c>
    </row>
    <row r="64" spans="1:50">
      <c r="A64" t="str">
        <f>'Corrale Swamp'!A64</f>
        <v xml:space="preserve">/Users/christophermarjo/Documents/Python/Projects/data/bushfire Raman/Corrale Swamp/CS 15 (1) </v>
      </c>
      <c r="B64" t="s">
        <v>854</v>
      </c>
      <c r="C64">
        <v>15</v>
      </c>
      <c r="D64" t="str">
        <f>'Corrale Swamp'!B64</f>
        <v>18.93 counts</v>
      </c>
      <c r="E64">
        <f>'Corrale Swamp'!C64</f>
        <v>0.983873</v>
      </c>
      <c r="F64">
        <f>'Corrale Swamp'!D64</f>
        <v>1367</v>
      </c>
      <c r="G64">
        <f>'Corrale Swamp'!E64</f>
        <v>10029</v>
      </c>
      <c r="H64">
        <f>'Corrale Swamp'!F64</f>
        <v>312</v>
      </c>
      <c r="I64">
        <f>'Corrale Swamp'!G64</f>
        <v>3330768</v>
      </c>
      <c r="J64">
        <f>'Corrale Swamp'!H64</f>
        <v>67.599999999999994</v>
      </c>
      <c r="K64">
        <f>'Corrale Swamp'!I64</f>
        <v>1588</v>
      </c>
      <c r="L64">
        <f>'Corrale Swamp'!J64</f>
        <v>11615</v>
      </c>
      <c r="M64">
        <f>'Corrale Swamp'!K64</f>
        <v>112</v>
      </c>
      <c r="N64">
        <f>'Corrale Swamp'!L64</f>
        <v>1384744</v>
      </c>
      <c r="O64">
        <f>'Corrale Swamp'!M64</f>
        <v>28.1</v>
      </c>
      <c r="P64">
        <f>'Corrale Swamp'!N64</f>
        <v>1037</v>
      </c>
      <c r="Q64">
        <f>'Corrale Swamp'!O64</f>
        <v>333</v>
      </c>
      <c r="R64">
        <f>'Corrale Swamp'!P64</f>
        <v>75</v>
      </c>
      <c r="S64">
        <f>'Corrale Swamp'!Q64</f>
        <v>26585</v>
      </c>
      <c r="T64">
        <f>'Corrale Swamp'!R64</f>
        <v>0.5</v>
      </c>
      <c r="U64">
        <f>'Corrale Swamp'!S64</f>
        <v>1172</v>
      </c>
      <c r="V64">
        <f>'Corrale Swamp'!T64</f>
        <v>1</v>
      </c>
      <c r="W64">
        <f>'Corrale Swamp'!U64</f>
        <v>1</v>
      </c>
      <c r="X64">
        <f>'Corrale Swamp'!V64</f>
        <v>1</v>
      </c>
      <c r="Y64">
        <f>'Corrale Swamp'!W64</f>
        <v>0</v>
      </c>
      <c r="Z64">
        <f>'Corrale Swamp'!X64</f>
        <v>1270</v>
      </c>
      <c r="AA64">
        <f>'Corrale Swamp'!Y64</f>
        <v>1</v>
      </c>
      <c r="AB64">
        <f>'Corrale Swamp'!Z64</f>
        <v>1</v>
      </c>
      <c r="AC64">
        <f>'Corrale Swamp'!AA64</f>
        <v>1</v>
      </c>
      <c r="AD64">
        <f>'Corrale Swamp'!AB64</f>
        <v>0</v>
      </c>
      <c r="AE64">
        <f>'Corrale Swamp'!AC64</f>
        <v>1456</v>
      </c>
      <c r="AF64">
        <f>'Corrale Swamp'!AD64</f>
        <v>179</v>
      </c>
      <c r="AG64">
        <f>'Corrale Swamp'!AE64</f>
        <v>93</v>
      </c>
      <c r="AH64">
        <f>'Corrale Swamp'!AF64</f>
        <v>17720</v>
      </c>
      <c r="AI64">
        <f>'Corrale Swamp'!AG64</f>
        <v>0.4</v>
      </c>
      <c r="AJ64">
        <f>'Corrale Swamp'!AH64</f>
        <v>1494</v>
      </c>
      <c r="AK64">
        <f>'Corrale Swamp'!AI64</f>
        <v>413</v>
      </c>
      <c r="AL64">
        <f>'Corrale Swamp'!AJ64</f>
        <v>27</v>
      </c>
      <c r="AM64">
        <f>'Corrale Swamp'!AK64</f>
        <v>11870</v>
      </c>
      <c r="AN64">
        <f>'Corrale Swamp'!AL64</f>
        <v>0.2</v>
      </c>
      <c r="AO64">
        <f>'Corrale Swamp'!AM64</f>
        <v>1592</v>
      </c>
      <c r="AP64">
        <f>'Corrale Swamp'!AN64</f>
        <v>517</v>
      </c>
      <c r="AQ64">
        <f>'Corrale Swamp'!AO64</f>
        <v>23</v>
      </c>
      <c r="AR64">
        <f>'Corrale Swamp'!AP64</f>
        <v>12658</v>
      </c>
      <c r="AS64">
        <f>'Corrale Swamp'!AQ64</f>
        <v>0.3</v>
      </c>
      <c r="AT64">
        <f>'Corrale Swamp'!AR64</f>
        <v>1748</v>
      </c>
      <c r="AU64">
        <f>'Corrale Swamp'!AS64</f>
        <v>995</v>
      </c>
      <c r="AV64">
        <f>'Corrale Swamp'!AT64</f>
        <v>137</v>
      </c>
      <c r="AW64">
        <f>'Corrale Swamp'!AU64</f>
        <v>145103</v>
      </c>
      <c r="AX64">
        <f>'Corrale Swamp'!AV64</f>
        <v>2.9</v>
      </c>
    </row>
    <row r="65" spans="1:50">
      <c r="A65" t="str">
        <f>'Corrale Swamp'!A65</f>
        <v>/Users/christophermarjo/Documents/Python/Projects/data/bushfire Raman/Corrale Swamp/CS 15 (2)</v>
      </c>
      <c r="B65" t="s">
        <v>854</v>
      </c>
      <c r="C65">
        <v>15</v>
      </c>
      <c r="D65" t="str">
        <f>'Corrale Swamp'!B65</f>
        <v>23.28 counts</v>
      </c>
      <c r="E65">
        <f>'Corrale Swamp'!C65</f>
        <v>0.98625799999999997</v>
      </c>
      <c r="F65">
        <f>'Corrale Swamp'!D65</f>
        <v>1367</v>
      </c>
      <c r="G65">
        <f>'Corrale Swamp'!E65</f>
        <v>12945</v>
      </c>
      <c r="H65">
        <f>'Corrale Swamp'!F65</f>
        <v>290</v>
      </c>
      <c r="I65">
        <f>'Corrale Swamp'!G65</f>
        <v>3996062</v>
      </c>
      <c r="J65">
        <f>'Corrale Swamp'!H65</f>
        <v>63.6</v>
      </c>
      <c r="K65">
        <f>'Corrale Swamp'!I65</f>
        <v>1586</v>
      </c>
      <c r="L65">
        <f>'Corrale Swamp'!J65</f>
        <v>15759</v>
      </c>
      <c r="M65">
        <f>'Corrale Swamp'!K65</f>
        <v>120</v>
      </c>
      <c r="N65">
        <f>'Corrale Swamp'!L65</f>
        <v>2012992</v>
      </c>
      <c r="O65">
        <f>'Corrale Swamp'!M65</f>
        <v>32</v>
      </c>
      <c r="P65">
        <f>'Corrale Swamp'!N65</f>
        <v>1039</v>
      </c>
      <c r="Q65">
        <f>'Corrale Swamp'!O65</f>
        <v>455</v>
      </c>
      <c r="R65">
        <f>'Corrale Swamp'!P65</f>
        <v>53</v>
      </c>
      <c r="S65">
        <f>'Corrale Swamp'!Q65</f>
        <v>25670</v>
      </c>
      <c r="T65">
        <f>'Corrale Swamp'!R65</f>
        <v>0.4</v>
      </c>
      <c r="U65">
        <f>'Corrale Swamp'!S65</f>
        <v>1152</v>
      </c>
      <c r="V65">
        <f>'Corrale Swamp'!T65</f>
        <v>75</v>
      </c>
      <c r="W65">
        <f>'Corrale Swamp'!U65</f>
        <v>7</v>
      </c>
      <c r="X65">
        <f>'Corrale Swamp'!V65</f>
        <v>559</v>
      </c>
      <c r="Y65">
        <f>'Corrale Swamp'!W65</f>
        <v>0</v>
      </c>
      <c r="Z65">
        <f>'Corrale Swamp'!X65</f>
        <v>1270</v>
      </c>
      <c r="AA65">
        <f>'Corrale Swamp'!Y65</f>
        <v>1</v>
      </c>
      <c r="AB65">
        <f>'Corrale Swamp'!Z65</f>
        <v>1</v>
      </c>
      <c r="AC65">
        <f>'Corrale Swamp'!AA65</f>
        <v>1</v>
      </c>
      <c r="AD65">
        <f>'Corrale Swamp'!AB65</f>
        <v>0</v>
      </c>
      <c r="AE65">
        <f>'Corrale Swamp'!AC65</f>
        <v>1456</v>
      </c>
      <c r="AF65">
        <f>'Corrale Swamp'!AD65</f>
        <v>1119</v>
      </c>
      <c r="AG65">
        <f>'Corrale Swamp'!AE65</f>
        <v>57</v>
      </c>
      <c r="AH65">
        <f>'Corrale Swamp'!AF65</f>
        <v>67895</v>
      </c>
      <c r="AI65">
        <f>'Corrale Swamp'!AG65</f>
        <v>1.1000000000000001</v>
      </c>
      <c r="AJ65">
        <f>'Corrale Swamp'!AH65</f>
        <v>1500</v>
      </c>
      <c r="AK65">
        <f>'Corrale Swamp'!AI65</f>
        <v>281</v>
      </c>
      <c r="AL65">
        <f>'Corrale Swamp'!AJ65</f>
        <v>3</v>
      </c>
      <c r="AM65">
        <f>'Corrale Swamp'!AK65</f>
        <v>897</v>
      </c>
      <c r="AN65">
        <f>'Corrale Swamp'!AL65</f>
        <v>0</v>
      </c>
      <c r="AO65">
        <f>'Corrale Swamp'!AM65</f>
        <v>1592</v>
      </c>
      <c r="AP65">
        <f>'Corrale Swamp'!AN65</f>
        <v>953</v>
      </c>
      <c r="AQ65">
        <f>'Corrale Swamp'!AO65</f>
        <v>21</v>
      </c>
      <c r="AR65">
        <f>'Corrale Swamp'!AP65</f>
        <v>21303</v>
      </c>
      <c r="AS65">
        <f>'Corrale Swamp'!AQ65</f>
        <v>0.3</v>
      </c>
      <c r="AT65">
        <f>'Corrale Swamp'!AR65</f>
        <v>1740</v>
      </c>
      <c r="AU65">
        <f>'Corrale Swamp'!AS65</f>
        <v>1511</v>
      </c>
      <c r="AV65">
        <f>'Corrale Swamp'!AT65</f>
        <v>101</v>
      </c>
      <c r="AW65">
        <f>'Corrale Swamp'!AU65</f>
        <v>162449</v>
      </c>
      <c r="AX65">
        <f>'Corrale Swamp'!AV65</f>
        <v>2.6</v>
      </c>
    </row>
    <row r="66" spans="1:50">
      <c r="A66" t="str">
        <f>'Corrale Swamp'!A66</f>
        <v xml:space="preserve">/Users/christophermarjo/Documents/Python/Projects/data/bushfire Raman/Corrale Swamp/CS 15 (3) </v>
      </c>
      <c r="B66" t="s">
        <v>854</v>
      </c>
      <c r="C66">
        <v>15</v>
      </c>
      <c r="D66" t="str">
        <f>'Corrale Swamp'!B66</f>
        <v>29.42 counts</v>
      </c>
      <c r="E66">
        <f>'Corrale Swamp'!C66</f>
        <v>0.98536000000000001</v>
      </c>
      <c r="F66">
        <f>'Corrale Swamp'!D66</f>
        <v>1369</v>
      </c>
      <c r="G66">
        <f>'Corrale Swamp'!E66</f>
        <v>16065</v>
      </c>
      <c r="H66">
        <f>'Corrale Swamp'!F66</f>
        <v>312</v>
      </c>
      <c r="I66">
        <f>'Corrale Swamp'!G66</f>
        <v>5335407</v>
      </c>
      <c r="J66">
        <f>'Corrale Swamp'!H66</f>
        <v>66.2</v>
      </c>
      <c r="K66">
        <f>'Corrale Swamp'!I66</f>
        <v>1586</v>
      </c>
      <c r="L66">
        <f>'Corrale Swamp'!J66</f>
        <v>18727</v>
      </c>
      <c r="M66">
        <f>'Corrale Swamp'!K66</f>
        <v>114</v>
      </c>
      <c r="N66">
        <f>'Corrale Swamp'!L66</f>
        <v>2272507</v>
      </c>
      <c r="O66">
        <f>'Corrale Swamp'!M66</f>
        <v>28.2</v>
      </c>
      <c r="P66">
        <f>'Corrale Swamp'!N66</f>
        <v>1043</v>
      </c>
      <c r="Q66">
        <f>'Corrale Swamp'!O66</f>
        <v>615</v>
      </c>
      <c r="R66">
        <f>'Corrale Swamp'!P66</f>
        <v>63</v>
      </c>
      <c r="S66">
        <f>'Corrale Swamp'!Q66</f>
        <v>41243</v>
      </c>
      <c r="T66">
        <f>'Corrale Swamp'!R66</f>
        <v>0.5</v>
      </c>
      <c r="U66">
        <f>'Corrale Swamp'!S66</f>
        <v>1172</v>
      </c>
      <c r="V66">
        <f>'Corrale Swamp'!T66</f>
        <v>1</v>
      </c>
      <c r="W66">
        <f>'Corrale Swamp'!U66</f>
        <v>1</v>
      </c>
      <c r="X66">
        <f>'Corrale Swamp'!V66</f>
        <v>1</v>
      </c>
      <c r="Y66">
        <f>'Corrale Swamp'!W66</f>
        <v>0</v>
      </c>
      <c r="Z66">
        <f>'Corrale Swamp'!X66</f>
        <v>1270</v>
      </c>
      <c r="AA66">
        <f>'Corrale Swamp'!Y66</f>
        <v>1</v>
      </c>
      <c r="AB66">
        <f>'Corrale Swamp'!Z66</f>
        <v>1</v>
      </c>
      <c r="AC66">
        <f>'Corrale Swamp'!AA66</f>
        <v>1</v>
      </c>
      <c r="AD66">
        <f>'Corrale Swamp'!AB66</f>
        <v>0</v>
      </c>
      <c r="AE66">
        <f>'Corrale Swamp'!AC66</f>
        <v>1456</v>
      </c>
      <c r="AF66">
        <f>'Corrale Swamp'!AD66</f>
        <v>543</v>
      </c>
      <c r="AG66">
        <f>'Corrale Swamp'!AE66</f>
        <v>91</v>
      </c>
      <c r="AH66">
        <f>'Corrale Swamp'!AF66</f>
        <v>52599</v>
      </c>
      <c r="AI66">
        <f>'Corrale Swamp'!AG66</f>
        <v>0.7</v>
      </c>
      <c r="AJ66">
        <f>'Corrale Swamp'!AH66</f>
        <v>1480</v>
      </c>
      <c r="AK66">
        <f>'Corrale Swamp'!AI66</f>
        <v>435</v>
      </c>
      <c r="AL66">
        <f>'Corrale Swamp'!AJ66</f>
        <v>35</v>
      </c>
      <c r="AM66">
        <f>'Corrale Swamp'!AK66</f>
        <v>16207</v>
      </c>
      <c r="AN66">
        <f>'Corrale Swamp'!AL66</f>
        <v>0.2</v>
      </c>
      <c r="AO66">
        <f>'Corrale Swamp'!AM66</f>
        <v>1592</v>
      </c>
      <c r="AP66">
        <f>'Corrale Swamp'!AN66</f>
        <v>431</v>
      </c>
      <c r="AQ66">
        <f>'Corrale Swamp'!AO66</f>
        <v>27</v>
      </c>
      <c r="AR66">
        <f>'Corrale Swamp'!AP66</f>
        <v>12387</v>
      </c>
      <c r="AS66">
        <f>'Corrale Swamp'!AQ66</f>
        <v>0.2</v>
      </c>
      <c r="AT66">
        <f>'Corrale Swamp'!AR66</f>
        <v>1748</v>
      </c>
      <c r="AU66">
        <f>'Corrale Swamp'!AS66</f>
        <v>1805</v>
      </c>
      <c r="AV66">
        <f>'Corrale Swamp'!AT66</f>
        <v>171</v>
      </c>
      <c r="AW66">
        <f>'Corrale Swamp'!AU66</f>
        <v>328553</v>
      </c>
      <c r="AX66">
        <f>'Corrale Swamp'!AV66</f>
        <v>4.0999999999999996</v>
      </c>
    </row>
    <row r="67" spans="1:50">
      <c r="A67" t="str">
        <f>'Corrale Swamp'!A67</f>
        <v xml:space="preserve">/Users/christophermarjo/Documents/Python/Projects/data/bushfire Raman/Corrale Swamp/CS 15 (4) </v>
      </c>
      <c r="B67" t="s">
        <v>854</v>
      </c>
      <c r="C67">
        <v>15</v>
      </c>
      <c r="D67" t="str">
        <f>'Corrale Swamp'!B67</f>
        <v>23.44 counts</v>
      </c>
      <c r="E67">
        <f>'Corrale Swamp'!C67</f>
        <v>0.98744299999999996</v>
      </c>
      <c r="F67">
        <f>'Corrale Swamp'!D67</f>
        <v>1369</v>
      </c>
      <c r="G67">
        <f>'Corrale Swamp'!E67</f>
        <v>13205</v>
      </c>
      <c r="H67">
        <f>'Corrale Swamp'!F67</f>
        <v>306</v>
      </c>
      <c r="I67">
        <f>'Corrale Swamp'!G67</f>
        <v>4301224</v>
      </c>
      <c r="J67">
        <f>'Corrale Swamp'!H67</f>
        <v>63.9</v>
      </c>
      <c r="K67">
        <f>'Corrale Swamp'!I67</f>
        <v>1586</v>
      </c>
      <c r="L67">
        <f>'Corrale Swamp'!J67</f>
        <v>17189</v>
      </c>
      <c r="M67">
        <f>'Corrale Swamp'!K67</f>
        <v>112</v>
      </c>
      <c r="N67">
        <f>'Corrale Swamp'!L67</f>
        <v>2049278</v>
      </c>
      <c r="O67">
        <f>'Corrale Swamp'!M67</f>
        <v>30.4</v>
      </c>
      <c r="P67">
        <f>'Corrale Swamp'!N67</f>
        <v>1047</v>
      </c>
      <c r="Q67">
        <f>'Corrale Swamp'!O67</f>
        <v>411</v>
      </c>
      <c r="R67">
        <f>'Corrale Swamp'!P67</f>
        <v>61</v>
      </c>
      <c r="S67">
        <f>'Corrale Swamp'!Q67</f>
        <v>26687</v>
      </c>
      <c r="T67">
        <f>'Corrale Swamp'!R67</f>
        <v>0.4</v>
      </c>
      <c r="U67">
        <f>'Corrale Swamp'!S67</f>
        <v>1154</v>
      </c>
      <c r="V67">
        <f>'Corrale Swamp'!T67</f>
        <v>1</v>
      </c>
      <c r="W67">
        <f>'Corrale Swamp'!U67</f>
        <v>1</v>
      </c>
      <c r="X67">
        <f>'Corrale Swamp'!V67</f>
        <v>1</v>
      </c>
      <c r="Y67">
        <f>'Corrale Swamp'!W67</f>
        <v>0</v>
      </c>
      <c r="Z67">
        <f>'Corrale Swamp'!X67</f>
        <v>1270</v>
      </c>
      <c r="AA67">
        <f>'Corrale Swamp'!Y67</f>
        <v>1</v>
      </c>
      <c r="AB67">
        <f>'Corrale Swamp'!Z67</f>
        <v>1</v>
      </c>
      <c r="AC67">
        <f>'Corrale Swamp'!AA67</f>
        <v>1</v>
      </c>
      <c r="AD67">
        <f>'Corrale Swamp'!AB67</f>
        <v>0</v>
      </c>
      <c r="AE67">
        <f>'Corrale Swamp'!AC67</f>
        <v>1456</v>
      </c>
      <c r="AF67">
        <f>'Corrale Swamp'!AD67</f>
        <v>1045</v>
      </c>
      <c r="AG67">
        <f>'Corrale Swamp'!AE67</f>
        <v>79</v>
      </c>
      <c r="AH67">
        <f>'Corrale Swamp'!AF67</f>
        <v>87877</v>
      </c>
      <c r="AI67">
        <f>'Corrale Swamp'!AG67</f>
        <v>1.3</v>
      </c>
      <c r="AJ67">
        <f>'Corrale Swamp'!AH67</f>
        <v>1500</v>
      </c>
      <c r="AK67">
        <f>'Corrale Swamp'!AI67</f>
        <v>321</v>
      </c>
      <c r="AL67">
        <f>'Corrale Swamp'!AJ67</f>
        <v>31</v>
      </c>
      <c r="AM67">
        <f>'Corrale Swamp'!AK67</f>
        <v>10593</v>
      </c>
      <c r="AN67">
        <f>'Corrale Swamp'!AL67</f>
        <v>0.2</v>
      </c>
      <c r="AO67">
        <f>'Corrale Swamp'!AM67</f>
        <v>1598</v>
      </c>
      <c r="AP67">
        <f>'Corrale Swamp'!AN67</f>
        <v>905</v>
      </c>
      <c r="AQ67">
        <f>'Corrale Swamp'!AO67</f>
        <v>25</v>
      </c>
      <c r="AR67">
        <f>'Corrale Swamp'!AP67</f>
        <v>24084</v>
      </c>
      <c r="AS67">
        <f>'Corrale Swamp'!AQ67</f>
        <v>0.4</v>
      </c>
      <c r="AT67">
        <f>'Corrale Swamp'!AR67</f>
        <v>1742</v>
      </c>
      <c r="AU67">
        <f>'Corrale Swamp'!AS67</f>
        <v>1687</v>
      </c>
      <c r="AV67">
        <f>'Corrale Swamp'!AT67</f>
        <v>129</v>
      </c>
      <c r="AW67">
        <f>'Corrale Swamp'!AU67</f>
        <v>231653</v>
      </c>
      <c r="AX67">
        <f>'Corrale Swamp'!AV67</f>
        <v>3.4</v>
      </c>
    </row>
    <row r="68" spans="1:50">
      <c r="A68" t="str">
        <f>'Corrale Swamp'!A68</f>
        <v xml:space="preserve">/Users/christophermarjo/Documents/Python/Projects/data/bushfire Raman/Corrale Swamp/CS 15 (5) </v>
      </c>
      <c r="B68" t="s">
        <v>854</v>
      </c>
      <c r="C68">
        <v>15</v>
      </c>
      <c r="D68" t="str">
        <f>'Corrale Swamp'!B68</f>
        <v>42.13 counts</v>
      </c>
      <c r="E68">
        <f>'Corrale Swamp'!C68</f>
        <v>0.98209100000000005</v>
      </c>
      <c r="F68">
        <f>'Corrale Swamp'!D68</f>
        <v>1369</v>
      </c>
      <c r="G68">
        <f>'Corrale Swamp'!E68</f>
        <v>21819</v>
      </c>
      <c r="H68">
        <f>'Corrale Swamp'!F68</f>
        <v>312</v>
      </c>
      <c r="I68">
        <f>'Corrale Swamp'!G68</f>
        <v>7246389</v>
      </c>
      <c r="J68">
        <f>'Corrale Swamp'!H68</f>
        <v>68.2</v>
      </c>
      <c r="K68">
        <f>'Corrale Swamp'!I68</f>
        <v>1590</v>
      </c>
      <c r="L68">
        <f>'Corrale Swamp'!J68</f>
        <v>24573</v>
      </c>
      <c r="M68">
        <f>'Corrale Swamp'!K68</f>
        <v>104</v>
      </c>
      <c r="N68">
        <f>'Corrale Swamp'!L68</f>
        <v>2720343</v>
      </c>
      <c r="O68">
        <f>'Corrale Swamp'!M68</f>
        <v>25.6</v>
      </c>
      <c r="P68">
        <f>'Corrale Swamp'!N68</f>
        <v>1033</v>
      </c>
      <c r="Q68">
        <f>'Corrale Swamp'!O68</f>
        <v>847</v>
      </c>
      <c r="R68">
        <f>'Corrale Swamp'!P68</f>
        <v>67</v>
      </c>
      <c r="S68">
        <f>'Corrale Swamp'!Q68</f>
        <v>60407</v>
      </c>
      <c r="T68">
        <f>'Corrale Swamp'!R68</f>
        <v>0.6</v>
      </c>
      <c r="U68">
        <f>'Corrale Swamp'!S68</f>
        <v>1172</v>
      </c>
      <c r="V68">
        <f>'Corrale Swamp'!T68</f>
        <v>1</v>
      </c>
      <c r="W68">
        <f>'Corrale Swamp'!U68</f>
        <v>1</v>
      </c>
      <c r="X68">
        <f>'Corrale Swamp'!V68</f>
        <v>1</v>
      </c>
      <c r="Y68">
        <f>'Corrale Swamp'!W68</f>
        <v>0</v>
      </c>
      <c r="Z68">
        <f>'Corrale Swamp'!X68</f>
        <v>1270</v>
      </c>
      <c r="AA68">
        <f>'Corrale Swamp'!Y68</f>
        <v>1</v>
      </c>
      <c r="AB68">
        <f>'Corrale Swamp'!Z68</f>
        <v>1</v>
      </c>
      <c r="AC68">
        <f>'Corrale Swamp'!AA68</f>
        <v>1</v>
      </c>
      <c r="AD68">
        <f>'Corrale Swamp'!AB68</f>
        <v>0</v>
      </c>
      <c r="AE68">
        <f>'Corrale Swamp'!AC68</f>
        <v>1456</v>
      </c>
      <c r="AF68">
        <f>'Corrale Swamp'!AD68</f>
        <v>397</v>
      </c>
      <c r="AG68">
        <f>'Corrale Swamp'!AE68</f>
        <v>103</v>
      </c>
      <c r="AH68">
        <f>'Corrale Swamp'!AF68</f>
        <v>43527</v>
      </c>
      <c r="AI68">
        <f>'Corrale Swamp'!AG68</f>
        <v>0.4</v>
      </c>
      <c r="AJ68">
        <f>'Corrale Swamp'!AH68</f>
        <v>1504</v>
      </c>
      <c r="AK68">
        <f>'Corrale Swamp'!AI68</f>
        <v>939</v>
      </c>
      <c r="AL68">
        <f>'Corrale Swamp'!AJ68</f>
        <v>39</v>
      </c>
      <c r="AM68">
        <f>'Corrale Swamp'!AK68</f>
        <v>38982</v>
      </c>
      <c r="AN68">
        <f>'Corrale Swamp'!AL68</f>
        <v>0.4</v>
      </c>
      <c r="AO68">
        <f>'Corrale Swamp'!AM68</f>
        <v>1592</v>
      </c>
      <c r="AP68">
        <f>'Corrale Swamp'!AN68</f>
        <v>937</v>
      </c>
      <c r="AQ68">
        <f>'Corrale Swamp'!AO68</f>
        <v>3</v>
      </c>
      <c r="AR68">
        <f>'Corrale Swamp'!AP68</f>
        <v>2992</v>
      </c>
      <c r="AS68">
        <f>'Corrale Swamp'!AQ68</f>
        <v>0</v>
      </c>
      <c r="AT68">
        <f>'Corrale Swamp'!AR68</f>
        <v>1746</v>
      </c>
      <c r="AU68">
        <f>'Corrale Swamp'!AS68</f>
        <v>2599</v>
      </c>
      <c r="AV68">
        <f>'Corrale Swamp'!AT68</f>
        <v>187</v>
      </c>
      <c r="AW68">
        <f>'Corrale Swamp'!AU68</f>
        <v>517345</v>
      </c>
      <c r="AX68">
        <f>'Corrale Swamp'!AV68</f>
        <v>4.9000000000000004</v>
      </c>
    </row>
    <row r="69" spans="1:50">
      <c r="A69" t="str">
        <f>'Corrale Swamp'!A69</f>
        <v>/Users/christophermarjo/Documents/Python/Projects/data/bushfire Raman/Corrale Swamp/CS 15 (6)</v>
      </c>
      <c r="B69" t="s">
        <v>854</v>
      </c>
      <c r="C69">
        <v>15</v>
      </c>
      <c r="D69" t="str">
        <f>'Corrale Swamp'!B69</f>
        <v>40.13 counts</v>
      </c>
      <c r="E69">
        <f>'Corrale Swamp'!C69</f>
        <v>0.98251200000000005</v>
      </c>
      <c r="F69">
        <f>'Corrale Swamp'!D69</f>
        <v>1369</v>
      </c>
      <c r="G69">
        <f>'Corrale Swamp'!E69</f>
        <v>20469</v>
      </c>
      <c r="H69">
        <f>'Corrale Swamp'!F69</f>
        <v>322</v>
      </c>
      <c r="I69">
        <f>'Corrale Swamp'!G69</f>
        <v>7015921</v>
      </c>
      <c r="J69">
        <f>'Corrale Swamp'!H69</f>
        <v>68.5</v>
      </c>
      <c r="K69">
        <f>'Corrale Swamp'!I69</f>
        <v>1588</v>
      </c>
      <c r="L69">
        <f>'Corrale Swamp'!J69</f>
        <v>23845</v>
      </c>
      <c r="M69">
        <f>'Corrale Swamp'!K69</f>
        <v>104</v>
      </c>
      <c r="N69">
        <f>'Corrale Swamp'!L69</f>
        <v>2639751</v>
      </c>
      <c r="O69">
        <f>'Corrale Swamp'!M69</f>
        <v>25.8</v>
      </c>
      <c r="P69">
        <f>'Corrale Swamp'!N69</f>
        <v>1025</v>
      </c>
      <c r="Q69">
        <f>'Corrale Swamp'!O69</f>
        <v>995</v>
      </c>
      <c r="R69">
        <f>'Corrale Swamp'!P69</f>
        <v>61</v>
      </c>
      <c r="S69">
        <f>'Corrale Swamp'!Q69</f>
        <v>64608</v>
      </c>
      <c r="T69">
        <f>'Corrale Swamp'!R69</f>
        <v>0.6</v>
      </c>
      <c r="U69">
        <f>'Corrale Swamp'!S69</f>
        <v>1172</v>
      </c>
      <c r="V69">
        <f>'Corrale Swamp'!T69</f>
        <v>1</v>
      </c>
      <c r="W69">
        <f>'Corrale Swamp'!U69</f>
        <v>1</v>
      </c>
      <c r="X69">
        <f>'Corrale Swamp'!V69</f>
        <v>1</v>
      </c>
      <c r="Y69">
        <f>'Corrale Swamp'!W69</f>
        <v>0</v>
      </c>
      <c r="Z69">
        <f>'Corrale Swamp'!X69</f>
        <v>1270</v>
      </c>
      <c r="AA69">
        <f>'Corrale Swamp'!Y69</f>
        <v>1</v>
      </c>
      <c r="AB69">
        <f>'Corrale Swamp'!Z69</f>
        <v>1</v>
      </c>
      <c r="AC69">
        <f>'Corrale Swamp'!AA69</f>
        <v>1</v>
      </c>
      <c r="AD69">
        <f>'Corrale Swamp'!AB69</f>
        <v>0</v>
      </c>
      <c r="AE69">
        <f>'Corrale Swamp'!AC69</f>
        <v>1456</v>
      </c>
      <c r="AF69">
        <f>'Corrale Swamp'!AD69</f>
        <v>277</v>
      </c>
      <c r="AG69">
        <f>'Corrale Swamp'!AE69</f>
        <v>113</v>
      </c>
      <c r="AH69">
        <f>'Corrale Swamp'!AF69</f>
        <v>33319</v>
      </c>
      <c r="AI69">
        <f>'Corrale Swamp'!AG69</f>
        <v>0.3</v>
      </c>
      <c r="AJ69">
        <f>'Corrale Swamp'!AH69</f>
        <v>1492</v>
      </c>
      <c r="AK69">
        <f>'Corrale Swamp'!AI69</f>
        <v>979</v>
      </c>
      <c r="AL69">
        <f>'Corrale Swamp'!AJ69</f>
        <v>43</v>
      </c>
      <c r="AM69">
        <f>'Corrale Swamp'!AK69</f>
        <v>44811</v>
      </c>
      <c r="AN69">
        <f>'Corrale Swamp'!AL69</f>
        <v>0.4</v>
      </c>
      <c r="AO69">
        <f>'Corrale Swamp'!AM69</f>
        <v>1598</v>
      </c>
      <c r="AP69">
        <f>'Corrale Swamp'!AN69</f>
        <v>255</v>
      </c>
      <c r="AQ69">
        <f>'Corrale Swamp'!AO69</f>
        <v>21</v>
      </c>
      <c r="AR69">
        <f>'Corrale Swamp'!AP69</f>
        <v>5700</v>
      </c>
      <c r="AS69">
        <f>'Corrale Swamp'!AQ69</f>
        <v>0.1</v>
      </c>
      <c r="AT69">
        <f>'Corrale Swamp'!AR69</f>
        <v>1742</v>
      </c>
      <c r="AU69">
        <f>'Corrale Swamp'!AS69</f>
        <v>2469</v>
      </c>
      <c r="AV69">
        <f>'Corrale Swamp'!AT69</f>
        <v>169</v>
      </c>
      <c r="AW69">
        <f>'Corrale Swamp'!AU69</f>
        <v>444161</v>
      </c>
      <c r="AX69">
        <f>'Corrale Swamp'!AV69</f>
        <v>4.3</v>
      </c>
    </row>
    <row r="70" spans="1:50">
      <c r="A70" t="str">
        <f>'Corrale Swamp'!A70</f>
        <v>/Users/christophermarjo/Documents/Python/Projects/data/bushfire Raman/Corrale Swamp/CS 18.5 (1)</v>
      </c>
      <c r="B70" t="s">
        <v>854</v>
      </c>
      <c r="C70">
        <v>18.5</v>
      </c>
      <c r="D70" t="str">
        <f>'Corrale Swamp'!B70</f>
        <v>16.62 counts</v>
      </c>
      <c r="E70">
        <f>'Corrale Swamp'!C70</f>
        <v>0.984541</v>
      </c>
      <c r="F70">
        <f>'Corrale Swamp'!D70</f>
        <v>1369</v>
      </c>
      <c r="G70">
        <f>'Corrale Swamp'!E70</f>
        <v>8675</v>
      </c>
      <c r="H70">
        <f>'Corrale Swamp'!F70</f>
        <v>318</v>
      </c>
      <c r="I70">
        <f>'Corrale Swamp'!G70</f>
        <v>2936492</v>
      </c>
      <c r="J70">
        <f>'Corrale Swamp'!H70</f>
        <v>67.2</v>
      </c>
      <c r="K70">
        <f>'Corrale Swamp'!I70</f>
        <v>1590</v>
      </c>
      <c r="L70">
        <f>'Corrale Swamp'!J70</f>
        <v>11211</v>
      </c>
      <c r="M70">
        <f>'Corrale Swamp'!K70</f>
        <v>100</v>
      </c>
      <c r="N70">
        <f>'Corrale Swamp'!L70</f>
        <v>1193374</v>
      </c>
      <c r="O70">
        <f>'Corrale Swamp'!M70</f>
        <v>27.3</v>
      </c>
      <c r="P70">
        <f>'Corrale Swamp'!N70</f>
        <v>1017</v>
      </c>
      <c r="Q70">
        <f>'Corrale Swamp'!O70</f>
        <v>295</v>
      </c>
      <c r="R70">
        <f>'Corrale Swamp'!P70</f>
        <v>61</v>
      </c>
      <c r="S70">
        <f>'Corrale Swamp'!Q70</f>
        <v>19155</v>
      </c>
      <c r="T70">
        <f>'Corrale Swamp'!R70</f>
        <v>0.4</v>
      </c>
      <c r="U70">
        <f>'Corrale Swamp'!S70</f>
        <v>1172</v>
      </c>
      <c r="V70">
        <f>'Corrale Swamp'!T70</f>
        <v>1</v>
      </c>
      <c r="W70">
        <f>'Corrale Swamp'!U70</f>
        <v>1</v>
      </c>
      <c r="X70">
        <f>'Corrale Swamp'!V70</f>
        <v>1</v>
      </c>
      <c r="Y70">
        <f>'Corrale Swamp'!W70</f>
        <v>0</v>
      </c>
      <c r="Z70">
        <f>'Corrale Swamp'!X70</f>
        <v>1270</v>
      </c>
      <c r="AA70">
        <f>'Corrale Swamp'!Y70</f>
        <v>1</v>
      </c>
      <c r="AB70">
        <f>'Corrale Swamp'!Z70</f>
        <v>1</v>
      </c>
      <c r="AC70">
        <f>'Corrale Swamp'!AA70</f>
        <v>1</v>
      </c>
      <c r="AD70">
        <f>'Corrale Swamp'!AB70</f>
        <v>0</v>
      </c>
      <c r="AE70">
        <f>'Corrale Swamp'!AC70</f>
        <v>1456</v>
      </c>
      <c r="AF70">
        <f>'Corrale Swamp'!AD70</f>
        <v>147</v>
      </c>
      <c r="AG70">
        <f>'Corrale Swamp'!AE70</f>
        <v>125</v>
      </c>
      <c r="AH70">
        <f>'Corrale Swamp'!AF70</f>
        <v>19560</v>
      </c>
      <c r="AI70">
        <f>'Corrale Swamp'!AG70</f>
        <v>0.4</v>
      </c>
      <c r="AJ70">
        <f>'Corrale Swamp'!AH70</f>
        <v>1500</v>
      </c>
      <c r="AK70">
        <f>'Corrale Swamp'!AI70</f>
        <v>489</v>
      </c>
      <c r="AL70">
        <f>'Corrale Swamp'!AJ70</f>
        <v>29</v>
      </c>
      <c r="AM70">
        <f>'Corrale Swamp'!AK70</f>
        <v>15095</v>
      </c>
      <c r="AN70">
        <f>'Corrale Swamp'!AL70</f>
        <v>0.3</v>
      </c>
      <c r="AO70">
        <f>'Corrale Swamp'!AM70</f>
        <v>1592</v>
      </c>
      <c r="AP70">
        <f>'Corrale Swamp'!AN70</f>
        <v>363</v>
      </c>
      <c r="AQ70">
        <f>'Corrale Swamp'!AO70</f>
        <v>27</v>
      </c>
      <c r="AR70">
        <f>'Corrale Swamp'!AP70</f>
        <v>10433</v>
      </c>
      <c r="AS70">
        <f>'Corrale Swamp'!AQ70</f>
        <v>0.2</v>
      </c>
      <c r="AT70">
        <f>'Corrale Swamp'!AR70</f>
        <v>1734</v>
      </c>
      <c r="AU70">
        <f>'Corrale Swamp'!AS70</f>
        <v>1085</v>
      </c>
      <c r="AV70">
        <f>'Corrale Swamp'!AT70</f>
        <v>151</v>
      </c>
      <c r="AW70">
        <f>'Corrale Swamp'!AU70</f>
        <v>174397</v>
      </c>
      <c r="AX70">
        <f>'Corrale Swamp'!AV70</f>
        <v>4</v>
      </c>
    </row>
    <row r="71" spans="1:50">
      <c r="A71" t="str">
        <f>'Corrale Swamp'!A71</f>
        <v>/Users/christophermarjo/Documents/Python/Projects/data/bushfire Raman/Corrale Swamp/CS 18.5 (2)</v>
      </c>
      <c r="B71" t="s">
        <v>854</v>
      </c>
      <c r="C71">
        <v>18.5</v>
      </c>
      <c r="D71" t="str">
        <f>'Corrale Swamp'!B71</f>
        <v>17.19 counts</v>
      </c>
      <c r="E71">
        <f>'Corrale Swamp'!C71</f>
        <v>0.98412699999999997</v>
      </c>
      <c r="F71">
        <f>'Corrale Swamp'!D71</f>
        <v>1367</v>
      </c>
      <c r="G71">
        <f>'Corrale Swamp'!E71</f>
        <v>8845</v>
      </c>
      <c r="H71">
        <f>'Corrale Swamp'!F71</f>
        <v>322</v>
      </c>
      <c r="I71">
        <f>'Corrale Swamp'!G71</f>
        <v>3031698</v>
      </c>
      <c r="J71">
        <f>'Corrale Swamp'!H71</f>
        <v>67.2</v>
      </c>
      <c r="K71">
        <f>'Corrale Swamp'!I71</f>
        <v>1590</v>
      </c>
      <c r="L71">
        <f>'Corrale Swamp'!J71</f>
        <v>11271</v>
      </c>
      <c r="M71">
        <f>'Corrale Swamp'!K71</f>
        <v>100</v>
      </c>
      <c r="N71">
        <f>'Corrale Swamp'!L71</f>
        <v>1199761</v>
      </c>
      <c r="O71">
        <f>'Corrale Swamp'!M71</f>
        <v>26.6</v>
      </c>
      <c r="P71">
        <f>'Corrale Swamp'!N71</f>
        <v>1031</v>
      </c>
      <c r="Q71">
        <f>'Corrale Swamp'!O71</f>
        <v>281</v>
      </c>
      <c r="R71">
        <f>'Corrale Swamp'!P71</f>
        <v>67</v>
      </c>
      <c r="S71">
        <f>'Corrale Swamp'!Q71</f>
        <v>20041</v>
      </c>
      <c r="T71">
        <f>'Corrale Swamp'!R71</f>
        <v>0.4</v>
      </c>
      <c r="U71">
        <f>'Corrale Swamp'!S71</f>
        <v>1172</v>
      </c>
      <c r="V71">
        <f>'Corrale Swamp'!T71</f>
        <v>1</v>
      </c>
      <c r="W71">
        <f>'Corrale Swamp'!U71</f>
        <v>1</v>
      </c>
      <c r="X71">
        <f>'Corrale Swamp'!V71</f>
        <v>1</v>
      </c>
      <c r="Y71">
        <f>'Corrale Swamp'!W71</f>
        <v>0</v>
      </c>
      <c r="Z71">
        <f>'Corrale Swamp'!X71</f>
        <v>1270</v>
      </c>
      <c r="AA71">
        <f>'Corrale Swamp'!Y71</f>
        <v>1</v>
      </c>
      <c r="AB71">
        <f>'Corrale Swamp'!Z71</f>
        <v>1</v>
      </c>
      <c r="AC71">
        <f>'Corrale Swamp'!AA71</f>
        <v>1</v>
      </c>
      <c r="AD71">
        <f>'Corrale Swamp'!AB71</f>
        <v>0</v>
      </c>
      <c r="AE71">
        <f>'Corrale Swamp'!AC71</f>
        <v>1456</v>
      </c>
      <c r="AF71">
        <f>'Corrale Swamp'!AD71</f>
        <v>29</v>
      </c>
      <c r="AG71">
        <f>'Corrale Swamp'!AE71</f>
        <v>149</v>
      </c>
      <c r="AH71">
        <f>'Corrale Swamp'!AF71</f>
        <v>4600</v>
      </c>
      <c r="AI71">
        <f>'Corrale Swamp'!AG71</f>
        <v>0.1</v>
      </c>
      <c r="AJ71">
        <f>'Corrale Swamp'!AH71</f>
        <v>1500</v>
      </c>
      <c r="AK71">
        <f>'Corrale Swamp'!AI71</f>
        <v>351</v>
      </c>
      <c r="AL71">
        <f>'Corrale Swamp'!AJ71</f>
        <v>39</v>
      </c>
      <c r="AM71">
        <f>'Corrale Swamp'!AK71</f>
        <v>14571</v>
      </c>
      <c r="AN71">
        <f>'Corrale Swamp'!AL71</f>
        <v>0.3</v>
      </c>
      <c r="AO71">
        <f>'Corrale Swamp'!AM71</f>
        <v>1596</v>
      </c>
      <c r="AP71">
        <f>'Corrale Swamp'!AN71</f>
        <v>957</v>
      </c>
      <c r="AQ71">
        <f>'Corrale Swamp'!AO71</f>
        <v>31</v>
      </c>
      <c r="AR71">
        <f>'Corrale Swamp'!AP71</f>
        <v>31580</v>
      </c>
      <c r="AS71">
        <f>'Corrale Swamp'!AQ71</f>
        <v>0.7</v>
      </c>
      <c r="AT71">
        <f>'Corrale Swamp'!AR71</f>
        <v>1744</v>
      </c>
      <c r="AU71">
        <f>'Corrale Swamp'!AS71</f>
        <v>1077</v>
      </c>
      <c r="AV71">
        <f>'Corrale Swamp'!AT71</f>
        <v>181</v>
      </c>
      <c r="AW71">
        <f>'Corrale Swamp'!AU71</f>
        <v>207504</v>
      </c>
      <c r="AX71">
        <f>'Corrale Swamp'!AV71</f>
        <v>4.5999999999999996</v>
      </c>
    </row>
    <row r="72" spans="1:50">
      <c r="A72" t="str">
        <f>'Corrale Swamp'!A72</f>
        <v>/Users/christophermarjo/Documents/Python/Projects/data/bushfire Raman/Corrale Swamp/CS 18.5 (3)</v>
      </c>
      <c r="B72" t="s">
        <v>854</v>
      </c>
      <c r="C72">
        <v>18.5</v>
      </c>
      <c r="D72" t="str">
        <f>'Corrale Swamp'!B72</f>
        <v>10.48 counts</v>
      </c>
      <c r="E72">
        <f>'Corrale Swamp'!C72</f>
        <v>0.98468100000000003</v>
      </c>
      <c r="F72">
        <f>'Corrale Swamp'!D72</f>
        <v>1369</v>
      </c>
      <c r="G72">
        <f>'Corrale Swamp'!E72</f>
        <v>5445</v>
      </c>
      <c r="H72">
        <f>'Corrale Swamp'!F72</f>
        <v>320</v>
      </c>
      <c r="I72">
        <f>'Corrale Swamp'!G72</f>
        <v>1854727</v>
      </c>
      <c r="J72">
        <f>'Corrale Swamp'!H72</f>
        <v>67.2</v>
      </c>
      <c r="K72">
        <f>'Corrale Swamp'!I72</f>
        <v>1590</v>
      </c>
      <c r="L72">
        <f>'Corrale Swamp'!J72</f>
        <v>6951</v>
      </c>
      <c r="M72">
        <f>'Corrale Swamp'!K72</f>
        <v>100</v>
      </c>
      <c r="N72">
        <f>'Corrale Swamp'!L72</f>
        <v>739911</v>
      </c>
      <c r="O72">
        <f>'Corrale Swamp'!M72</f>
        <v>26.8</v>
      </c>
      <c r="P72">
        <f>'Corrale Swamp'!N72</f>
        <v>1035</v>
      </c>
      <c r="Q72">
        <f>'Corrale Swamp'!O72</f>
        <v>177</v>
      </c>
      <c r="R72">
        <f>'Corrale Swamp'!P72</f>
        <v>67</v>
      </c>
      <c r="S72">
        <f>'Corrale Swamp'!Q72</f>
        <v>12624</v>
      </c>
      <c r="T72">
        <f>'Corrale Swamp'!R72</f>
        <v>0.5</v>
      </c>
      <c r="U72">
        <f>'Corrale Swamp'!S72</f>
        <v>1172</v>
      </c>
      <c r="V72">
        <f>'Corrale Swamp'!T72</f>
        <v>1</v>
      </c>
      <c r="W72">
        <f>'Corrale Swamp'!U72</f>
        <v>1</v>
      </c>
      <c r="X72">
        <f>'Corrale Swamp'!V72</f>
        <v>1</v>
      </c>
      <c r="Y72">
        <f>'Corrale Swamp'!W72</f>
        <v>0</v>
      </c>
      <c r="Z72">
        <f>'Corrale Swamp'!X72</f>
        <v>1270</v>
      </c>
      <c r="AA72">
        <f>'Corrale Swamp'!Y72</f>
        <v>1</v>
      </c>
      <c r="AB72">
        <f>'Corrale Swamp'!Z72</f>
        <v>1</v>
      </c>
      <c r="AC72">
        <f>'Corrale Swamp'!AA72</f>
        <v>1</v>
      </c>
      <c r="AD72">
        <f>'Corrale Swamp'!AB72</f>
        <v>0</v>
      </c>
      <c r="AE72">
        <f>'Corrale Swamp'!AC72</f>
        <v>1456</v>
      </c>
      <c r="AF72">
        <f>'Corrale Swamp'!AD72</f>
        <v>55</v>
      </c>
      <c r="AG72">
        <f>'Corrale Swamp'!AE72</f>
        <v>137</v>
      </c>
      <c r="AH72">
        <f>'Corrale Swamp'!AF72</f>
        <v>8021</v>
      </c>
      <c r="AI72">
        <f>'Corrale Swamp'!AG72</f>
        <v>0.3</v>
      </c>
      <c r="AJ72">
        <f>'Corrale Swamp'!AH72</f>
        <v>1500</v>
      </c>
      <c r="AK72">
        <f>'Corrale Swamp'!AI72</f>
        <v>195</v>
      </c>
      <c r="AL72">
        <f>'Corrale Swamp'!AJ72</f>
        <v>37</v>
      </c>
      <c r="AM72">
        <f>'Corrale Swamp'!AK72</f>
        <v>7680</v>
      </c>
      <c r="AN72">
        <f>'Corrale Swamp'!AL72</f>
        <v>0.3</v>
      </c>
      <c r="AO72">
        <f>'Corrale Swamp'!AM72</f>
        <v>1598</v>
      </c>
      <c r="AP72">
        <f>'Corrale Swamp'!AN72</f>
        <v>759</v>
      </c>
      <c r="AQ72">
        <f>'Corrale Swamp'!AO72</f>
        <v>29</v>
      </c>
      <c r="AR72">
        <f>'Corrale Swamp'!AP72</f>
        <v>23430</v>
      </c>
      <c r="AS72">
        <f>'Corrale Swamp'!AQ72</f>
        <v>0.8</v>
      </c>
      <c r="AT72">
        <f>'Corrale Swamp'!AR72</f>
        <v>1748</v>
      </c>
      <c r="AU72">
        <f>'Corrale Swamp'!AS72</f>
        <v>573</v>
      </c>
      <c r="AV72">
        <f>'Corrale Swamp'!AT72</f>
        <v>187</v>
      </c>
      <c r="AW72">
        <f>'Corrale Swamp'!AU72</f>
        <v>114059</v>
      </c>
      <c r="AX72">
        <f>'Corrale Swamp'!AV72</f>
        <v>4.0999999999999996</v>
      </c>
    </row>
    <row r="73" spans="1:50">
      <c r="A73" t="str">
        <f>'Corrale Swamp'!A73</f>
        <v>/Users/christophermarjo/Documents/Python/Projects/data/bushfire Raman/Corrale Swamp/CS 18.5 (4)</v>
      </c>
      <c r="B73" t="s">
        <v>854</v>
      </c>
      <c r="C73">
        <v>18.5</v>
      </c>
      <c r="D73" t="str">
        <f>'Corrale Swamp'!B73</f>
        <v>7.74 counts</v>
      </c>
      <c r="E73">
        <f>'Corrale Swamp'!C73</f>
        <v>0.98586799999999997</v>
      </c>
      <c r="F73">
        <f>'Corrale Swamp'!D73</f>
        <v>1369</v>
      </c>
      <c r="G73">
        <f>'Corrale Swamp'!E73</f>
        <v>4125</v>
      </c>
      <c r="H73">
        <f>'Corrale Swamp'!F73</f>
        <v>310</v>
      </c>
      <c r="I73">
        <f>'Corrale Swamp'!G73</f>
        <v>1361187</v>
      </c>
      <c r="J73">
        <f>'Corrale Swamp'!H73</f>
        <v>65.900000000000006</v>
      </c>
      <c r="K73">
        <f>'Corrale Swamp'!I73</f>
        <v>1588</v>
      </c>
      <c r="L73">
        <f>'Corrale Swamp'!J73</f>
        <v>5517</v>
      </c>
      <c r="M73">
        <f>'Corrale Swamp'!K73</f>
        <v>104</v>
      </c>
      <c r="N73">
        <f>'Corrale Swamp'!L73</f>
        <v>610757</v>
      </c>
      <c r="O73">
        <f>'Corrale Swamp'!M73</f>
        <v>29.6</v>
      </c>
      <c r="P73">
        <f>'Corrale Swamp'!N73</f>
        <v>1021</v>
      </c>
      <c r="Q73">
        <f>'Corrale Swamp'!O73</f>
        <v>103</v>
      </c>
      <c r="R73">
        <f>'Corrale Swamp'!P73</f>
        <v>57</v>
      </c>
      <c r="S73">
        <f>'Corrale Swamp'!Q73</f>
        <v>6249</v>
      </c>
      <c r="T73">
        <f>'Corrale Swamp'!R73</f>
        <v>0.3</v>
      </c>
      <c r="U73">
        <f>'Corrale Swamp'!S73</f>
        <v>1176</v>
      </c>
      <c r="V73">
        <f>'Corrale Swamp'!T73</f>
        <v>95</v>
      </c>
      <c r="W73">
        <f>'Corrale Swamp'!U73</f>
        <v>1</v>
      </c>
      <c r="X73">
        <f>'Corrale Swamp'!V73</f>
        <v>101</v>
      </c>
      <c r="Y73">
        <f>'Corrale Swamp'!W73</f>
        <v>0</v>
      </c>
      <c r="Z73">
        <f>'Corrale Swamp'!X73</f>
        <v>1270</v>
      </c>
      <c r="AA73">
        <f>'Corrale Swamp'!Y73</f>
        <v>1</v>
      </c>
      <c r="AB73">
        <f>'Corrale Swamp'!Z73</f>
        <v>1</v>
      </c>
      <c r="AC73">
        <f>'Corrale Swamp'!AA73</f>
        <v>1</v>
      </c>
      <c r="AD73">
        <f>'Corrale Swamp'!AB73</f>
        <v>0</v>
      </c>
      <c r="AE73">
        <f>'Corrale Swamp'!AC73</f>
        <v>1456</v>
      </c>
      <c r="AF73">
        <f>'Corrale Swamp'!AD73</f>
        <v>53</v>
      </c>
      <c r="AG73">
        <f>'Corrale Swamp'!AE73</f>
        <v>109</v>
      </c>
      <c r="AH73">
        <f>'Corrale Swamp'!AF73</f>
        <v>6149</v>
      </c>
      <c r="AI73">
        <f>'Corrale Swamp'!AG73</f>
        <v>0.3</v>
      </c>
      <c r="AJ73">
        <f>'Corrale Swamp'!AH73</f>
        <v>1484</v>
      </c>
      <c r="AK73">
        <f>'Corrale Swamp'!AI73</f>
        <v>267</v>
      </c>
      <c r="AL73">
        <f>'Corrale Swamp'!AJ73</f>
        <v>51</v>
      </c>
      <c r="AM73">
        <f>'Corrale Swamp'!AK73</f>
        <v>14495</v>
      </c>
      <c r="AN73">
        <f>'Corrale Swamp'!AL73</f>
        <v>0.7</v>
      </c>
      <c r="AO73">
        <f>'Corrale Swamp'!AM73</f>
        <v>1598</v>
      </c>
      <c r="AP73">
        <f>'Corrale Swamp'!AN73</f>
        <v>303</v>
      </c>
      <c r="AQ73">
        <f>'Corrale Swamp'!AO73</f>
        <v>19</v>
      </c>
      <c r="AR73">
        <f>'Corrale Swamp'!AP73</f>
        <v>6128</v>
      </c>
      <c r="AS73">
        <f>'Corrale Swamp'!AQ73</f>
        <v>0.3</v>
      </c>
      <c r="AT73">
        <f>'Corrale Swamp'!AR73</f>
        <v>1732</v>
      </c>
      <c r="AU73">
        <f>'Corrale Swamp'!AS73</f>
        <v>517</v>
      </c>
      <c r="AV73">
        <f>'Corrale Swamp'!AT73</f>
        <v>111</v>
      </c>
      <c r="AW73">
        <f>'Corrale Swamp'!AU73</f>
        <v>61087</v>
      </c>
      <c r="AX73">
        <f>'Corrale Swamp'!AV73</f>
        <v>3</v>
      </c>
    </row>
    <row r="74" spans="1:50">
      <c r="A74" t="str">
        <f>'Corrale Swamp'!A74</f>
        <v>/Users/christophermarjo/Documents/Python/Projects/data/bushfire Raman/Corrale Swamp/CS 18.5 (5)</v>
      </c>
      <c r="B74" t="s">
        <v>854</v>
      </c>
      <c r="C74">
        <v>18.5</v>
      </c>
      <c r="D74" t="str">
        <f>'Corrale Swamp'!B74</f>
        <v>10.91 counts</v>
      </c>
      <c r="E74">
        <f>'Corrale Swamp'!C74</f>
        <v>0.98684799999999995</v>
      </c>
      <c r="F74">
        <f>'Corrale Swamp'!D74</f>
        <v>1369</v>
      </c>
      <c r="G74">
        <f>'Corrale Swamp'!E74</f>
        <v>6175</v>
      </c>
      <c r="H74">
        <f>'Corrale Swamp'!F74</f>
        <v>302</v>
      </c>
      <c r="I74">
        <f>'Corrale Swamp'!G74</f>
        <v>1985071</v>
      </c>
      <c r="J74">
        <f>'Corrale Swamp'!H74</f>
        <v>64.5</v>
      </c>
      <c r="K74">
        <f>'Corrale Swamp'!I74</f>
        <v>1592</v>
      </c>
      <c r="L74">
        <f>'Corrale Swamp'!J74</f>
        <v>8287</v>
      </c>
      <c r="M74">
        <f>'Corrale Swamp'!K74</f>
        <v>100</v>
      </c>
      <c r="N74">
        <f>'Corrale Swamp'!L74</f>
        <v>882124</v>
      </c>
      <c r="O74">
        <f>'Corrale Swamp'!M74</f>
        <v>28.7</v>
      </c>
      <c r="P74">
        <f>'Corrale Swamp'!N74</f>
        <v>1045</v>
      </c>
      <c r="Q74">
        <f>'Corrale Swamp'!O74</f>
        <v>227</v>
      </c>
      <c r="R74">
        <f>'Corrale Swamp'!P74</f>
        <v>73</v>
      </c>
      <c r="S74">
        <f>'Corrale Swamp'!Q74</f>
        <v>17639</v>
      </c>
      <c r="T74">
        <f>'Corrale Swamp'!R74</f>
        <v>0.6</v>
      </c>
      <c r="U74">
        <f>'Corrale Swamp'!S74</f>
        <v>1170</v>
      </c>
      <c r="V74">
        <f>'Corrale Swamp'!T74</f>
        <v>49</v>
      </c>
      <c r="W74">
        <f>'Corrale Swamp'!U74</f>
        <v>1</v>
      </c>
      <c r="X74">
        <f>'Corrale Swamp'!V74</f>
        <v>52</v>
      </c>
      <c r="Y74">
        <f>'Corrale Swamp'!W74</f>
        <v>0</v>
      </c>
      <c r="Z74">
        <f>'Corrale Swamp'!X74</f>
        <v>1270</v>
      </c>
      <c r="AA74">
        <f>'Corrale Swamp'!Y74</f>
        <v>1</v>
      </c>
      <c r="AB74">
        <f>'Corrale Swamp'!Z74</f>
        <v>1</v>
      </c>
      <c r="AC74">
        <f>'Corrale Swamp'!AA74</f>
        <v>1</v>
      </c>
      <c r="AD74">
        <f>'Corrale Swamp'!AB74</f>
        <v>0</v>
      </c>
      <c r="AE74">
        <f>'Corrale Swamp'!AC74</f>
        <v>1456</v>
      </c>
      <c r="AF74">
        <f>'Corrale Swamp'!AD74</f>
        <v>209</v>
      </c>
      <c r="AG74">
        <f>'Corrale Swamp'!AE74</f>
        <v>105</v>
      </c>
      <c r="AH74">
        <f>'Corrale Swamp'!AF74</f>
        <v>23360</v>
      </c>
      <c r="AI74">
        <f>'Corrale Swamp'!AG74</f>
        <v>0.8</v>
      </c>
      <c r="AJ74">
        <f>'Corrale Swamp'!AH74</f>
        <v>1500</v>
      </c>
      <c r="AK74">
        <f>'Corrale Swamp'!AI74</f>
        <v>91</v>
      </c>
      <c r="AL74">
        <f>'Corrale Swamp'!AJ74</f>
        <v>39</v>
      </c>
      <c r="AM74">
        <f>'Corrale Swamp'!AK74</f>
        <v>3778</v>
      </c>
      <c r="AN74">
        <f>'Corrale Swamp'!AL74</f>
        <v>0.1</v>
      </c>
      <c r="AO74">
        <f>'Corrale Swamp'!AM74</f>
        <v>1598</v>
      </c>
      <c r="AP74">
        <f>'Corrale Swamp'!AN74</f>
        <v>705</v>
      </c>
      <c r="AQ74">
        <f>'Corrale Swamp'!AO74</f>
        <v>29</v>
      </c>
      <c r="AR74">
        <f>'Corrale Swamp'!AP74</f>
        <v>21763</v>
      </c>
      <c r="AS74">
        <f>'Corrale Swamp'!AQ74</f>
        <v>0.7</v>
      </c>
      <c r="AT74">
        <f>'Corrale Swamp'!AR74</f>
        <v>1736</v>
      </c>
      <c r="AU74">
        <f>'Corrale Swamp'!AS74</f>
        <v>897</v>
      </c>
      <c r="AV74">
        <f>'Corrale Swamp'!AT74</f>
        <v>151</v>
      </c>
      <c r="AW74">
        <f>'Corrale Swamp'!AU74</f>
        <v>144179</v>
      </c>
      <c r="AX74">
        <f>'Corrale Swamp'!AV74</f>
        <v>4.7</v>
      </c>
    </row>
    <row r="75" spans="1:50">
      <c r="A75" t="str">
        <f>'Corrale Swamp'!A75</f>
        <v>/Users/christophermarjo/Documents/Python/Projects/data/bushfire Raman/Corrale Swamp/CS 18.5 (6)</v>
      </c>
      <c r="B75" t="s">
        <v>854</v>
      </c>
      <c r="C75">
        <v>18.5</v>
      </c>
      <c r="D75" t="str">
        <f>'Corrale Swamp'!B75</f>
        <v>9.46 counts</v>
      </c>
      <c r="E75">
        <f>'Corrale Swamp'!C75</f>
        <v>0.98844799999999999</v>
      </c>
      <c r="F75">
        <f>'Corrale Swamp'!D75</f>
        <v>1369</v>
      </c>
      <c r="G75">
        <f>'Corrale Swamp'!E75</f>
        <v>5753</v>
      </c>
      <c r="H75">
        <f>'Corrale Swamp'!F75</f>
        <v>298</v>
      </c>
      <c r="I75">
        <f>'Corrale Swamp'!G75</f>
        <v>1824916</v>
      </c>
      <c r="J75">
        <f>'Corrale Swamp'!H75</f>
        <v>65.8</v>
      </c>
      <c r="K75">
        <f>'Corrale Swamp'!I75</f>
        <v>1590</v>
      </c>
      <c r="L75">
        <f>'Corrale Swamp'!J75</f>
        <v>7455</v>
      </c>
      <c r="M75">
        <f>'Corrale Swamp'!K75</f>
        <v>104</v>
      </c>
      <c r="N75">
        <f>'Corrale Swamp'!L75</f>
        <v>825303</v>
      </c>
      <c r="O75">
        <f>'Corrale Swamp'!M75</f>
        <v>29.8</v>
      </c>
      <c r="P75">
        <f>'Corrale Swamp'!N75</f>
        <v>1061</v>
      </c>
      <c r="Q75">
        <f>'Corrale Swamp'!O75</f>
        <v>133</v>
      </c>
      <c r="R75">
        <f>'Corrale Swamp'!P75</f>
        <v>65</v>
      </c>
      <c r="S75">
        <f>'Corrale Swamp'!Q75</f>
        <v>9202</v>
      </c>
      <c r="T75">
        <f>'Corrale Swamp'!R75</f>
        <v>0.3</v>
      </c>
      <c r="U75">
        <f>'Corrale Swamp'!S75</f>
        <v>1170</v>
      </c>
      <c r="V75">
        <f>'Corrale Swamp'!T75</f>
        <v>57</v>
      </c>
      <c r="W75">
        <f>'Corrale Swamp'!U75</f>
        <v>1</v>
      </c>
      <c r="X75">
        <f>'Corrale Swamp'!V75</f>
        <v>61</v>
      </c>
      <c r="Y75">
        <f>'Corrale Swamp'!W75</f>
        <v>0</v>
      </c>
      <c r="Z75">
        <f>'Corrale Swamp'!X75</f>
        <v>1270</v>
      </c>
      <c r="AA75">
        <f>'Corrale Swamp'!Y75</f>
        <v>1</v>
      </c>
      <c r="AB75">
        <f>'Corrale Swamp'!Z75</f>
        <v>1</v>
      </c>
      <c r="AC75">
        <f>'Corrale Swamp'!AA75</f>
        <v>1</v>
      </c>
      <c r="AD75">
        <f>'Corrale Swamp'!AB75</f>
        <v>0</v>
      </c>
      <c r="AE75">
        <f>'Corrale Swamp'!AC75</f>
        <v>1456</v>
      </c>
      <c r="AF75">
        <f>'Corrale Swamp'!AD75</f>
        <v>65</v>
      </c>
      <c r="AG75">
        <f>'Corrale Swamp'!AE75</f>
        <v>99</v>
      </c>
      <c r="AH75">
        <f>'Corrale Swamp'!AF75</f>
        <v>6850</v>
      </c>
      <c r="AI75">
        <f>'Corrale Swamp'!AG75</f>
        <v>0.2</v>
      </c>
      <c r="AJ75">
        <f>'Corrale Swamp'!AH75</f>
        <v>1492</v>
      </c>
      <c r="AK75">
        <f>'Corrale Swamp'!AI75</f>
        <v>191</v>
      </c>
      <c r="AL75">
        <f>'Corrale Swamp'!AJ75</f>
        <v>45</v>
      </c>
      <c r="AM75">
        <f>'Corrale Swamp'!AK75</f>
        <v>9149</v>
      </c>
      <c r="AN75">
        <f>'Corrale Swamp'!AL75</f>
        <v>0.3</v>
      </c>
      <c r="AO75">
        <f>'Corrale Swamp'!AM75</f>
        <v>1592</v>
      </c>
      <c r="AP75">
        <f>'Corrale Swamp'!AN75</f>
        <v>207</v>
      </c>
      <c r="AQ75">
        <f>'Corrale Swamp'!AO75</f>
        <v>23</v>
      </c>
      <c r="AR75">
        <f>'Corrale Swamp'!AP75</f>
        <v>5068</v>
      </c>
      <c r="AS75">
        <f>'Corrale Swamp'!AQ75</f>
        <v>0.2</v>
      </c>
      <c r="AT75">
        <f>'Corrale Swamp'!AR75</f>
        <v>1738</v>
      </c>
      <c r="AU75">
        <f>'Corrale Swamp'!AS75</f>
        <v>655</v>
      </c>
      <c r="AV75">
        <f>'Corrale Swamp'!AT75</f>
        <v>133</v>
      </c>
      <c r="AW75">
        <f>'Corrale Swamp'!AU75</f>
        <v>92731</v>
      </c>
      <c r="AX75">
        <f>'Corrale Swamp'!AV75</f>
        <v>3.3</v>
      </c>
    </row>
    <row r="76" spans="1:50">
      <c r="A76" t="str">
        <f>'Horsefly Swamp'!A2</f>
        <v>/Users/christophermarjo/Documents/Python/Projects/data/bushfire Raman/Horsefly Swamp/HF 0(1)</v>
      </c>
      <c r="B76" t="str">
        <f>MID(A76,71,14)</f>
        <v>Horsefly Swamp</v>
      </c>
      <c r="C76">
        <v>0</v>
      </c>
      <c r="D76" t="str">
        <f>'Horsefly Swamp'!B2</f>
        <v>38.17 counts</v>
      </c>
      <c r="E76">
        <f>'Horsefly Swamp'!C2</f>
        <v>0.98832699999999996</v>
      </c>
      <c r="F76">
        <f>'Horsefly Swamp'!D2</f>
        <v>1369</v>
      </c>
      <c r="G76">
        <f>'Horsefly Swamp'!E2</f>
        <v>24279</v>
      </c>
      <c r="H76">
        <f>'Horsefly Swamp'!F2</f>
        <v>344</v>
      </c>
      <c r="I76">
        <f>'Horsefly Swamp'!G2</f>
        <v>8890403</v>
      </c>
      <c r="J76">
        <f>'Horsefly Swamp'!H2</f>
        <v>72.099999999999994</v>
      </c>
      <c r="K76">
        <f>'Horsefly Swamp'!I2</f>
        <v>1586</v>
      </c>
      <c r="L76">
        <f>'Horsefly Swamp'!J2</f>
        <v>24671</v>
      </c>
      <c r="M76">
        <f>'Horsefly Swamp'!K2</f>
        <v>114</v>
      </c>
      <c r="N76">
        <f>'Horsefly Swamp'!L2</f>
        <v>2993807</v>
      </c>
      <c r="O76">
        <f>'Horsefly Swamp'!M2</f>
        <v>24.3</v>
      </c>
      <c r="P76">
        <f>'Horsefly Swamp'!N2</f>
        <v>1051</v>
      </c>
      <c r="Q76">
        <f>'Horsefly Swamp'!O2</f>
        <v>743</v>
      </c>
      <c r="R76">
        <f>'Horsefly Swamp'!P2</f>
        <v>51</v>
      </c>
      <c r="S76">
        <f>'Horsefly Swamp'!Q2</f>
        <v>40336</v>
      </c>
      <c r="T76">
        <f>'Horsefly Swamp'!R2</f>
        <v>0.3</v>
      </c>
      <c r="U76">
        <f>'Horsefly Swamp'!S2</f>
        <v>1154</v>
      </c>
      <c r="V76">
        <f>'Horsefly Swamp'!T2</f>
        <v>1</v>
      </c>
      <c r="W76">
        <f>'Horsefly Swamp'!U2</f>
        <v>1</v>
      </c>
      <c r="X76">
        <f>'Horsefly Swamp'!V2</f>
        <v>1</v>
      </c>
      <c r="Y76">
        <f>'Horsefly Swamp'!W2</f>
        <v>0</v>
      </c>
      <c r="Z76">
        <f>'Horsefly Swamp'!X2</f>
        <v>1256</v>
      </c>
      <c r="AA76">
        <f>'Horsefly Swamp'!Y2</f>
        <v>1</v>
      </c>
      <c r="AB76">
        <f>'Horsefly Swamp'!Z2</f>
        <v>1</v>
      </c>
      <c r="AC76">
        <f>'Horsefly Swamp'!AA2</f>
        <v>1</v>
      </c>
      <c r="AD76">
        <f>'Horsefly Swamp'!AB2</f>
        <v>0</v>
      </c>
      <c r="AE76">
        <f>'Horsefly Swamp'!AC2</f>
        <v>1456</v>
      </c>
      <c r="AF76">
        <f>'Horsefly Swamp'!AD2</f>
        <v>341</v>
      </c>
      <c r="AG76">
        <f>'Horsefly Swamp'!AE2</f>
        <v>69</v>
      </c>
      <c r="AH76">
        <f>'Horsefly Swamp'!AF2</f>
        <v>25046</v>
      </c>
      <c r="AI76">
        <f>'Horsefly Swamp'!AG2</f>
        <v>0.2</v>
      </c>
      <c r="AJ76">
        <f>'Horsefly Swamp'!AH2</f>
        <v>1506</v>
      </c>
      <c r="AK76">
        <f>'Horsefly Swamp'!AI2</f>
        <v>379</v>
      </c>
      <c r="AL76">
        <f>'Horsefly Swamp'!AJ2</f>
        <v>11</v>
      </c>
      <c r="AM76">
        <f>'Horsefly Swamp'!AK2</f>
        <v>4438</v>
      </c>
      <c r="AN76">
        <f>'Horsefly Swamp'!AL2</f>
        <v>0</v>
      </c>
      <c r="AO76">
        <f>'Horsefly Swamp'!AM2</f>
        <v>1596</v>
      </c>
      <c r="AP76">
        <f>'Horsefly Swamp'!AN2</f>
        <v>481</v>
      </c>
      <c r="AQ76">
        <f>'Horsefly Swamp'!AO2</f>
        <v>23</v>
      </c>
      <c r="AR76">
        <f>'Horsefly Swamp'!AP2</f>
        <v>11776</v>
      </c>
      <c r="AS76">
        <f>'Horsefly Swamp'!AQ2</f>
        <v>0.1</v>
      </c>
      <c r="AT76">
        <f>'Horsefly Swamp'!AR2</f>
        <v>1730</v>
      </c>
      <c r="AU76">
        <f>'Horsefly Swamp'!AS2</f>
        <v>3151</v>
      </c>
      <c r="AV76">
        <f>'Horsefly Swamp'!AT2</f>
        <v>107</v>
      </c>
      <c r="AW76">
        <f>'Horsefly Swamp'!AU2</f>
        <v>358893</v>
      </c>
      <c r="AX76">
        <f>'Horsefly Swamp'!AV2</f>
        <v>2.9</v>
      </c>
    </row>
    <row r="77" spans="1:50">
      <c r="A77" t="str">
        <f>'Horsefly Swamp'!A3</f>
        <v>/Users/christophermarjo/Documents/Python/Projects/data/bushfire Raman/Horsefly Swamp/HF 0(2)</v>
      </c>
      <c r="B77" t="str">
        <f t="shared" ref="B77:B140" si="0">MID(A77,71,14)</f>
        <v>Horsefly Swamp</v>
      </c>
      <c r="C77">
        <v>0</v>
      </c>
      <c r="D77" t="str">
        <f>'Horsefly Swamp'!B3</f>
        <v>20.12 counts</v>
      </c>
      <c r="E77">
        <f>'Horsefly Swamp'!C3</f>
        <v>0.98870999999999998</v>
      </c>
      <c r="F77">
        <f>'Horsefly Swamp'!D3</f>
        <v>1369</v>
      </c>
      <c r="G77">
        <f>'Horsefly Swamp'!E3</f>
        <v>13083</v>
      </c>
      <c r="H77">
        <f>'Horsefly Swamp'!F3</f>
        <v>334</v>
      </c>
      <c r="I77">
        <f>'Horsefly Swamp'!G3</f>
        <v>4651425</v>
      </c>
      <c r="J77">
        <f>'Horsefly Swamp'!H3</f>
        <v>73.900000000000006</v>
      </c>
      <c r="K77">
        <f>'Horsefly Swamp'!I3</f>
        <v>1590</v>
      </c>
      <c r="L77">
        <f>'Horsefly Swamp'!J3</f>
        <v>12779</v>
      </c>
      <c r="M77">
        <f>'Horsefly Swamp'!K3</f>
        <v>100</v>
      </c>
      <c r="N77">
        <f>'Horsefly Swamp'!L3</f>
        <v>1360282</v>
      </c>
      <c r="O77">
        <f>'Horsefly Swamp'!M3</f>
        <v>21.6</v>
      </c>
      <c r="P77">
        <f>'Horsefly Swamp'!N3</f>
        <v>1035</v>
      </c>
      <c r="Q77">
        <f>'Horsefly Swamp'!O3</f>
        <v>461</v>
      </c>
      <c r="R77">
        <f>'Horsefly Swamp'!P3</f>
        <v>75</v>
      </c>
      <c r="S77">
        <f>'Horsefly Swamp'!Q3</f>
        <v>36804</v>
      </c>
      <c r="T77">
        <f>'Horsefly Swamp'!R3</f>
        <v>0.6</v>
      </c>
      <c r="U77">
        <f>'Horsefly Swamp'!S3</f>
        <v>1154</v>
      </c>
      <c r="V77">
        <f>'Horsefly Swamp'!T3</f>
        <v>1</v>
      </c>
      <c r="W77">
        <f>'Horsefly Swamp'!U3</f>
        <v>1</v>
      </c>
      <c r="X77">
        <f>'Horsefly Swamp'!V3</f>
        <v>1</v>
      </c>
      <c r="Y77">
        <f>'Horsefly Swamp'!W3</f>
        <v>0</v>
      </c>
      <c r="Z77">
        <f>'Horsefly Swamp'!X3</f>
        <v>1298</v>
      </c>
      <c r="AA77">
        <f>'Horsefly Swamp'!Y3</f>
        <v>381</v>
      </c>
      <c r="AB77">
        <f>'Horsefly Swamp'!Z3</f>
        <v>7</v>
      </c>
      <c r="AC77">
        <f>'Horsefly Swamp'!AA3</f>
        <v>2839</v>
      </c>
      <c r="AD77">
        <f>'Horsefly Swamp'!AB3</f>
        <v>0</v>
      </c>
      <c r="AE77">
        <f>'Horsefly Swamp'!AC3</f>
        <v>1416</v>
      </c>
      <c r="AF77">
        <f>'Horsefly Swamp'!AD3</f>
        <v>1</v>
      </c>
      <c r="AG77">
        <f>'Horsefly Swamp'!AE3</f>
        <v>1</v>
      </c>
      <c r="AH77">
        <f>'Horsefly Swamp'!AF3</f>
        <v>1</v>
      </c>
      <c r="AI77">
        <f>'Horsefly Swamp'!AG3</f>
        <v>0</v>
      </c>
      <c r="AJ77">
        <f>'Horsefly Swamp'!AH3</f>
        <v>1506</v>
      </c>
      <c r="AK77">
        <f>'Horsefly Swamp'!AI3</f>
        <v>415</v>
      </c>
      <c r="AL77">
        <f>'Horsefly Swamp'!AJ3</f>
        <v>21</v>
      </c>
      <c r="AM77">
        <f>'Horsefly Swamp'!AK3</f>
        <v>9277</v>
      </c>
      <c r="AN77">
        <f>'Horsefly Swamp'!AL3</f>
        <v>0.1</v>
      </c>
      <c r="AO77">
        <f>'Horsefly Swamp'!AM3</f>
        <v>1598</v>
      </c>
      <c r="AP77">
        <f>'Horsefly Swamp'!AN3</f>
        <v>2063</v>
      </c>
      <c r="AQ77">
        <f>'Horsefly Swamp'!AO3</f>
        <v>25</v>
      </c>
      <c r="AR77">
        <f>'Horsefly Swamp'!AP3</f>
        <v>54900</v>
      </c>
      <c r="AS77">
        <f>'Horsefly Swamp'!AQ3</f>
        <v>0.9</v>
      </c>
      <c r="AT77">
        <f>'Horsefly Swamp'!AR3</f>
        <v>1736</v>
      </c>
      <c r="AU77">
        <f>'Horsefly Swamp'!AS3</f>
        <v>863</v>
      </c>
      <c r="AV77">
        <f>'Horsefly Swamp'!AT3</f>
        <v>191</v>
      </c>
      <c r="AW77">
        <f>'Horsefly Swamp'!AU3</f>
        <v>175459</v>
      </c>
      <c r="AX77">
        <f>'Horsefly Swamp'!AV3</f>
        <v>2.8</v>
      </c>
    </row>
    <row r="78" spans="1:50">
      <c r="A78" t="str">
        <f>'Horsefly Swamp'!A4</f>
        <v>/Users/christophermarjo/Documents/Python/Projects/data/bushfire Raman/Horsefly Swamp/HF 0(3)</v>
      </c>
      <c r="B78" t="str">
        <f t="shared" si="0"/>
        <v>Horsefly Swamp</v>
      </c>
      <c r="C78">
        <v>0</v>
      </c>
      <c r="D78" t="str">
        <f>'Horsefly Swamp'!B4</f>
        <v>15.54 counts</v>
      </c>
      <c r="E78">
        <f>'Horsefly Swamp'!C4</f>
        <v>0.98939500000000002</v>
      </c>
      <c r="F78">
        <f>'Horsefly Swamp'!D4</f>
        <v>1369</v>
      </c>
      <c r="G78">
        <f>'Horsefly Swamp'!E4</f>
        <v>10431</v>
      </c>
      <c r="H78">
        <f>'Horsefly Swamp'!F4</f>
        <v>334</v>
      </c>
      <c r="I78">
        <f>'Horsefly Swamp'!G4</f>
        <v>3708554</v>
      </c>
      <c r="J78">
        <f>'Horsefly Swamp'!H4</f>
        <v>73.7</v>
      </c>
      <c r="K78">
        <f>'Horsefly Swamp'!I4</f>
        <v>1588</v>
      </c>
      <c r="L78">
        <f>'Horsefly Swamp'!J4</f>
        <v>10427</v>
      </c>
      <c r="M78">
        <f>'Horsefly Swamp'!K4</f>
        <v>100</v>
      </c>
      <c r="N78">
        <f>'Horsefly Swamp'!L4</f>
        <v>1109920</v>
      </c>
      <c r="O78">
        <f>'Horsefly Swamp'!M4</f>
        <v>22.1</v>
      </c>
      <c r="P78">
        <f>'Horsefly Swamp'!N4</f>
        <v>1035</v>
      </c>
      <c r="Q78">
        <f>'Horsefly Swamp'!O4</f>
        <v>391</v>
      </c>
      <c r="R78">
        <f>'Horsefly Swamp'!P4</f>
        <v>79</v>
      </c>
      <c r="S78">
        <f>'Horsefly Swamp'!Q4</f>
        <v>32880</v>
      </c>
      <c r="T78">
        <f>'Horsefly Swamp'!R4</f>
        <v>0.7</v>
      </c>
      <c r="U78">
        <f>'Horsefly Swamp'!S4</f>
        <v>1154</v>
      </c>
      <c r="V78">
        <f>'Horsefly Swamp'!T4</f>
        <v>1</v>
      </c>
      <c r="W78">
        <f>'Horsefly Swamp'!U4</f>
        <v>1</v>
      </c>
      <c r="X78">
        <f>'Horsefly Swamp'!V4</f>
        <v>1</v>
      </c>
      <c r="Y78">
        <f>'Horsefly Swamp'!W4</f>
        <v>0</v>
      </c>
      <c r="Z78">
        <f>'Horsefly Swamp'!X4</f>
        <v>1292</v>
      </c>
      <c r="AA78">
        <f>'Horsefly Swamp'!Y4</f>
        <v>3</v>
      </c>
      <c r="AB78">
        <f>'Horsefly Swamp'!Z4</f>
        <v>1</v>
      </c>
      <c r="AC78">
        <f>'Horsefly Swamp'!AA4</f>
        <v>3</v>
      </c>
      <c r="AD78">
        <f>'Horsefly Swamp'!AB4</f>
        <v>0</v>
      </c>
      <c r="AE78">
        <f>'Horsefly Swamp'!AC4</f>
        <v>1416</v>
      </c>
      <c r="AF78">
        <f>'Horsefly Swamp'!AD4</f>
        <v>1</v>
      </c>
      <c r="AG78">
        <f>'Horsefly Swamp'!AE4</f>
        <v>1</v>
      </c>
      <c r="AH78">
        <f>'Horsefly Swamp'!AF4</f>
        <v>1</v>
      </c>
      <c r="AI78">
        <f>'Horsefly Swamp'!AG4</f>
        <v>0</v>
      </c>
      <c r="AJ78">
        <f>'Horsefly Swamp'!AH4</f>
        <v>1506</v>
      </c>
      <c r="AK78">
        <f>'Horsefly Swamp'!AI4</f>
        <v>181</v>
      </c>
      <c r="AL78">
        <f>'Horsefly Swamp'!AJ4</f>
        <v>19</v>
      </c>
      <c r="AM78">
        <f>'Horsefly Swamp'!AK4</f>
        <v>3661</v>
      </c>
      <c r="AN78">
        <f>'Horsefly Swamp'!AL4</f>
        <v>0.1</v>
      </c>
      <c r="AO78">
        <f>'Horsefly Swamp'!AM4</f>
        <v>1598</v>
      </c>
      <c r="AP78">
        <f>'Horsefly Swamp'!AN4</f>
        <v>1551</v>
      </c>
      <c r="AQ78">
        <f>'Horsefly Swamp'!AO4</f>
        <v>25</v>
      </c>
      <c r="AR78">
        <f>'Horsefly Swamp'!AP4</f>
        <v>41275</v>
      </c>
      <c r="AS78">
        <f>'Horsefly Swamp'!AQ4</f>
        <v>0.8</v>
      </c>
      <c r="AT78">
        <f>'Horsefly Swamp'!AR4</f>
        <v>1722</v>
      </c>
      <c r="AU78">
        <f>'Horsefly Swamp'!AS4</f>
        <v>999</v>
      </c>
      <c r="AV78">
        <f>'Horsefly Swamp'!AT4</f>
        <v>127</v>
      </c>
      <c r="AW78">
        <f>'Horsefly Swamp'!AU4</f>
        <v>135052</v>
      </c>
      <c r="AX78">
        <f>'Horsefly Swamp'!AV4</f>
        <v>2.7</v>
      </c>
    </row>
    <row r="79" spans="1:50">
      <c r="A79" t="str">
        <f>'Horsefly Swamp'!A5</f>
        <v>/Users/christophermarjo/Documents/Python/Projects/data/bushfire Raman/Horsefly Swamp/HF 0(4)</v>
      </c>
      <c r="B79" t="str">
        <f t="shared" si="0"/>
        <v>Horsefly Swamp</v>
      </c>
      <c r="C79">
        <v>0</v>
      </c>
      <c r="D79" t="str">
        <f>'Horsefly Swamp'!B5</f>
        <v>13.94 counts</v>
      </c>
      <c r="E79">
        <f>'Horsefly Swamp'!C5</f>
        <v>0.99016199999999999</v>
      </c>
      <c r="F79">
        <f>'Horsefly Swamp'!D5</f>
        <v>1369</v>
      </c>
      <c r="G79">
        <f>'Horsefly Swamp'!E5</f>
        <v>9819</v>
      </c>
      <c r="H79">
        <f>'Horsefly Swamp'!F5</f>
        <v>326</v>
      </c>
      <c r="I79">
        <f>'Horsefly Swamp'!G5</f>
        <v>3407353</v>
      </c>
      <c r="J79">
        <f>'Horsefly Swamp'!H5</f>
        <v>73.2</v>
      </c>
      <c r="K79">
        <f>'Horsefly Swamp'!I5</f>
        <v>1590</v>
      </c>
      <c r="L79">
        <f>'Horsefly Swamp'!J5</f>
        <v>9787</v>
      </c>
      <c r="M79">
        <f>'Horsefly Swamp'!K5</f>
        <v>100</v>
      </c>
      <c r="N79">
        <f>'Horsefly Swamp'!L5</f>
        <v>1041794</v>
      </c>
      <c r="O79">
        <f>'Horsefly Swamp'!M5</f>
        <v>22.4</v>
      </c>
      <c r="P79">
        <f>'Horsefly Swamp'!N5</f>
        <v>1047</v>
      </c>
      <c r="Q79">
        <f>'Horsefly Swamp'!O5</f>
        <v>429</v>
      </c>
      <c r="R79">
        <f>'Horsefly Swamp'!P5</f>
        <v>81</v>
      </c>
      <c r="S79">
        <f>'Horsefly Swamp'!Q5</f>
        <v>36989</v>
      </c>
      <c r="T79">
        <f>'Horsefly Swamp'!R5</f>
        <v>0.8</v>
      </c>
      <c r="U79">
        <f>'Horsefly Swamp'!S5</f>
        <v>1194</v>
      </c>
      <c r="V79">
        <f>'Horsefly Swamp'!T5</f>
        <v>3273</v>
      </c>
      <c r="W79">
        <f>'Horsefly Swamp'!U5</f>
        <v>1</v>
      </c>
      <c r="X79">
        <f>'Horsefly Swamp'!V5</f>
        <v>3484</v>
      </c>
      <c r="Y79">
        <f>'Horsefly Swamp'!W5</f>
        <v>0.1</v>
      </c>
      <c r="Z79">
        <f>'Horsefly Swamp'!X5</f>
        <v>1294</v>
      </c>
      <c r="AA79">
        <f>'Horsefly Swamp'!Y5</f>
        <v>1</v>
      </c>
      <c r="AB79">
        <f>'Horsefly Swamp'!Z5</f>
        <v>1</v>
      </c>
      <c r="AC79">
        <f>'Horsefly Swamp'!AA5</f>
        <v>1</v>
      </c>
      <c r="AD79">
        <f>'Horsefly Swamp'!AB5</f>
        <v>0</v>
      </c>
      <c r="AE79">
        <f>'Horsefly Swamp'!AC5</f>
        <v>1416</v>
      </c>
      <c r="AF79">
        <f>'Horsefly Swamp'!AD5</f>
        <v>1</v>
      </c>
      <c r="AG79">
        <f>'Horsefly Swamp'!AE5</f>
        <v>1</v>
      </c>
      <c r="AH79">
        <f>'Horsefly Swamp'!AF5</f>
        <v>1</v>
      </c>
      <c r="AI79">
        <f>'Horsefly Swamp'!AG5</f>
        <v>0</v>
      </c>
      <c r="AJ79">
        <f>'Horsefly Swamp'!AH5</f>
        <v>1506</v>
      </c>
      <c r="AK79">
        <f>'Horsefly Swamp'!AI5</f>
        <v>203</v>
      </c>
      <c r="AL79">
        <f>'Horsefly Swamp'!AJ5</f>
        <v>29</v>
      </c>
      <c r="AM79">
        <f>'Horsefly Swamp'!AK5</f>
        <v>6267</v>
      </c>
      <c r="AN79">
        <f>'Horsefly Swamp'!AL5</f>
        <v>0.1</v>
      </c>
      <c r="AO79">
        <f>'Horsefly Swamp'!AM5</f>
        <v>1598</v>
      </c>
      <c r="AP79">
        <f>'Horsefly Swamp'!AN5</f>
        <v>1417</v>
      </c>
      <c r="AQ79">
        <f>'Horsefly Swamp'!AO5</f>
        <v>23</v>
      </c>
      <c r="AR79">
        <f>'Horsefly Swamp'!AP5</f>
        <v>34692</v>
      </c>
      <c r="AS79">
        <f>'Horsefly Swamp'!AQ5</f>
        <v>0.7</v>
      </c>
      <c r="AT79">
        <f>'Horsefly Swamp'!AR5</f>
        <v>1726</v>
      </c>
      <c r="AU79">
        <f>'Horsefly Swamp'!AS5</f>
        <v>771</v>
      </c>
      <c r="AV79">
        <f>'Horsefly Swamp'!AT5</f>
        <v>155</v>
      </c>
      <c r="AW79">
        <f>'Horsefly Swamp'!AU5</f>
        <v>127209</v>
      </c>
      <c r="AX79">
        <f>'Horsefly Swamp'!AV5</f>
        <v>2.7</v>
      </c>
    </row>
    <row r="80" spans="1:50">
      <c r="A80" t="str">
        <f>'Horsefly Swamp'!A6</f>
        <v>/Users/christophermarjo/Documents/Python/Projects/data/bushfire Raman/Horsefly Swamp/HF 0(5)</v>
      </c>
      <c r="B80" t="str">
        <f t="shared" si="0"/>
        <v>Horsefly Swamp</v>
      </c>
      <c r="C80">
        <v>0</v>
      </c>
      <c r="D80" t="str">
        <f>'Horsefly Swamp'!B6</f>
        <v>18.22 counts</v>
      </c>
      <c r="E80">
        <f>'Horsefly Swamp'!C6</f>
        <v>0.98970899999999995</v>
      </c>
      <c r="F80">
        <f>'Horsefly Swamp'!D6</f>
        <v>1369</v>
      </c>
      <c r="G80">
        <f>'Horsefly Swamp'!E6</f>
        <v>12473</v>
      </c>
      <c r="H80">
        <f>'Horsefly Swamp'!F6</f>
        <v>332</v>
      </c>
      <c r="I80">
        <f>'Horsefly Swamp'!G6</f>
        <v>4407996</v>
      </c>
      <c r="J80">
        <f>'Horsefly Swamp'!H6</f>
        <v>73.8</v>
      </c>
      <c r="K80">
        <f>'Horsefly Swamp'!I6</f>
        <v>1588</v>
      </c>
      <c r="L80">
        <f>'Horsefly Swamp'!J6</f>
        <v>12315</v>
      </c>
      <c r="M80">
        <f>'Horsefly Swamp'!K6</f>
        <v>100</v>
      </c>
      <c r="N80">
        <f>'Horsefly Swamp'!L6</f>
        <v>1310891</v>
      </c>
      <c r="O80">
        <f>'Horsefly Swamp'!M6</f>
        <v>21.9</v>
      </c>
      <c r="P80">
        <f>'Horsefly Swamp'!N6</f>
        <v>1043</v>
      </c>
      <c r="Q80">
        <f>'Horsefly Swamp'!O6</f>
        <v>443</v>
      </c>
      <c r="R80">
        <f>'Horsefly Swamp'!P6</f>
        <v>77</v>
      </c>
      <c r="S80">
        <f>'Horsefly Swamp'!Q6</f>
        <v>36310</v>
      </c>
      <c r="T80">
        <f>'Horsefly Swamp'!R6</f>
        <v>0.6</v>
      </c>
      <c r="U80">
        <f>'Horsefly Swamp'!S6</f>
        <v>1154</v>
      </c>
      <c r="V80">
        <f>'Horsefly Swamp'!T6</f>
        <v>1</v>
      </c>
      <c r="W80">
        <f>'Horsefly Swamp'!U6</f>
        <v>1</v>
      </c>
      <c r="X80">
        <f>'Horsefly Swamp'!V6</f>
        <v>1</v>
      </c>
      <c r="Y80">
        <f>'Horsefly Swamp'!W6</f>
        <v>0</v>
      </c>
      <c r="Z80">
        <f>'Horsefly Swamp'!X6</f>
        <v>1292</v>
      </c>
      <c r="AA80">
        <f>'Horsefly Swamp'!Y6</f>
        <v>37</v>
      </c>
      <c r="AB80">
        <f>'Horsefly Swamp'!Z6</f>
        <v>1</v>
      </c>
      <c r="AC80">
        <f>'Horsefly Swamp'!AA6</f>
        <v>39</v>
      </c>
      <c r="AD80">
        <f>'Horsefly Swamp'!AB6</f>
        <v>0</v>
      </c>
      <c r="AE80">
        <f>'Horsefly Swamp'!AC6</f>
        <v>1416</v>
      </c>
      <c r="AF80">
        <f>'Horsefly Swamp'!AD6</f>
        <v>1</v>
      </c>
      <c r="AG80">
        <f>'Horsefly Swamp'!AE6</f>
        <v>1</v>
      </c>
      <c r="AH80">
        <f>'Horsefly Swamp'!AF6</f>
        <v>1</v>
      </c>
      <c r="AI80">
        <f>'Horsefly Swamp'!AG6</f>
        <v>0</v>
      </c>
      <c r="AJ80">
        <f>'Horsefly Swamp'!AH6</f>
        <v>1506</v>
      </c>
      <c r="AK80">
        <f>'Horsefly Swamp'!AI6</f>
        <v>303</v>
      </c>
      <c r="AL80">
        <f>'Horsefly Swamp'!AJ6</f>
        <v>27</v>
      </c>
      <c r="AM80">
        <f>'Horsefly Swamp'!AK6</f>
        <v>8708</v>
      </c>
      <c r="AN80">
        <f>'Horsefly Swamp'!AL6</f>
        <v>0.1</v>
      </c>
      <c r="AO80">
        <f>'Horsefly Swamp'!AM6</f>
        <v>1598</v>
      </c>
      <c r="AP80">
        <f>'Horsefly Swamp'!AN6</f>
        <v>1563</v>
      </c>
      <c r="AQ80">
        <f>'Horsefly Swamp'!AO6</f>
        <v>25</v>
      </c>
      <c r="AR80">
        <f>'Horsefly Swamp'!AP6</f>
        <v>41594</v>
      </c>
      <c r="AS80">
        <f>'Horsefly Swamp'!AQ6</f>
        <v>0.7</v>
      </c>
      <c r="AT80">
        <f>'Horsefly Swamp'!AR6</f>
        <v>1722</v>
      </c>
      <c r="AU80">
        <f>'Horsefly Swamp'!AS6</f>
        <v>1099</v>
      </c>
      <c r="AV80">
        <f>'Horsefly Swamp'!AT6</f>
        <v>143</v>
      </c>
      <c r="AW80">
        <f>'Horsefly Swamp'!AU6</f>
        <v>167288</v>
      </c>
      <c r="AX80">
        <f>'Horsefly Swamp'!AV6</f>
        <v>2.8</v>
      </c>
    </row>
    <row r="81" spans="1:50">
      <c r="A81" t="str">
        <f>'Horsefly Swamp'!A7</f>
        <v>/Users/christophermarjo/Documents/Python/Projects/data/bushfire Raman/Horsefly Swamp/HF 1.5 (1)</v>
      </c>
      <c r="B81" t="str">
        <f t="shared" si="0"/>
        <v>Horsefly Swamp</v>
      </c>
      <c r="C81">
        <v>1.5</v>
      </c>
      <c r="D81" t="str">
        <f>'Horsefly Swamp'!B7</f>
        <v>107.62 counts</v>
      </c>
      <c r="E81">
        <f>'Horsefly Swamp'!C7</f>
        <v>0.31788499999999997</v>
      </c>
      <c r="F81">
        <f>'Horsefly Swamp'!D7</f>
        <v>1361</v>
      </c>
      <c r="G81">
        <f>'Horsefly Swamp'!E7</f>
        <v>4253</v>
      </c>
      <c r="H81">
        <f>'Horsefly Swamp'!F7</f>
        <v>200</v>
      </c>
      <c r="I81">
        <f>'Horsefly Swamp'!G7</f>
        <v>905436</v>
      </c>
      <c r="J81">
        <f>'Horsefly Swamp'!H7</f>
        <v>58.3</v>
      </c>
      <c r="K81">
        <f>'Horsefly Swamp'!I7</f>
        <v>1584</v>
      </c>
      <c r="L81">
        <f>'Horsefly Swamp'!J7</f>
        <v>5459</v>
      </c>
      <c r="M81">
        <f>'Horsefly Swamp'!K7</f>
        <v>100</v>
      </c>
      <c r="N81">
        <f>'Horsefly Swamp'!L7</f>
        <v>581093</v>
      </c>
      <c r="O81">
        <f>'Horsefly Swamp'!M7</f>
        <v>37.4</v>
      </c>
      <c r="P81">
        <f>'Horsefly Swamp'!N7</f>
        <v>1015</v>
      </c>
      <c r="Q81">
        <f>'Horsefly Swamp'!O7</f>
        <v>1</v>
      </c>
      <c r="R81">
        <f>'Horsefly Swamp'!P7</f>
        <v>1</v>
      </c>
      <c r="S81">
        <f>'Horsefly Swamp'!Q7</f>
        <v>1</v>
      </c>
      <c r="T81">
        <f>'Horsefly Swamp'!R7</f>
        <v>0</v>
      </c>
      <c r="U81">
        <f>'Horsefly Swamp'!S7</f>
        <v>1174</v>
      </c>
      <c r="V81">
        <f>'Horsefly Swamp'!T7</f>
        <v>327</v>
      </c>
      <c r="W81">
        <f>'Horsefly Swamp'!U7</f>
        <v>57</v>
      </c>
      <c r="X81">
        <f>'Horsefly Swamp'!V7</f>
        <v>19841</v>
      </c>
      <c r="Y81">
        <f>'Horsefly Swamp'!W7</f>
        <v>1.3</v>
      </c>
      <c r="Z81">
        <f>'Horsefly Swamp'!X7</f>
        <v>1252</v>
      </c>
      <c r="AA81">
        <f>'Horsefly Swamp'!Y7</f>
        <v>31</v>
      </c>
      <c r="AB81">
        <f>'Horsefly Swamp'!Z7</f>
        <v>1</v>
      </c>
      <c r="AC81">
        <f>'Horsefly Swamp'!AA7</f>
        <v>33</v>
      </c>
      <c r="AD81">
        <f>'Horsefly Swamp'!AB7</f>
        <v>0</v>
      </c>
      <c r="AE81">
        <f>'Horsefly Swamp'!AC7</f>
        <v>1456</v>
      </c>
      <c r="AF81">
        <f>'Horsefly Swamp'!AD7</f>
        <v>23</v>
      </c>
      <c r="AG81">
        <f>'Horsefly Swamp'!AE7</f>
        <v>137</v>
      </c>
      <c r="AH81">
        <f>'Horsefly Swamp'!AF7</f>
        <v>3354</v>
      </c>
      <c r="AI81">
        <f>'Horsefly Swamp'!AG7</f>
        <v>0.2</v>
      </c>
      <c r="AJ81">
        <f>'Horsefly Swamp'!AH7</f>
        <v>1500</v>
      </c>
      <c r="AK81">
        <f>'Horsefly Swamp'!AI7</f>
        <v>209</v>
      </c>
      <c r="AL81">
        <f>'Horsefly Swamp'!AJ7</f>
        <v>27</v>
      </c>
      <c r="AM81">
        <f>'Horsefly Swamp'!AK7</f>
        <v>6007</v>
      </c>
      <c r="AN81">
        <f>'Horsefly Swamp'!AL7</f>
        <v>0.4</v>
      </c>
      <c r="AO81">
        <f>'Horsefly Swamp'!AM7</f>
        <v>1594</v>
      </c>
      <c r="AP81">
        <f>'Horsefly Swamp'!AN7</f>
        <v>1039</v>
      </c>
      <c r="AQ81">
        <f>'Horsefly Swamp'!AO7</f>
        <v>33</v>
      </c>
      <c r="AR81">
        <f>'Horsefly Swamp'!AP7</f>
        <v>36497</v>
      </c>
      <c r="AS81">
        <f>'Horsefly Swamp'!AQ7</f>
        <v>2.4</v>
      </c>
      <c r="AT81">
        <f>'Horsefly Swamp'!AR7</f>
        <v>1716</v>
      </c>
      <c r="AU81">
        <f>'Horsefly Swamp'!AS7</f>
        <v>1</v>
      </c>
      <c r="AV81">
        <f>'Horsefly Swamp'!AT7</f>
        <v>1</v>
      </c>
      <c r="AW81">
        <f>'Horsefly Swamp'!AU7</f>
        <v>1</v>
      </c>
      <c r="AX81">
        <f>'Horsefly Swamp'!AV7</f>
        <v>0</v>
      </c>
    </row>
    <row r="82" spans="1:50">
      <c r="A82" t="str">
        <f>'Horsefly Swamp'!A8</f>
        <v>/Users/christophermarjo/Documents/Python/Projects/data/bushfire Raman/Horsefly Swamp/HF 1.5 (2)</v>
      </c>
      <c r="B82" t="str">
        <f t="shared" si="0"/>
        <v>Horsefly Swamp</v>
      </c>
      <c r="C82">
        <v>1.5</v>
      </c>
      <c r="D82" t="str">
        <f>'Horsefly Swamp'!B8</f>
        <v>11.21 counts</v>
      </c>
      <c r="E82">
        <f>'Horsefly Swamp'!C8</f>
        <v>0.96097900000000003</v>
      </c>
      <c r="F82">
        <f>'Horsefly Swamp'!D8</f>
        <v>1369</v>
      </c>
      <c r="G82">
        <f>'Horsefly Swamp'!E8</f>
        <v>3957</v>
      </c>
      <c r="H82">
        <f>'Horsefly Swamp'!F8</f>
        <v>282</v>
      </c>
      <c r="I82">
        <f>'Horsefly Swamp'!G8</f>
        <v>1187811</v>
      </c>
      <c r="J82">
        <f>'Horsefly Swamp'!H8</f>
        <v>64.099999999999994</v>
      </c>
      <c r="K82">
        <f>'Horsefly Swamp'!I8</f>
        <v>1596</v>
      </c>
      <c r="L82">
        <f>'Horsefly Swamp'!J8</f>
        <v>4207</v>
      </c>
      <c r="M82">
        <f>'Horsefly Swamp'!K8</f>
        <v>100</v>
      </c>
      <c r="N82">
        <f>'Horsefly Swamp'!L8</f>
        <v>447821</v>
      </c>
      <c r="O82">
        <f>'Horsefly Swamp'!M8</f>
        <v>24.2</v>
      </c>
      <c r="P82">
        <f>'Horsefly Swamp'!N8</f>
        <v>1073</v>
      </c>
      <c r="Q82">
        <f>'Horsefly Swamp'!O8</f>
        <v>379</v>
      </c>
      <c r="R82">
        <f>'Horsefly Swamp'!P8</f>
        <v>129</v>
      </c>
      <c r="S82">
        <f>'Horsefly Swamp'!Q8</f>
        <v>52043</v>
      </c>
      <c r="T82">
        <f>'Horsefly Swamp'!R8</f>
        <v>2.8</v>
      </c>
      <c r="U82">
        <f>'Horsefly Swamp'!S8</f>
        <v>1156</v>
      </c>
      <c r="V82">
        <f>'Horsefly Swamp'!T8</f>
        <v>95</v>
      </c>
      <c r="W82">
        <f>'Horsefly Swamp'!U8</f>
        <v>37</v>
      </c>
      <c r="X82">
        <f>'Horsefly Swamp'!V8</f>
        <v>3742</v>
      </c>
      <c r="Y82">
        <f>'Horsefly Swamp'!W8</f>
        <v>0.2</v>
      </c>
      <c r="Z82">
        <f>'Horsefly Swamp'!X8</f>
        <v>1296</v>
      </c>
      <c r="AA82">
        <f>'Horsefly Swamp'!Y8</f>
        <v>359</v>
      </c>
      <c r="AB82">
        <f>'Horsefly Swamp'!Z8</f>
        <v>19</v>
      </c>
      <c r="AC82">
        <f>'Horsefly Swamp'!AA8</f>
        <v>7261</v>
      </c>
      <c r="AD82">
        <f>'Horsefly Swamp'!AB8</f>
        <v>0.4</v>
      </c>
      <c r="AE82">
        <f>'Horsefly Swamp'!AC8</f>
        <v>1402</v>
      </c>
      <c r="AF82">
        <f>'Horsefly Swamp'!AD8</f>
        <v>77</v>
      </c>
      <c r="AG82">
        <f>'Horsefly Swamp'!AE8</f>
        <v>143</v>
      </c>
      <c r="AH82">
        <f>'Horsefly Swamp'!AF8</f>
        <v>11721</v>
      </c>
      <c r="AI82">
        <f>'Horsefly Swamp'!AG8</f>
        <v>0.6</v>
      </c>
      <c r="AJ82">
        <f>'Horsefly Swamp'!AH8</f>
        <v>1528</v>
      </c>
      <c r="AK82">
        <f>'Horsefly Swamp'!AI8</f>
        <v>53</v>
      </c>
      <c r="AL82">
        <f>'Horsefly Swamp'!AJ8</f>
        <v>33</v>
      </c>
      <c r="AM82">
        <f>'Horsefly Swamp'!AK8</f>
        <v>1862</v>
      </c>
      <c r="AN82">
        <f>'Horsefly Swamp'!AL8</f>
        <v>0.1</v>
      </c>
      <c r="AO82">
        <f>'Horsefly Swamp'!AM8</f>
        <v>1598</v>
      </c>
      <c r="AP82">
        <f>'Horsefly Swamp'!AN8</f>
        <v>829</v>
      </c>
      <c r="AQ82">
        <f>'Horsefly Swamp'!AO8</f>
        <v>27</v>
      </c>
      <c r="AR82">
        <f>'Horsefly Swamp'!AP8</f>
        <v>23826</v>
      </c>
      <c r="AS82">
        <f>'Horsefly Swamp'!AQ8</f>
        <v>1.3</v>
      </c>
      <c r="AT82">
        <f>'Horsefly Swamp'!AR8</f>
        <v>1748</v>
      </c>
      <c r="AU82">
        <f>'Horsefly Swamp'!AS8</f>
        <v>549</v>
      </c>
      <c r="AV82">
        <f>'Horsefly Swamp'!AT8</f>
        <v>199</v>
      </c>
      <c r="AW82">
        <f>'Horsefly Swamp'!AU8</f>
        <v>116294</v>
      </c>
      <c r="AX82">
        <f>'Horsefly Swamp'!AV8</f>
        <v>6.3</v>
      </c>
    </row>
    <row r="83" spans="1:50">
      <c r="A83" t="str">
        <f>'Horsefly Swamp'!A9</f>
        <v>/Users/christophermarjo/Documents/Python/Projects/data/bushfire Raman/Horsefly Swamp/HF 1.5 (3)</v>
      </c>
      <c r="B83" t="str">
        <f t="shared" si="0"/>
        <v>Horsefly Swamp</v>
      </c>
      <c r="C83">
        <v>1.5</v>
      </c>
      <c r="D83" t="str">
        <f>'Horsefly Swamp'!B9</f>
        <v>7.68 counts</v>
      </c>
      <c r="E83">
        <f>'Horsefly Swamp'!C9</f>
        <v>0.97569600000000001</v>
      </c>
      <c r="F83">
        <f>'Horsefly Swamp'!D9</f>
        <v>1369</v>
      </c>
      <c r="G83">
        <f>'Horsefly Swamp'!E9</f>
        <v>3415</v>
      </c>
      <c r="H83">
        <f>'Horsefly Swamp'!F9</f>
        <v>312</v>
      </c>
      <c r="I83">
        <f>'Horsefly Swamp'!G9</f>
        <v>1134168</v>
      </c>
      <c r="J83">
        <f>'Horsefly Swamp'!H9</f>
        <v>71.5</v>
      </c>
      <c r="K83">
        <f>'Horsefly Swamp'!I9</f>
        <v>1594</v>
      </c>
      <c r="L83">
        <f>'Horsefly Swamp'!J9</f>
        <v>3177</v>
      </c>
      <c r="M83">
        <f>'Horsefly Swamp'!K9</f>
        <v>100</v>
      </c>
      <c r="N83">
        <f>'Horsefly Swamp'!L9</f>
        <v>338181</v>
      </c>
      <c r="O83">
        <f>'Horsefly Swamp'!M9</f>
        <v>21.3</v>
      </c>
      <c r="P83">
        <f>'Horsefly Swamp'!N9</f>
        <v>1033</v>
      </c>
      <c r="Q83">
        <f>'Horsefly Swamp'!O9</f>
        <v>267</v>
      </c>
      <c r="R83">
        <f>'Horsefly Swamp'!P9</f>
        <v>153</v>
      </c>
      <c r="S83">
        <f>'Horsefly Swamp'!Q9</f>
        <v>43485</v>
      </c>
      <c r="T83">
        <f>'Horsefly Swamp'!R9</f>
        <v>2.7</v>
      </c>
      <c r="U83">
        <f>'Horsefly Swamp'!S9</f>
        <v>1152</v>
      </c>
      <c r="V83">
        <f>'Horsefly Swamp'!T9</f>
        <v>41</v>
      </c>
      <c r="W83">
        <f>'Horsefly Swamp'!U9</f>
        <v>1</v>
      </c>
      <c r="X83">
        <f>'Horsefly Swamp'!V9</f>
        <v>44</v>
      </c>
      <c r="Y83">
        <f>'Horsefly Swamp'!W9</f>
        <v>0</v>
      </c>
      <c r="Z83">
        <f>'Horsefly Swamp'!X9</f>
        <v>1296</v>
      </c>
      <c r="AA83">
        <f>'Horsefly Swamp'!Y9</f>
        <v>113</v>
      </c>
      <c r="AB83">
        <f>'Horsefly Swamp'!Z9</f>
        <v>75</v>
      </c>
      <c r="AC83">
        <f>'Horsefly Swamp'!AA9</f>
        <v>9021</v>
      </c>
      <c r="AD83">
        <f>'Horsefly Swamp'!AB9</f>
        <v>0.6</v>
      </c>
      <c r="AE83">
        <f>'Horsefly Swamp'!AC9</f>
        <v>1404</v>
      </c>
      <c r="AF83">
        <f>'Horsefly Swamp'!AD9</f>
        <v>7</v>
      </c>
      <c r="AG83">
        <f>'Horsefly Swamp'!AE9</f>
        <v>1</v>
      </c>
      <c r="AH83">
        <f>'Horsefly Swamp'!AF9</f>
        <v>7</v>
      </c>
      <c r="AI83">
        <f>'Horsefly Swamp'!AG9</f>
        <v>0</v>
      </c>
      <c r="AJ83">
        <f>'Horsefly Swamp'!AH9</f>
        <v>1500</v>
      </c>
      <c r="AK83">
        <f>'Horsefly Swamp'!AI9</f>
        <v>71</v>
      </c>
      <c r="AL83">
        <f>'Horsefly Swamp'!AJ9</f>
        <v>1</v>
      </c>
      <c r="AM83">
        <f>'Horsefly Swamp'!AK9</f>
        <v>76</v>
      </c>
      <c r="AN83">
        <f>'Horsefly Swamp'!AL9</f>
        <v>0</v>
      </c>
      <c r="AO83">
        <f>'Horsefly Swamp'!AM9</f>
        <v>1598</v>
      </c>
      <c r="AP83">
        <f>'Horsefly Swamp'!AN9</f>
        <v>857</v>
      </c>
      <c r="AQ83">
        <f>'Horsefly Swamp'!AO9</f>
        <v>29</v>
      </c>
      <c r="AR83">
        <f>'Horsefly Swamp'!AP9</f>
        <v>26455</v>
      </c>
      <c r="AS83">
        <f>'Horsefly Swamp'!AQ9</f>
        <v>1.7</v>
      </c>
      <c r="AT83">
        <f>'Horsefly Swamp'!AR9</f>
        <v>1738</v>
      </c>
      <c r="AU83">
        <f>'Horsefly Swamp'!AS9</f>
        <v>263</v>
      </c>
      <c r="AV83">
        <f>'Horsefly Swamp'!AT9</f>
        <v>121</v>
      </c>
      <c r="AW83">
        <f>'Horsefly Swamp'!AU9</f>
        <v>33875</v>
      </c>
      <c r="AX83">
        <f>'Horsefly Swamp'!AV9</f>
        <v>2.1</v>
      </c>
    </row>
    <row r="84" spans="1:50">
      <c r="A84" t="str">
        <f>'Horsefly Swamp'!A10</f>
        <v>/Users/christophermarjo/Documents/Python/Projects/data/bushfire Raman/Horsefly Swamp/HF 1(1)</v>
      </c>
      <c r="B84" t="str">
        <f t="shared" si="0"/>
        <v>Horsefly Swamp</v>
      </c>
      <c r="C84">
        <v>1</v>
      </c>
      <c r="D84" t="str">
        <f>'Horsefly Swamp'!B10</f>
        <v>16.73 counts</v>
      </c>
      <c r="E84">
        <f>'Horsefly Swamp'!C10</f>
        <v>0.990456</v>
      </c>
      <c r="F84">
        <f>'Horsefly Swamp'!D10</f>
        <v>1367</v>
      </c>
      <c r="G84">
        <f>'Horsefly Swamp'!E10</f>
        <v>12083</v>
      </c>
      <c r="H84">
        <f>'Horsefly Swamp'!F10</f>
        <v>324</v>
      </c>
      <c r="I84">
        <f>'Horsefly Swamp'!G10</f>
        <v>4167273</v>
      </c>
      <c r="J84">
        <f>'Horsefly Swamp'!H10</f>
        <v>70</v>
      </c>
      <c r="K84">
        <f>'Horsefly Swamp'!I10</f>
        <v>1584</v>
      </c>
      <c r="L84">
        <f>'Horsefly Swamp'!J10</f>
        <v>11335</v>
      </c>
      <c r="M84">
        <f>'Horsefly Swamp'!K10</f>
        <v>116</v>
      </c>
      <c r="N84">
        <f>'Horsefly Swamp'!L10</f>
        <v>1399625</v>
      </c>
      <c r="O84">
        <f>'Horsefly Swamp'!M10</f>
        <v>23.5</v>
      </c>
      <c r="P84">
        <f>'Horsefly Swamp'!N10</f>
        <v>1039</v>
      </c>
      <c r="Q84">
        <f>'Horsefly Swamp'!O10</f>
        <v>551</v>
      </c>
      <c r="R84">
        <f>'Horsefly Swamp'!P10</f>
        <v>63</v>
      </c>
      <c r="S84">
        <f>'Horsefly Swamp'!Q10</f>
        <v>36951</v>
      </c>
      <c r="T84">
        <f>'Horsefly Swamp'!R10</f>
        <v>0.6</v>
      </c>
      <c r="U84">
        <f>'Horsefly Swamp'!S10</f>
        <v>1154</v>
      </c>
      <c r="V84">
        <f>'Horsefly Swamp'!T10</f>
        <v>1</v>
      </c>
      <c r="W84">
        <f>'Horsefly Swamp'!U10</f>
        <v>1</v>
      </c>
      <c r="X84">
        <f>'Horsefly Swamp'!V10</f>
        <v>1</v>
      </c>
      <c r="Y84">
        <f>'Horsefly Swamp'!W10</f>
        <v>0</v>
      </c>
      <c r="Z84">
        <f>'Horsefly Swamp'!X10</f>
        <v>1256</v>
      </c>
      <c r="AA84">
        <f>'Horsefly Swamp'!Y10</f>
        <v>1</v>
      </c>
      <c r="AB84">
        <f>'Horsefly Swamp'!Z10</f>
        <v>1</v>
      </c>
      <c r="AC84">
        <f>'Horsefly Swamp'!AA10</f>
        <v>1</v>
      </c>
      <c r="AD84">
        <f>'Horsefly Swamp'!AB10</f>
        <v>0</v>
      </c>
      <c r="AE84">
        <f>'Horsefly Swamp'!AC10</f>
        <v>1424</v>
      </c>
      <c r="AF84">
        <f>'Horsefly Swamp'!AD10</f>
        <v>309</v>
      </c>
      <c r="AG84">
        <f>'Horsefly Swamp'!AE10</f>
        <v>125</v>
      </c>
      <c r="AH84">
        <f>'Horsefly Swamp'!AF10</f>
        <v>41115</v>
      </c>
      <c r="AI84">
        <f>'Horsefly Swamp'!AG10</f>
        <v>0.7</v>
      </c>
      <c r="AJ84">
        <f>'Horsefly Swamp'!AH10</f>
        <v>1482</v>
      </c>
      <c r="AK84">
        <f>'Horsefly Swamp'!AI10</f>
        <v>609</v>
      </c>
      <c r="AL84">
        <f>'Horsefly Swamp'!AJ10</f>
        <v>47</v>
      </c>
      <c r="AM84">
        <f>'Horsefly Swamp'!AK10</f>
        <v>30468</v>
      </c>
      <c r="AN84">
        <f>'Horsefly Swamp'!AL10</f>
        <v>0.5</v>
      </c>
      <c r="AO84">
        <f>'Horsefly Swamp'!AM10</f>
        <v>1590</v>
      </c>
      <c r="AP84">
        <f>'Horsefly Swamp'!AN10</f>
        <v>421</v>
      </c>
      <c r="AQ84">
        <f>'Horsefly Swamp'!AO10</f>
        <v>21</v>
      </c>
      <c r="AR84">
        <f>'Horsefly Swamp'!AP10</f>
        <v>9411</v>
      </c>
      <c r="AS84">
        <f>'Horsefly Swamp'!AQ10</f>
        <v>0.2</v>
      </c>
      <c r="AT84">
        <f>'Horsefly Swamp'!AR10</f>
        <v>1746</v>
      </c>
      <c r="AU84">
        <f>'Horsefly Swamp'!AS10</f>
        <v>1397</v>
      </c>
      <c r="AV84">
        <f>'Horsefly Swamp'!AT10</f>
        <v>181</v>
      </c>
      <c r="AW84">
        <f>'Horsefly Swamp'!AU10</f>
        <v>269158</v>
      </c>
      <c r="AX84">
        <f>'Horsefly Swamp'!AV10</f>
        <v>4.5</v>
      </c>
    </row>
    <row r="85" spans="1:50">
      <c r="A85" t="str">
        <f>'Horsefly Swamp'!A11</f>
        <v>/Users/christophermarjo/Documents/Python/Projects/data/bushfire Raman/Horsefly Swamp/HF 1(2)</v>
      </c>
      <c r="B85" t="str">
        <f t="shared" si="0"/>
        <v>Horsefly Swamp</v>
      </c>
      <c r="C85">
        <v>1</v>
      </c>
      <c r="D85" t="str">
        <f>'Horsefly Swamp'!B11</f>
        <v>25.40 counts</v>
      </c>
      <c r="E85">
        <f>'Horsefly Swamp'!C11</f>
        <v>0.99142699999999995</v>
      </c>
      <c r="F85">
        <f>'Horsefly Swamp'!D11</f>
        <v>1369</v>
      </c>
      <c r="G85">
        <f>'Horsefly Swamp'!E11</f>
        <v>19355</v>
      </c>
      <c r="H85">
        <f>'Horsefly Swamp'!F11</f>
        <v>328</v>
      </c>
      <c r="I85">
        <f>'Horsefly Swamp'!G11</f>
        <v>6757705</v>
      </c>
      <c r="J85">
        <f>'Horsefly Swamp'!H11</f>
        <v>71.3</v>
      </c>
      <c r="K85">
        <f>'Horsefly Swamp'!I11</f>
        <v>1584</v>
      </c>
      <c r="L85">
        <f>'Horsefly Swamp'!J11</f>
        <v>18341</v>
      </c>
      <c r="M85">
        <f>'Horsefly Swamp'!K11</f>
        <v>114</v>
      </c>
      <c r="N85">
        <f>'Horsefly Swamp'!L11</f>
        <v>2225666</v>
      </c>
      <c r="O85">
        <f>'Horsefly Swamp'!M11</f>
        <v>23.5</v>
      </c>
      <c r="P85">
        <f>'Horsefly Swamp'!N11</f>
        <v>1037</v>
      </c>
      <c r="Q85">
        <f>'Horsefly Swamp'!O11</f>
        <v>739</v>
      </c>
      <c r="R85">
        <f>'Horsefly Swamp'!P11</f>
        <v>65</v>
      </c>
      <c r="S85">
        <f>'Horsefly Swamp'!Q11</f>
        <v>51132</v>
      </c>
      <c r="T85">
        <f>'Horsefly Swamp'!R11</f>
        <v>0.5</v>
      </c>
      <c r="U85">
        <f>'Horsefly Swamp'!S11</f>
        <v>1154</v>
      </c>
      <c r="V85">
        <f>'Horsefly Swamp'!T11</f>
        <v>1</v>
      </c>
      <c r="W85">
        <f>'Horsefly Swamp'!U11</f>
        <v>1</v>
      </c>
      <c r="X85">
        <f>'Horsefly Swamp'!V11</f>
        <v>1</v>
      </c>
      <c r="Y85">
        <f>'Horsefly Swamp'!W11</f>
        <v>0</v>
      </c>
      <c r="Z85">
        <f>'Horsefly Swamp'!X11</f>
        <v>1256</v>
      </c>
      <c r="AA85">
        <f>'Horsefly Swamp'!Y11</f>
        <v>1</v>
      </c>
      <c r="AB85">
        <f>'Horsefly Swamp'!Z11</f>
        <v>1</v>
      </c>
      <c r="AC85">
        <f>'Horsefly Swamp'!AA11</f>
        <v>1</v>
      </c>
      <c r="AD85">
        <f>'Horsefly Swamp'!AB11</f>
        <v>0</v>
      </c>
      <c r="AE85">
        <f>'Horsefly Swamp'!AC11</f>
        <v>1440</v>
      </c>
      <c r="AF85">
        <f>'Horsefly Swamp'!AD11</f>
        <v>29</v>
      </c>
      <c r="AG85">
        <f>'Horsefly Swamp'!AE11</f>
        <v>137</v>
      </c>
      <c r="AH85">
        <f>'Horsefly Swamp'!AF11</f>
        <v>4229</v>
      </c>
      <c r="AI85">
        <f>'Horsefly Swamp'!AG11</f>
        <v>0</v>
      </c>
      <c r="AJ85">
        <f>'Horsefly Swamp'!AH11</f>
        <v>1486</v>
      </c>
      <c r="AK85">
        <f>'Horsefly Swamp'!AI11</f>
        <v>895</v>
      </c>
      <c r="AL85">
        <f>'Horsefly Swamp'!AJ11</f>
        <v>47</v>
      </c>
      <c r="AM85">
        <f>'Horsefly Swamp'!AK11</f>
        <v>44777</v>
      </c>
      <c r="AN85">
        <f>'Horsefly Swamp'!AL11</f>
        <v>0.5</v>
      </c>
      <c r="AO85">
        <f>'Horsefly Swamp'!AM11</f>
        <v>1594</v>
      </c>
      <c r="AP85">
        <f>'Horsefly Swamp'!AN11</f>
        <v>585</v>
      </c>
      <c r="AQ85">
        <f>'Horsefly Swamp'!AO11</f>
        <v>23</v>
      </c>
      <c r="AR85">
        <f>'Horsefly Swamp'!AP11</f>
        <v>14322</v>
      </c>
      <c r="AS85">
        <f>'Horsefly Swamp'!AQ11</f>
        <v>0.2</v>
      </c>
      <c r="AT85">
        <f>'Horsefly Swamp'!AR11</f>
        <v>1736</v>
      </c>
      <c r="AU85">
        <f>'Horsefly Swamp'!AS11</f>
        <v>2265</v>
      </c>
      <c r="AV85">
        <f>'Horsefly Swamp'!AT11</f>
        <v>159</v>
      </c>
      <c r="AW85">
        <f>'Horsefly Swamp'!AU11</f>
        <v>383352</v>
      </c>
      <c r="AX85">
        <f>'Horsefly Swamp'!AV11</f>
        <v>4</v>
      </c>
    </row>
    <row r="86" spans="1:50">
      <c r="A86" t="str">
        <f>'Horsefly Swamp'!A12</f>
        <v>/Users/christophermarjo/Documents/Python/Projects/data/bushfire Raman/Horsefly Swamp/HF 1(3)</v>
      </c>
      <c r="B86" t="str">
        <f t="shared" si="0"/>
        <v>Horsefly Swamp</v>
      </c>
      <c r="C86">
        <v>1</v>
      </c>
      <c r="D86" t="str">
        <f>'Horsefly Swamp'!B12</f>
        <v>33.14 counts</v>
      </c>
      <c r="E86">
        <f>'Horsefly Swamp'!C12</f>
        <v>0.98861699999999997</v>
      </c>
      <c r="F86">
        <f>'Horsefly Swamp'!D12</f>
        <v>1367</v>
      </c>
      <c r="G86">
        <f>'Horsefly Swamp'!E12</f>
        <v>22081</v>
      </c>
      <c r="H86">
        <f>'Horsefly Swamp'!F12</f>
        <v>334</v>
      </c>
      <c r="I86">
        <f>'Horsefly Swamp'!G12</f>
        <v>7850502</v>
      </c>
      <c r="J86">
        <f>'Horsefly Swamp'!H12</f>
        <v>70.400000000000006</v>
      </c>
      <c r="K86">
        <f>'Horsefly Swamp'!I12</f>
        <v>1584</v>
      </c>
      <c r="L86">
        <f>'Horsefly Swamp'!J12</f>
        <v>20743</v>
      </c>
      <c r="M86">
        <f>'Horsefly Swamp'!K12</f>
        <v>114</v>
      </c>
      <c r="N86">
        <f>'Horsefly Swamp'!L12</f>
        <v>2517147</v>
      </c>
      <c r="O86">
        <f>'Horsefly Swamp'!M12</f>
        <v>22.6</v>
      </c>
      <c r="P86">
        <f>'Horsefly Swamp'!N12</f>
        <v>1047</v>
      </c>
      <c r="Q86">
        <f>'Horsefly Swamp'!O12</f>
        <v>845</v>
      </c>
      <c r="R86">
        <f>'Horsefly Swamp'!P12</f>
        <v>69</v>
      </c>
      <c r="S86">
        <f>'Horsefly Swamp'!Q12</f>
        <v>62064</v>
      </c>
      <c r="T86">
        <f>'Horsefly Swamp'!R12</f>
        <v>0.6</v>
      </c>
      <c r="U86">
        <f>'Horsefly Swamp'!S12</f>
        <v>1154</v>
      </c>
      <c r="V86">
        <f>'Horsefly Swamp'!T12</f>
        <v>1</v>
      </c>
      <c r="W86">
        <f>'Horsefly Swamp'!U12</f>
        <v>1</v>
      </c>
      <c r="X86">
        <f>'Horsefly Swamp'!V12</f>
        <v>1</v>
      </c>
      <c r="Y86">
        <f>'Horsefly Swamp'!W12</f>
        <v>0</v>
      </c>
      <c r="Z86">
        <f>'Horsefly Swamp'!X12</f>
        <v>1256</v>
      </c>
      <c r="AA86">
        <f>'Horsefly Swamp'!Y12</f>
        <v>1</v>
      </c>
      <c r="AB86">
        <f>'Horsefly Swamp'!Z12</f>
        <v>1</v>
      </c>
      <c r="AC86">
        <f>'Horsefly Swamp'!AA12</f>
        <v>1</v>
      </c>
      <c r="AD86">
        <f>'Horsefly Swamp'!AB12</f>
        <v>0</v>
      </c>
      <c r="AE86">
        <f>'Horsefly Swamp'!AC12</f>
        <v>1424</v>
      </c>
      <c r="AF86">
        <f>'Horsefly Swamp'!AD12</f>
        <v>127</v>
      </c>
      <c r="AG86">
        <f>'Horsefly Swamp'!AE12</f>
        <v>143</v>
      </c>
      <c r="AH86">
        <f>'Horsefly Swamp'!AF12</f>
        <v>19332</v>
      </c>
      <c r="AI86">
        <f>'Horsefly Swamp'!AG12</f>
        <v>0.2</v>
      </c>
      <c r="AJ86">
        <f>'Horsefly Swamp'!AH12</f>
        <v>1490</v>
      </c>
      <c r="AK86">
        <f>'Horsefly Swamp'!AI12</f>
        <v>1497</v>
      </c>
      <c r="AL86">
        <f>'Horsefly Swamp'!AJ12</f>
        <v>49</v>
      </c>
      <c r="AM86">
        <f>'Horsefly Swamp'!AK12</f>
        <v>78082</v>
      </c>
      <c r="AN86">
        <f>'Horsefly Swamp'!AL12</f>
        <v>0.7</v>
      </c>
      <c r="AO86">
        <f>'Horsefly Swamp'!AM12</f>
        <v>1594</v>
      </c>
      <c r="AP86">
        <f>'Horsefly Swamp'!AN12</f>
        <v>661</v>
      </c>
      <c r="AQ86">
        <f>'Horsefly Swamp'!AO12</f>
        <v>21</v>
      </c>
      <c r="AR86">
        <f>'Horsefly Swamp'!AP12</f>
        <v>14776</v>
      </c>
      <c r="AS86">
        <f>'Horsefly Swamp'!AQ12</f>
        <v>0.1</v>
      </c>
      <c r="AT86">
        <f>'Horsefly Swamp'!AR12</f>
        <v>1746</v>
      </c>
      <c r="AU86">
        <f>'Horsefly Swamp'!AS12</f>
        <v>2887</v>
      </c>
      <c r="AV86">
        <f>'Horsefly Swamp'!AT12</f>
        <v>199</v>
      </c>
      <c r="AW86">
        <f>'Horsefly Swamp'!AU12</f>
        <v>611550</v>
      </c>
      <c r="AX86">
        <f>'Horsefly Swamp'!AV12</f>
        <v>5.5</v>
      </c>
    </row>
    <row r="87" spans="1:50">
      <c r="A87" t="str">
        <f>'Horsefly Swamp'!A13</f>
        <v>/Users/christophermarjo/Documents/Python/Projects/data/bushfire Raman/Horsefly Swamp/HF 1(4)</v>
      </c>
      <c r="B87" t="str">
        <f t="shared" si="0"/>
        <v>Horsefly Swamp</v>
      </c>
      <c r="C87">
        <v>1</v>
      </c>
      <c r="D87" t="str">
        <f>'Horsefly Swamp'!B13</f>
        <v>18.31 counts</v>
      </c>
      <c r="E87">
        <f>'Horsefly Swamp'!C13</f>
        <v>0.98563800000000001</v>
      </c>
      <c r="F87">
        <f>'Horsefly Swamp'!D13</f>
        <v>1367</v>
      </c>
      <c r="G87">
        <f>'Horsefly Swamp'!E13</f>
        <v>10707</v>
      </c>
      <c r="H87">
        <f>'Horsefly Swamp'!F13</f>
        <v>336</v>
      </c>
      <c r="I87">
        <f>'Horsefly Swamp'!G13</f>
        <v>3829476</v>
      </c>
      <c r="J87">
        <f>'Horsefly Swamp'!H13</f>
        <v>70.099999999999994</v>
      </c>
      <c r="K87">
        <f>'Horsefly Swamp'!I13</f>
        <v>1586</v>
      </c>
      <c r="L87">
        <f>'Horsefly Swamp'!J13</f>
        <v>10587</v>
      </c>
      <c r="M87">
        <f>'Horsefly Swamp'!K13</f>
        <v>116</v>
      </c>
      <c r="N87">
        <f>'Horsefly Swamp'!L13</f>
        <v>1307263</v>
      </c>
      <c r="O87">
        <f>'Horsefly Swamp'!M13</f>
        <v>23.9</v>
      </c>
      <c r="P87">
        <f>'Horsefly Swamp'!N13</f>
        <v>1025</v>
      </c>
      <c r="Q87">
        <f>'Horsefly Swamp'!O13</f>
        <v>403</v>
      </c>
      <c r="R87">
        <f>'Horsefly Swamp'!P13</f>
        <v>51</v>
      </c>
      <c r="S87">
        <f>'Horsefly Swamp'!Q13</f>
        <v>21878</v>
      </c>
      <c r="T87">
        <f>'Horsefly Swamp'!R13</f>
        <v>0.4</v>
      </c>
      <c r="U87">
        <f>'Horsefly Swamp'!S13</f>
        <v>1154</v>
      </c>
      <c r="V87">
        <f>'Horsefly Swamp'!T13</f>
        <v>1</v>
      </c>
      <c r="W87">
        <f>'Horsefly Swamp'!U13</f>
        <v>1</v>
      </c>
      <c r="X87">
        <f>'Horsefly Swamp'!V13</f>
        <v>1</v>
      </c>
      <c r="Y87">
        <f>'Horsefly Swamp'!W13</f>
        <v>0</v>
      </c>
      <c r="Z87">
        <f>'Horsefly Swamp'!X13</f>
        <v>1256</v>
      </c>
      <c r="AA87">
        <f>'Horsefly Swamp'!Y13</f>
        <v>1</v>
      </c>
      <c r="AB87">
        <f>'Horsefly Swamp'!Z13</f>
        <v>1</v>
      </c>
      <c r="AC87">
        <f>'Horsefly Swamp'!AA13</f>
        <v>1</v>
      </c>
      <c r="AD87">
        <f>'Horsefly Swamp'!AB13</f>
        <v>0</v>
      </c>
      <c r="AE87">
        <f>'Horsefly Swamp'!AC13</f>
        <v>1456</v>
      </c>
      <c r="AF87">
        <f>'Horsefly Swamp'!AD13</f>
        <v>285</v>
      </c>
      <c r="AG87">
        <f>'Horsefly Swamp'!AE13</f>
        <v>63</v>
      </c>
      <c r="AH87">
        <f>'Horsefly Swamp'!AF13</f>
        <v>19113</v>
      </c>
      <c r="AI87">
        <f>'Horsefly Swamp'!AG13</f>
        <v>0.3</v>
      </c>
      <c r="AJ87">
        <f>'Horsefly Swamp'!AH13</f>
        <v>1484</v>
      </c>
      <c r="AK87">
        <f>'Horsefly Swamp'!AI13</f>
        <v>185</v>
      </c>
      <c r="AL87">
        <f>'Horsefly Swamp'!AJ13</f>
        <v>37</v>
      </c>
      <c r="AM87">
        <f>'Horsefly Swamp'!AK13</f>
        <v>7286</v>
      </c>
      <c r="AN87">
        <f>'Horsefly Swamp'!AL13</f>
        <v>0.1</v>
      </c>
      <c r="AO87">
        <f>'Horsefly Swamp'!AM13</f>
        <v>1582</v>
      </c>
      <c r="AP87">
        <f>'Horsefly Swamp'!AN13</f>
        <v>23</v>
      </c>
      <c r="AQ87">
        <f>'Horsefly Swamp'!AO13</f>
        <v>3</v>
      </c>
      <c r="AR87">
        <f>'Horsefly Swamp'!AP13</f>
        <v>73</v>
      </c>
      <c r="AS87">
        <f>'Horsefly Swamp'!AQ13</f>
        <v>0</v>
      </c>
      <c r="AT87">
        <f>'Horsefly Swamp'!AR13</f>
        <v>1748</v>
      </c>
      <c r="AU87">
        <f>'Horsefly Swamp'!AS13</f>
        <v>1327</v>
      </c>
      <c r="AV87">
        <f>'Horsefly Swamp'!AT13</f>
        <v>199</v>
      </c>
      <c r="AW87">
        <f>'Horsefly Swamp'!AU13</f>
        <v>281097</v>
      </c>
      <c r="AX87">
        <f>'Horsefly Swamp'!AV13</f>
        <v>5.0999999999999996</v>
      </c>
    </row>
    <row r="88" spans="1:50">
      <c r="A88" t="str">
        <f>'Horsefly Swamp'!A14</f>
        <v>/Users/christophermarjo/Documents/Python/Projects/data/bushfire Raman/Horsefly Swamp/HF 1(5)</v>
      </c>
      <c r="B88" t="str">
        <f t="shared" si="0"/>
        <v>Horsefly Swamp</v>
      </c>
      <c r="C88">
        <v>1</v>
      </c>
      <c r="D88" t="str">
        <f>'Horsefly Swamp'!B14</f>
        <v>24.03 counts</v>
      </c>
      <c r="E88">
        <f>'Horsefly Swamp'!C14</f>
        <v>0.98951500000000003</v>
      </c>
      <c r="F88">
        <f>'Horsefly Swamp'!D14</f>
        <v>1365</v>
      </c>
      <c r="G88">
        <f>'Horsefly Swamp'!E14</f>
        <v>16309</v>
      </c>
      <c r="H88">
        <f>'Horsefly Swamp'!F14</f>
        <v>316</v>
      </c>
      <c r="I88">
        <f>'Horsefly Swamp'!G14</f>
        <v>5485884</v>
      </c>
      <c r="J88">
        <f>'Horsefly Swamp'!H14</f>
        <v>68.099999999999994</v>
      </c>
      <c r="K88">
        <f>'Horsefly Swamp'!I14</f>
        <v>1584</v>
      </c>
      <c r="L88">
        <f>'Horsefly Swamp'!J14</f>
        <v>15983</v>
      </c>
      <c r="M88">
        <f>'Horsefly Swamp'!K14</f>
        <v>120</v>
      </c>
      <c r="N88">
        <f>'Horsefly Swamp'!L14</f>
        <v>2041605</v>
      </c>
      <c r="O88">
        <f>'Horsefly Swamp'!M14</f>
        <v>25.4</v>
      </c>
      <c r="P88">
        <f>'Horsefly Swamp'!N14</f>
        <v>1061</v>
      </c>
      <c r="Q88">
        <f>'Horsefly Swamp'!O14</f>
        <v>475</v>
      </c>
      <c r="R88">
        <f>'Horsefly Swamp'!P14</f>
        <v>59</v>
      </c>
      <c r="S88">
        <f>'Horsefly Swamp'!Q14</f>
        <v>29832</v>
      </c>
      <c r="T88">
        <f>'Horsefly Swamp'!R14</f>
        <v>0.4</v>
      </c>
      <c r="U88">
        <f>'Horsefly Swamp'!S14</f>
        <v>1192</v>
      </c>
      <c r="V88">
        <f>'Horsefly Swamp'!T14</f>
        <v>1629</v>
      </c>
      <c r="W88">
        <f>'Horsefly Swamp'!U14</f>
        <v>3</v>
      </c>
      <c r="X88">
        <f>'Horsefly Swamp'!V14</f>
        <v>5202</v>
      </c>
      <c r="Y88">
        <f>'Horsefly Swamp'!W14</f>
        <v>0.1</v>
      </c>
      <c r="Z88">
        <f>'Horsefly Swamp'!X14</f>
        <v>1256</v>
      </c>
      <c r="AA88">
        <f>'Horsefly Swamp'!Y14</f>
        <v>1</v>
      </c>
      <c r="AB88">
        <f>'Horsefly Swamp'!Z14</f>
        <v>1</v>
      </c>
      <c r="AC88">
        <f>'Horsefly Swamp'!AA14</f>
        <v>1</v>
      </c>
      <c r="AD88">
        <f>'Horsefly Swamp'!AB14</f>
        <v>0</v>
      </c>
      <c r="AE88">
        <f>'Horsefly Swamp'!AC14</f>
        <v>1440</v>
      </c>
      <c r="AF88">
        <f>'Horsefly Swamp'!AD14</f>
        <v>675</v>
      </c>
      <c r="AG88">
        <f>'Horsefly Swamp'!AE14</f>
        <v>89</v>
      </c>
      <c r="AH88">
        <f>'Horsefly Swamp'!AF14</f>
        <v>63948</v>
      </c>
      <c r="AI88">
        <f>'Horsefly Swamp'!AG14</f>
        <v>0.8</v>
      </c>
      <c r="AJ88">
        <f>'Horsefly Swamp'!AH14</f>
        <v>1506</v>
      </c>
      <c r="AK88">
        <f>'Horsefly Swamp'!AI14</f>
        <v>405</v>
      </c>
      <c r="AL88">
        <f>'Horsefly Swamp'!AJ14</f>
        <v>77</v>
      </c>
      <c r="AM88">
        <f>'Horsefly Swamp'!AK14</f>
        <v>33195</v>
      </c>
      <c r="AN88">
        <f>'Horsefly Swamp'!AL14</f>
        <v>0.4</v>
      </c>
      <c r="AO88">
        <f>'Horsefly Swamp'!AM14</f>
        <v>1582</v>
      </c>
      <c r="AP88">
        <f>'Horsefly Swamp'!AN14</f>
        <v>695</v>
      </c>
      <c r="AQ88">
        <f>'Horsefly Swamp'!AO14</f>
        <v>17</v>
      </c>
      <c r="AR88">
        <f>'Horsefly Swamp'!AP14</f>
        <v>12577</v>
      </c>
      <c r="AS88">
        <f>'Horsefly Swamp'!AQ14</f>
        <v>0.2</v>
      </c>
      <c r="AT88">
        <f>'Horsefly Swamp'!AR14</f>
        <v>1748</v>
      </c>
      <c r="AU88">
        <f>'Horsefly Swamp'!AS14</f>
        <v>1839</v>
      </c>
      <c r="AV88">
        <f>'Horsefly Swamp'!AT14</f>
        <v>193</v>
      </c>
      <c r="AW88">
        <f>'Horsefly Swamp'!AU14</f>
        <v>377808</v>
      </c>
      <c r="AX88">
        <f>'Horsefly Swamp'!AV14</f>
        <v>4.7</v>
      </c>
    </row>
    <row r="89" spans="1:50">
      <c r="A89" t="str">
        <f>'Horsefly Swamp'!A15</f>
        <v>/Users/christophermarjo/Documents/Python/Projects/data/bushfire Raman/Horsefly Swamp/HF 2 (1)</v>
      </c>
      <c r="B89" t="str">
        <f t="shared" si="0"/>
        <v>Horsefly Swamp</v>
      </c>
      <c r="C89">
        <v>2</v>
      </c>
      <c r="D89" t="str">
        <f>'Horsefly Swamp'!B15</f>
        <v>17.92 counts</v>
      </c>
      <c r="E89">
        <f>'Horsefly Swamp'!C15</f>
        <v>0.99146199999999995</v>
      </c>
      <c r="F89">
        <f>'Horsefly Swamp'!D15</f>
        <v>1369</v>
      </c>
      <c r="G89">
        <f>'Horsefly Swamp'!E15</f>
        <v>13243</v>
      </c>
      <c r="H89">
        <f>'Horsefly Swamp'!F15</f>
        <v>342</v>
      </c>
      <c r="I89">
        <f>'Horsefly Swamp'!G15</f>
        <v>4821084</v>
      </c>
      <c r="J89">
        <f>'Horsefly Swamp'!H15</f>
        <v>72.900000000000006</v>
      </c>
      <c r="K89">
        <f>'Horsefly Swamp'!I15</f>
        <v>1588</v>
      </c>
      <c r="L89">
        <f>'Horsefly Swamp'!J15</f>
        <v>13841</v>
      </c>
      <c r="M89">
        <f>'Horsefly Swamp'!K15</f>
        <v>104</v>
      </c>
      <c r="N89">
        <f>'Horsefly Swamp'!L15</f>
        <v>1532262</v>
      </c>
      <c r="O89">
        <f>'Horsefly Swamp'!M15</f>
        <v>23.2</v>
      </c>
      <c r="P89">
        <f>'Horsefly Swamp'!N15</f>
        <v>1031</v>
      </c>
      <c r="Q89">
        <f>'Horsefly Swamp'!O15</f>
        <v>411</v>
      </c>
      <c r="R89">
        <f>'Horsefly Swamp'!P15</f>
        <v>65</v>
      </c>
      <c r="S89">
        <f>'Horsefly Swamp'!Q15</f>
        <v>28437</v>
      </c>
      <c r="T89">
        <f>'Horsefly Swamp'!R15</f>
        <v>0.4</v>
      </c>
      <c r="U89">
        <f>'Horsefly Swamp'!S15</f>
        <v>1154</v>
      </c>
      <c r="V89">
        <f>'Horsefly Swamp'!T15</f>
        <v>1</v>
      </c>
      <c r="W89">
        <f>'Horsefly Swamp'!U15</f>
        <v>1</v>
      </c>
      <c r="X89">
        <f>'Horsefly Swamp'!V15</f>
        <v>1</v>
      </c>
      <c r="Y89">
        <f>'Horsefly Swamp'!W15</f>
        <v>0</v>
      </c>
      <c r="Z89">
        <f>'Horsefly Swamp'!X15</f>
        <v>1256</v>
      </c>
      <c r="AA89">
        <f>'Horsefly Swamp'!Y15</f>
        <v>1</v>
      </c>
      <c r="AB89">
        <f>'Horsefly Swamp'!Z15</f>
        <v>1</v>
      </c>
      <c r="AC89">
        <f>'Horsefly Swamp'!AA15</f>
        <v>1</v>
      </c>
      <c r="AD89">
        <f>'Horsefly Swamp'!AB15</f>
        <v>0</v>
      </c>
      <c r="AE89">
        <f>'Horsefly Swamp'!AC15</f>
        <v>1402</v>
      </c>
      <c r="AF89">
        <f>'Horsefly Swamp'!AD15</f>
        <v>31</v>
      </c>
      <c r="AG89">
        <f>'Horsefly Swamp'!AE15</f>
        <v>143</v>
      </c>
      <c r="AH89">
        <f>'Horsefly Swamp'!AF15</f>
        <v>4719</v>
      </c>
      <c r="AI89">
        <f>'Horsefly Swamp'!AG15</f>
        <v>0.1</v>
      </c>
      <c r="AJ89">
        <f>'Horsefly Swamp'!AH15</f>
        <v>1506</v>
      </c>
      <c r="AK89">
        <f>'Horsefly Swamp'!AI15</f>
        <v>631</v>
      </c>
      <c r="AL89">
        <f>'Horsefly Swamp'!AJ15</f>
        <v>29</v>
      </c>
      <c r="AM89">
        <f>'Horsefly Swamp'!AK15</f>
        <v>19479</v>
      </c>
      <c r="AN89">
        <f>'Horsefly Swamp'!AL15</f>
        <v>0.3</v>
      </c>
      <c r="AO89">
        <f>'Horsefly Swamp'!AM15</f>
        <v>1596</v>
      </c>
      <c r="AP89">
        <f>'Horsefly Swamp'!AN15</f>
        <v>421</v>
      </c>
      <c r="AQ89">
        <f>'Horsefly Swamp'!AO15</f>
        <v>19</v>
      </c>
      <c r="AR89">
        <f>'Horsefly Swamp'!AP15</f>
        <v>8515</v>
      </c>
      <c r="AS89">
        <f>'Horsefly Swamp'!AQ15</f>
        <v>0.1</v>
      </c>
      <c r="AT89">
        <f>'Horsefly Swamp'!AR15</f>
        <v>1724</v>
      </c>
      <c r="AU89">
        <f>'Horsefly Swamp'!AS15</f>
        <v>1551</v>
      </c>
      <c r="AV89">
        <f>'Horsefly Swamp'!AT15</f>
        <v>121</v>
      </c>
      <c r="AW89">
        <f>'Horsefly Swamp'!AU15</f>
        <v>199770</v>
      </c>
      <c r="AX89">
        <f>'Horsefly Swamp'!AV15</f>
        <v>3</v>
      </c>
    </row>
    <row r="90" spans="1:50">
      <c r="A90" t="str">
        <f>'Horsefly Swamp'!A16</f>
        <v>/Users/christophermarjo/Documents/Python/Projects/data/bushfire Raman/Horsefly Swamp/HF 2 (2)</v>
      </c>
      <c r="B90" t="str">
        <f t="shared" si="0"/>
        <v>Horsefly Swamp</v>
      </c>
      <c r="C90">
        <v>2</v>
      </c>
      <c r="D90" t="str">
        <f>'Horsefly Swamp'!B16</f>
        <v>20.44 counts</v>
      </c>
      <c r="E90">
        <f>'Horsefly Swamp'!C16</f>
        <v>0.99169600000000002</v>
      </c>
      <c r="F90">
        <f>'Horsefly Swamp'!D16</f>
        <v>1369</v>
      </c>
      <c r="G90">
        <f>'Horsefly Swamp'!E16</f>
        <v>15083</v>
      </c>
      <c r="H90">
        <f>'Horsefly Swamp'!F16</f>
        <v>340</v>
      </c>
      <c r="I90">
        <f>'Horsefly Swamp'!G16</f>
        <v>5458821</v>
      </c>
      <c r="J90">
        <f>'Horsefly Swamp'!H16</f>
        <v>71.900000000000006</v>
      </c>
      <c r="K90">
        <f>'Horsefly Swamp'!I16</f>
        <v>1588</v>
      </c>
      <c r="L90">
        <f>'Horsefly Swamp'!J16</f>
        <v>16395</v>
      </c>
      <c r="M90">
        <f>'Horsefly Swamp'!K16</f>
        <v>104</v>
      </c>
      <c r="N90">
        <f>'Horsefly Swamp'!L16</f>
        <v>1815001</v>
      </c>
      <c r="O90">
        <f>'Horsefly Swamp'!M16</f>
        <v>23.9</v>
      </c>
      <c r="P90">
        <f>'Horsefly Swamp'!N16</f>
        <v>1053</v>
      </c>
      <c r="Q90">
        <f>'Horsefly Swamp'!O16</f>
        <v>379</v>
      </c>
      <c r="R90">
        <f>'Horsefly Swamp'!P16</f>
        <v>61</v>
      </c>
      <c r="S90">
        <f>'Horsefly Swamp'!Q16</f>
        <v>24609</v>
      </c>
      <c r="T90">
        <f>'Horsefly Swamp'!R16</f>
        <v>0.3</v>
      </c>
      <c r="U90">
        <f>'Horsefly Swamp'!S16</f>
        <v>1154</v>
      </c>
      <c r="V90">
        <f>'Horsefly Swamp'!T16</f>
        <v>1</v>
      </c>
      <c r="W90">
        <f>'Horsefly Swamp'!U16</f>
        <v>1</v>
      </c>
      <c r="X90">
        <f>'Horsefly Swamp'!V16</f>
        <v>1</v>
      </c>
      <c r="Y90">
        <f>'Horsefly Swamp'!W16</f>
        <v>0</v>
      </c>
      <c r="Z90">
        <f>'Horsefly Swamp'!X16</f>
        <v>1256</v>
      </c>
      <c r="AA90">
        <f>'Horsefly Swamp'!Y16</f>
        <v>1</v>
      </c>
      <c r="AB90">
        <f>'Horsefly Swamp'!Z16</f>
        <v>1</v>
      </c>
      <c r="AC90">
        <f>'Horsefly Swamp'!AA16</f>
        <v>1</v>
      </c>
      <c r="AD90">
        <f>'Horsefly Swamp'!AB16</f>
        <v>0</v>
      </c>
      <c r="AE90">
        <f>'Horsefly Swamp'!AC16</f>
        <v>1440</v>
      </c>
      <c r="AF90">
        <f>'Horsefly Swamp'!AD16</f>
        <v>229</v>
      </c>
      <c r="AG90">
        <f>'Horsefly Swamp'!AE16</f>
        <v>133</v>
      </c>
      <c r="AH90">
        <f>'Horsefly Swamp'!AF16</f>
        <v>32420</v>
      </c>
      <c r="AI90">
        <f>'Horsefly Swamp'!AG16</f>
        <v>0.4</v>
      </c>
      <c r="AJ90">
        <f>'Horsefly Swamp'!AH16</f>
        <v>1496</v>
      </c>
      <c r="AK90">
        <f>'Horsefly Swamp'!AI16</f>
        <v>687</v>
      </c>
      <c r="AL90">
        <f>'Horsefly Swamp'!AJ16</f>
        <v>39</v>
      </c>
      <c r="AM90">
        <f>'Horsefly Swamp'!AK16</f>
        <v>28520</v>
      </c>
      <c r="AN90">
        <f>'Horsefly Swamp'!AL16</f>
        <v>0.4</v>
      </c>
      <c r="AO90">
        <f>'Horsefly Swamp'!AM16</f>
        <v>1598</v>
      </c>
      <c r="AP90">
        <f>'Horsefly Swamp'!AN16</f>
        <v>585</v>
      </c>
      <c r="AQ90">
        <f>'Horsefly Swamp'!AO16</f>
        <v>23</v>
      </c>
      <c r="AR90">
        <f>'Horsefly Swamp'!AP16</f>
        <v>14322</v>
      </c>
      <c r="AS90">
        <f>'Horsefly Swamp'!AQ16</f>
        <v>0.2</v>
      </c>
      <c r="AT90">
        <f>'Horsefly Swamp'!AR16</f>
        <v>1726</v>
      </c>
      <c r="AU90">
        <f>'Horsefly Swamp'!AS16</f>
        <v>1623</v>
      </c>
      <c r="AV90">
        <f>'Horsefly Swamp'!AT16</f>
        <v>129</v>
      </c>
      <c r="AW90">
        <f>'Horsefly Swamp'!AU16</f>
        <v>222864</v>
      </c>
      <c r="AX90">
        <f>'Horsefly Swamp'!AV16</f>
        <v>2.9</v>
      </c>
    </row>
    <row r="91" spans="1:50">
      <c r="A91" t="str">
        <f>'Horsefly Swamp'!A17</f>
        <v>/Users/christophermarjo/Documents/Python/Projects/data/bushfire Raman/Horsefly Swamp/HF 2 (3)</v>
      </c>
      <c r="B91" t="str">
        <f t="shared" si="0"/>
        <v>Horsefly Swamp</v>
      </c>
      <c r="C91">
        <v>2</v>
      </c>
      <c r="D91" t="str">
        <f>'Horsefly Swamp'!B17</f>
        <v>22.18 counts</v>
      </c>
      <c r="E91">
        <f>'Horsefly Swamp'!C17</f>
        <v>0.988398</v>
      </c>
      <c r="F91">
        <f>'Horsefly Swamp'!D17</f>
        <v>1369</v>
      </c>
      <c r="G91">
        <f>'Horsefly Swamp'!E17</f>
        <v>14279</v>
      </c>
      <c r="H91">
        <f>'Horsefly Swamp'!F17</f>
        <v>330</v>
      </c>
      <c r="I91">
        <f>'Horsefly Swamp'!G17</f>
        <v>5015843</v>
      </c>
      <c r="J91">
        <f>'Horsefly Swamp'!H17</f>
        <v>71.7</v>
      </c>
      <c r="K91">
        <f>'Horsefly Swamp'!I17</f>
        <v>1588</v>
      </c>
      <c r="L91">
        <f>'Horsefly Swamp'!J17</f>
        <v>14573</v>
      </c>
      <c r="M91">
        <f>'Horsefly Swamp'!K17</f>
        <v>106</v>
      </c>
      <c r="N91">
        <f>'Horsefly Swamp'!L17</f>
        <v>1644323</v>
      </c>
      <c r="O91">
        <f>'Horsefly Swamp'!M17</f>
        <v>23.5</v>
      </c>
      <c r="P91">
        <f>'Horsefly Swamp'!N17</f>
        <v>1025</v>
      </c>
      <c r="Q91">
        <f>'Horsefly Swamp'!O17</f>
        <v>483</v>
      </c>
      <c r="R91">
        <f>'Horsefly Swamp'!P17</f>
        <v>65</v>
      </c>
      <c r="S91">
        <f>'Horsefly Swamp'!Q17</f>
        <v>33419</v>
      </c>
      <c r="T91">
        <f>'Horsefly Swamp'!R17</f>
        <v>0.5</v>
      </c>
      <c r="U91">
        <f>'Horsefly Swamp'!S17</f>
        <v>1154</v>
      </c>
      <c r="V91">
        <f>'Horsefly Swamp'!T17</f>
        <v>1</v>
      </c>
      <c r="W91">
        <f>'Horsefly Swamp'!U17</f>
        <v>1</v>
      </c>
      <c r="X91">
        <f>'Horsefly Swamp'!V17</f>
        <v>1</v>
      </c>
      <c r="Y91">
        <f>'Horsefly Swamp'!W17</f>
        <v>0</v>
      </c>
      <c r="Z91">
        <f>'Horsefly Swamp'!X17</f>
        <v>1256</v>
      </c>
      <c r="AA91">
        <f>'Horsefly Swamp'!Y17</f>
        <v>1</v>
      </c>
      <c r="AB91">
        <f>'Horsefly Swamp'!Z17</f>
        <v>1</v>
      </c>
      <c r="AC91">
        <f>'Horsefly Swamp'!AA17</f>
        <v>1</v>
      </c>
      <c r="AD91">
        <f>'Horsefly Swamp'!AB17</f>
        <v>0</v>
      </c>
      <c r="AE91">
        <f>'Horsefly Swamp'!AC17</f>
        <v>1440</v>
      </c>
      <c r="AF91">
        <f>'Horsefly Swamp'!AD17</f>
        <v>99</v>
      </c>
      <c r="AG91">
        <f>'Horsefly Swamp'!AE17</f>
        <v>129</v>
      </c>
      <c r="AH91">
        <f>'Horsefly Swamp'!AF17</f>
        <v>13594</v>
      </c>
      <c r="AI91">
        <f>'Horsefly Swamp'!AG17</f>
        <v>0.2</v>
      </c>
      <c r="AJ91">
        <f>'Horsefly Swamp'!AH17</f>
        <v>1494</v>
      </c>
      <c r="AK91">
        <f>'Horsefly Swamp'!AI17</f>
        <v>1029</v>
      </c>
      <c r="AL91">
        <f>'Horsefly Swamp'!AJ17</f>
        <v>55</v>
      </c>
      <c r="AM91">
        <f>'Horsefly Swamp'!AK17</f>
        <v>60244</v>
      </c>
      <c r="AN91">
        <f>'Horsefly Swamp'!AL17</f>
        <v>0.9</v>
      </c>
      <c r="AO91">
        <f>'Horsefly Swamp'!AM17</f>
        <v>1586</v>
      </c>
      <c r="AP91">
        <f>'Horsefly Swamp'!AN17</f>
        <v>363</v>
      </c>
      <c r="AQ91">
        <f>'Horsefly Swamp'!AO17</f>
        <v>5</v>
      </c>
      <c r="AR91">
        <f>'Horsefly Swamp'!AP17</f>
        <v>1932</v>
      </c>
      <c r="AS91">
        <f>'Horsefly Swamp'!AQ17</f>
        <v>0</v>
      </c>
      <c r="AT91">
        <f>'Horsefly Swamp'!AR17</f>
        <v>1724</v>
      </c>
      <c r="AU91">
        <f>'Horsefly Swamp'!AS17</f>
        <v>1971</v>
      </c>
      <c r="AV91">
        <f>'Horsefly Swamp'!AT17</f>
        <v>109</v>
      </c>
      <c r="AW91">
        <f>'Horsefly Swamp'!AU17</f>
        <v>228689</v>
      </c>
      <c r="AX91">
        <f>'Horsefly Swamp'!AV17</f>
        <v>3.3</v>
      </c>
    </row>
    <row r="92" spans="1:50">
      <c r="A92" t="str">
        <f>'Horsefly Swamp'!A18</f>
        <v>/Users/christophermarjo/Documents/Python/Projects/data/bushfire Raman/Horsefly Swamp/HF 2 (4)</v>
      </c>
      <c r="B92" t="str">
        <f t="shared" si="0"/>
        <v>Horsefly Swamp</v>
      </c>
      <c r="C92">
        <v>2</v>
      </c>
      <c r="D92" t="str">
        <f>'Horsefly Swamp'!B18</f>
        <v>17.84 counts</v>
      </c>
      <c r="E92">
        <f>'Horsefly Swamp'!C18</f>
        <v>0.98967899999999998</v>
      </c>
      <c r="F92">
        <f>'Horsefly Swamp'!D18</f>
        <v>1369</v>
      </c>
      <c r="G92">
        <f>'Horsefly Swamp'!E18</f>
        <v>12167</v>
      </c>
      <c r="H92">
        <f>'Horsefly Swamp'!F18</f>
        <v>336</v>
      </c>
      <c r="I92">
        <f>'Horsefly Swamp'!G18</f>
        <v>4351660</v>
      </c>
      <c r="J92">
        <f>'Horsefly Swamp'!H18</f>
        <v>72.900000000000006</v>
      </c>
      <c r="K92">
        <f>'Horsefly Swamp'!I18</f>
        <v>1590</v>
      </c>
      <c r="L92">
        <f>'Horsefly Swamp'!J18</f>
        <v>12389</v>
      </c>
      <c r="M92">
        <f>'Horsefly Swamp'!K18</f>
        <v>104</v>
      </c>
      <c r="N92">
        <f>'Horsefly Swamp'!L18</f>
        <v>1371519</v>
      </c>
      <c r="O92">
        <f>'Horsefly Swamp'!M18</f>
        <v>23</v>
      </c>
      <c r="P92">
        <f>'Horsefly Swamp'!N18</f>
        <v>1047</v>
      </c>
      <c r="Q92">
        <f>'Horsefly Swamp'!O18</f>
        <v>279</v>
      </c>
      <c r="R92">
        <f>'Horsefly Swamp'!P18</f>
        <v>55</v>
      </c>
      <c r="S92">
        <f>'Horsefly Swamp'!Q18</f>
        <v>16334</v>
      </c>
      <c r="T92">
        <f>'Horsefly Swamp'!R18</f>
        <v>0.3</v>
      </c>
      <c r="U92">
        <f>'Horsefly Swamp'!S18</f>
        <v>1154</v>
      </c>
      <c r="V92">
        <f>'Horsefly Swamp'!T18</f>
        <v>1</v>
      </c>
      <c r="W92">
        <f>'Horsefly Swamp'!U18</f>
        <v>1</v>
      </c>
      <c r="X92">
        <f>'Horsefly Swamp'!V18</f>
        <v>1</v>
      </c>
      <c r="Y92">
        <f>'Horsefly Swamp'!W18</f>
        <v>0</v>
      </c>
      <c r="Z92">
        <f>'Horsefly Swamp'!X18</f>
        <v>1256</v>
      </c>
      <c r="AA92">
        <f>'Horsefly Swamp'!Y18</f>
        <v>1</v>
      </c>
      <c r="AB92">
        <f>'Horsefly Swamp'!Z18</f>
        <v>1</v>
      </c>
      <c r="AC92">
        <f>'Horsefly Swamp'!AA18</f>
        <v>1</v>
      </c>
      <c r="AD92">
        <f>'Horsefly Swamp'!AB18</f>
        <v>0</v>
      </c>
      <c r="AE92">
        <f>'Horsefly Swamp'!AC18</f>
        <v>1456</v>
      </c>
      <c r="AF92">
        <f>'Horsefly Swamp'!AD18</f>
        <v>239</v>
      </c>
      <c r="AG92">
        <f>'Horsefly Swamp'!AE18</f>
        <v>135</v>
      </c>
      <c r="AH92">
        <f>'Horsefly Swamp'!AF18</f>
        <v>34345</v>
      </c>
      <c r="AI92">
        <f>'Horsefly Swamp'!AG18</f>
        <v>0.6</v>
      </c>
      <c r="AJ92">
        <f>'Horsefly Swamp'!AH18</f>
        <v>1502</v>
      </c>
      <c r="AK92">
        <f>'Horsefly Swamp'!AI18</f>
        <v>867</v>
      </c>
      <c r="AL92">
        <f>'Horsefly Swamp'!AJ18</f>
        <v>39</v>
      </c>
      <c r="AM92">
        <f>'Horsefly Swamp'!AK18</f>
        <v>35993</v>
      </c>
      <c r="AN92">
        <f>'Horsefly Swamp'!AL18</f>
        <v>0.6</v>
      </c>
      <c r="AO92">
        <f>'Horsefly Swamp'!AM18</f>
        <v>1596</v>
      </c>
      <c r="AP92">
        <f>'Horsefly Swamp'!AN18</f>
        <v>1149</v>
      </c>
      <c r="AQ92">
        <f>'Horsefly Swamp'!AO18</f>
        <v>1</v>
      </c>
      <c r="AR92">
        <f>'Horsefly Swamp'!AP18</f>
        <v>1223</v>
      </c>
      <c r="AS92">
        <f>'Horsefly Swamp'!AQ18</f>
        <v>0</v>
      </c>
      <c r="AT92">
        <f>'Horsefly Swamp'!AR18</f>
        <v>1724</v>
      </c>
      <c r="AU92">
        <f>'Horsefly Swamp'!AS18</f>
        <v>1247</v>
      </c>
      <c r="AV92">
        <f>'Horsefly Swamp'!AT18</f>
        <v>121</v>
      </c>
      <c r="AW92">
        <f>'Horsefly Swamp'!AU18</f>
        <v>160614</v>
      </c>
      <c r="AX92">
        <f>'Horsefly Swamp'!AV18</f>
        <v>2.7</v>
      </c>
    </row>
    <row r="93" spans="1:50">
      <c r="A93" t="str">
        <f>'Horsefly Swamp'!A19</f>
        <v>/Users/christophermarjo/Documents/Python/Projects/data/bushfire Raman/Horsefly Swamp/HF 2 (5)</v>
      </c>
      <c r="B93" t="str">
        <f t="shared" si="0"/>
        <v>Horsefly Swamp</v>
      </c>
      <c r="C93">
        <v>2</v>
      </c>
      <c r="D93" t="str">
        <f>'Horsefly Swamp'!B19</f>
        <v>82.57 counts</v>
      </c>
      <c r="E93">
        <f>'Horsefly Swamp'!C19</f>
        <v>0.98634599999999995</v>
      </c>
      <c r="F93">
        <f>'Horsefly Swamp'!D19</f>
        <v>1367</v>
      </c>
      <c r="G93">
        <f>'Horsefly Swamp'!E19</f>
        <v>45941</v>
      </c>
      <c r="H93">
        <f>'Horsefly Swamp'!F19</f>
        <v>346</v>
      </c>
      <c r="I93">
        <f>'Horsefly Swamp'!G19</f>
        <v>16920327</v>
      </c>
      <c r="J93">
        <f>'Horsefly Swamp'!H19</f>
        <v>70.2</v>
      </c>
      <c r="K93">
        <f>'Horsefly Swamp'!I19</f>
        <v>1588</v>
      </c>
      <c r="L93">
        <f>'Horsefly Swamp'!J19</f>
        <v>54609</v>
      </c>
      <c r="M93">
        <f>'Horsefly Swamp'!K19</f>
        <v>104</v>
      </c>
      <c r="N93">
        <f>'Horsefly Swamp'!L19</f>
        <v>6045466</v>
      </c>
      <c r="O93">
        <f>'Horsefly Swamp'!M19</f>
        <v>25.1</v>
      </c>
      <c r="P93">
        <f>'Horsefly Swamp'!N19</f>
        <v>1047</v>
      </c>
      <c r="Q93">
        <f>'Horsefly Swamp'!O19</f>
        <v>1109</v>
      </c>
      <c r="R93">
        <f>'Horsefly Swamp'!P19</f>
        <v>53</v>
      </c>
      <c r="S93">
        <f>'Horsefly Swamp'!Q19</f>
        <v>62566</v>
      </c>
      <c r="T93">
        <f>'Horsefly Swamp'!R19</f>
        <v>0.3</v>
      </c>
      <c r="U93">
        <f>'Horsefly Swamp'!S19</f>
        <v>1154</v>
      </c>
      <c r="V93">
        <f>'Horsefly Swamp'!T19</f>
        <v>1</v>
      </c>
      <c r="W93">
        <f>'Horsefly Swamp'!U19</f>
        <v>1</v>
      </c>
      <c r="X93">
        <f>'Horsefly Swamp'!V19</f>
        <v>1</v>
      </c>
      <c r="Y93">
        <f>'Horsefly Swamp'!W19</f>
        <v>0</v>
      </c>
      <c r="Z93">
        <f>'Horsefly Swamp'!X19</f>
        <v>1256</v>
      </c>
      <c r="AA93">
        <f>'Horsefly Swamp'!Y19</f>
        <v>1</v>
      </c>
      <c r="AB93">
        <f>'Horsefly Swamp'!Z19</f>
        <v>1</v>
      </c>
      <c r="AC93">
        <f>'Horsefly Swamp'!AA19</f>
        <v>1</v>
      </c>
      <c r="AD93">
        <f>'Horsefly Swamp'!AB19</f>
        <v>0</v>
      </c>
      <c r="AE93">
        <f>'Horsefly Swamp'!AC19</f>
        <v>1440</v>
      </c>
      <c r="AF93">
        <f>'Horsefly Swamp'!AD19</f>
        <v>431</v>
      </c>
      <c r="AG93">
        <f>'Horsefly Swamp'!AE19</f>
        <v>123</v>
      </c>
      <c r="AH93">
        <f>'Horsefly Swamp'!AF19</f>
        <v>56431</v>
      </c>
      <c r="AI93">
        <f>'Horsefly Swamp'!AG19</f>
        <v>0.2</v>
      </c>
      <c r="AJ93">
        <f>'Horsefly Swamp'!AH19</f>
        <v>1500</v>
      </c>
      <c r="AK93">
        <f>'Horsefly Swamp'!AI19</f>
        <v>3959</v>
      </c>
      <c r="AL93">
        <f>'Horsefly Swamp'!AJ19</f>
        <v>57</v>
      </c>
      <c r="AM93">
        <f>'Horsefly Swamp'!AK19</f>
        <v>240211</v>
      </c>
      <c r="AN93">
        <f>'Horsefly Swamp'!AL19</f>
        <v>1</v>
      </c>
      <c r="AO93">
        <f>'Horsefly Swamp'!AM19</f>
        <v>1582</v>
      </c>
      <c r="AP93">
        <f>'Horsefly Swamp'!AN19</f>
        <v>261</v>
      </c>
      <c r="AQ93">
        <f>'Horsefly Swamp'!AO19</f>
        <v>27</v>
      </c>
      <c r="AR93">
        <f>'Horsefly Swamp'!AP19</f>
        <v>7501</v>
      </c>
      <c r="AS93">
        <f>'Horsefly Swamp'!AQ19</f>
        <v>0</v>
      </c>
      <c r="AT93">
        <f>'Horsefly Swamp'!AR19</f>
        <v>1728</v>
      </c>
      <c r="AU93">
        <f>'Horsefly Swamp'!AS19</f>
        <v>6597</v>
      </c>
      <c r="AV93">
        <f>'Horsefly Swamp'!AT19</f>
        <v>111</v>
      </c>
      <c r="AW93">
        <f>'Horsefly Swamp'!AU19</f>
        <v>779474</v>
      </c>
      <c r="AX93">
        <f>'Horsefly Swamp'!AV19</f>
        <v>3.2</v>
      </c>
    </row>
    <row r="94" spans="1:50">
      <c r="A94" t="str">
        <f>'Horsefly Swamp'!A20</f>
        <v>/Users/christophermarjo/Documents/Python/Projects/data/bushfire Raman/Horsefly Swamp/HF 2.5 (1)</v>
      </c>
      <c r="B94" t="str">
        <f t="shared" si="0"/>
        <v>Horsefly Swamp</v>
      </c>
      <c r="C94">
        <v>2.5</v>
      </c>
      <c r="D94" t="str">
        <f>'Horsefly Swamp'!B20</f>
        <v>10.04 counts</v>
      </c>
      <c r="E94">
        <f>'Horsefly Swamp'!C20</f>
        <v>0.99096099999999998</v>
      </c>
      <c r="F94">
        <f>'Horsefly Swamp'!D20</f>
        <v>1369</v>
      </c>
      <c r="G94">
        <f>'Horsefly Swamp'!E20</f>
        <v>7325</v>
      </c>
      <c r="H94">
        <f>'Horsefly Swamp'!F20</f>
        <v>330</v>
      </c>
      <c r="I94">
        <f>'Horsefly Swamp'!G20</f>
        <v>2573083</v>
      </c>
      <c r="J94">
        <f>'Horsefly Swamp'!H20</f>
        <v>75.099999999999994</v>
      </c>
      <c r="K94">
        <f>'Horsefly Swamp'!I20</f>
        <v>1590</v>
      </c>
      <c r="L94">
        <f>'Horsefly Swamp'!J20</f>
        <v>7055</v>
      </c>
      <c r="M94">
        <f>'Horsefly Swamp'!K20</f>
        <v>100</v>
      </c>
      <c r="N94">
        <f>'Horsefly Swamp'!L20</f>
        <v>750981</v>
      </c>
      <c r="O94">
        <f>'Horsefly Swamp'!M20</f>
        <v>21.9</v>
      </c>
      <c r="P94">
        <f>'Horsefly Swamp'!N20</f>
        <v>1033</v>
      </c>
      <c r="Q94">
        <f>'Horsefly Swamp'!O20</f>
        <v>239</v>
      </c>
      <c r="R94">
        <f>'Horsefly Swamp'!P20</f>
        <v>79</v>
      </c>
      <c r="S94">
        <f>'Horsefly Swamp'!Q20</f>
        <v>20098</v>
      </c>
      <c r="T94">
        <f>'Horsefly Swamp'!R20</f>
        <v>0.6</v>
      </c>
      <c r="U94">
        <f>'Horsefly Swamp'!S20</f>
        <v>1158</v>
      </c>
      <c r="V94">
        <f>'Horsefly Swamp'!T20</f>
        <v>1</v>
      </c>
      <c r="W94">
        <f>'Horsefly Swamp'!U20</f>
        <v>1</v>
      </c>
      <c r="X94">
        <f>'Horsefly Swamp'!V20</f>
        <v>1</v>
      </c>
      <c r="Y94">
        <f>'Horsefly Swamp'!W20</f>
        <v>0</v>
      </c>
      <c r="Z94">
        <f>'Horsefly Swamp'!X20</f>
        <v>1296</v>
      </c>
      <c r="AA94">
        <f>'Horsefly Swamp'!Y20</f>
        <v>57</v>
      </c>
      <c r="AB94">
        <f>'Horsefly Swamp'!Z20</f>
        <v>7</v>
      </c>
      <c r="AC94">
        <f>'Horsefly Swamp'!AA20</f>
        <v>425</v>
      </c>
      <c r="AD94">
        <f>'Horsefly Swamp'!AB20</f>
        <v>0</v>
      </c>
      <c r="AE94">
        <f>'Horsefly Swamp'!AC20</f>
        <v>1400</v>
      </c>
      <c r="AF94">
        <f>'Horsefly Swamp'!AD20</f>
        <v>1</v>
      </c>
      <c r="AG94">
        <f>'Horsefly Swamp'!AE20</f>
        <v>1</v>
      </c>
      <c r="AH94">
        <f>'Horsefly Swamp'!AF20</f>
        <v>1</v>
      </c>
      <c r="AI94">
        <f>'Horsefly Swamp'!AG20</f>
        <v>0</v>
      </c>
      <c r="AJ94">
        <f>'Horsefly Swamp'!AH20</f>
        <v>1494</v>
      </c>
      <c r="AK94">
        <f>'Horsefly Swamp'!AI20</f>
        <v>85</v>
      </c>
      <c r="AL94">
        <f>'Horsefly Swamp'!AJ20</f>
        <v>11</v>
      </c>
      <c r="AM94">
        <f>'Horsefly Swamp'!AK20</f>
        <v>995</v>
      </c>
      <c r="AN94">
        <f>'Horsefly Swamp'!AL20</f>
        <v>0</v>
      </c>
      <c r="AO94">
        <f>'Horsefly Swamp'!AM20</f>
        <v>1598</v>
      </c>
      <c r="AP94">
        <f>'Horsefly Swamp'!AN20</f>
        <v>1181</v>
      </c>
      <c r="AQ94">
        <f>'Horsefly Swamp'!AO20</f>
        <v>29</v>
      </c>
      <c r="AR94">
        <f>'Horsefly Swamp'!AP20</f>
        <v>36457</v>
      </c>
      <c r="AS94">
        <f>'Horsefly Swamp'!AQ20</f>
        <v>1.1000000000000001</v>
      </c>
      <c r="AT94">
        <f>'Horsefly Swamp'!AR20</f>
        <v>1724</v>
      </c>
      <c r="AU94">
        <f>'Horsefly Swamp'!AS20</f>
        <v>445</v>
      </c>
      <c r="AV94">
        <f>'Horsefly Swamp'!AT20</f>
        <v>95</v>
      </c>
      <c r="AW94">
        <f>'Horsefly Swamp'!AU20</f>
        <v>45000</v>
      </c>
      <c r="AX94">
        <f>'Horsefly Swamp'!AV20</f>
        <v>1.3</v>
      </c>
    </row>
    <row r="95" spans="1:50">
      <c r="A95" t="str">
        <f>'Horsefly Swamp'!A21</f>
        <v>/Users/christophermarjo/Documents/Python/Projects/data/bushfire Raman/Horsefly Swamp/HF 2.5 (2)</v>
      </c>
      <c r="B95" t="str">
        <f t="shared" si="0"/>
        <v>Horsefly Swamp</v>
      </c>
      <c r="C95">
        <v>2.5</v>
      </c>
      <c r="D95" t="str">
        <f>'Horsefly Swamp'!B21</f>
        <v>16.83 counts</v>
      </c>
      <c r="E95">
        <f>'Horsefly Swamp'!C21</f>
        <v>0.99106499999999997</v>
      </c>
      <c r="F95">
        <f>'Horsefly Swamp'!D21</f>
        <v>1369</v>
      </c>
      <c r="G95">
        <f>'Horsefly Swamp'!E21</f>
        <v>12343</v>
      </c>
      <c r="H95">
        <f>'Horsefly Swamp'!F21</f>
        <v>318</v>
      </c>
      <c r="I95">
        <f>'Horsefly Swamp'!G21</f>
        <v>4178112</v>
      </c>
      <c r="J95">
        <f>'Horsefly Swamp'!H21</f>
        <v>71.5</v>
      </c>
      <c r="K95">
        <f>'Horsefly Swamp'!I21</f>
        <v>1594</v>
      </c>
      <c r="L95">
        <f>'Horsefly Swamp'!J21</f>
        <v>12901</v>
      </c>
      <c r="M95">
        <f>'Horsefly Swamp'!K21</f>
        <v>100</v>
      </c>
      <c r="N95">
        <f>'Horsefly Swamp'!L21</f>
        <v>1373269</v>
      </c>
      <c r="O95">
        <f>'Horsefly Swamp'!M21</f>
        <v>23.5</v>
      </c>
      <c r="P95">
        <f>'Horsefly Swamp'!N21</f>
        <v>1057</v>
      </c>
      <c r="Q95">
        <f>'Horsefly Swamp'!O21</f>
        <v>521</v>
      </c>
      <c r="R95">
        <f>'Horsefly Swamp'!P21</f>
        <v>107</v>
      </c>
      <c r="S95">
        <f>'Horsefly Swamp'!Q21</f>
        <v>59341</v>
      </c>
      <c r="T95">
        <f>'Horsefly Swamp'!R21</f>
        <v>1</v>
      </c>
      <c r="U95">
        <f>'Horsefly Swamp'!S21</f>
        <v>1156</v>
      </c>
      <c r="V95">
        <f>'Horsefly Swamp'!T21</f>
        <v>11</v>
      </c>
      <c r="W95">
        <f>'Horsefly Swamp'!U21</f>
        <v>31</v>
      </c>
      <c r="X95">
        <f>'Horsefly Swamp'!V21</f>
        <v>363</v>
      </c>
      <c r="Y95">
        <f>'Horsefly Swamp'!W21</f>
        <v>0</v>
      </c>
      <c r="Z95">
        <f>'Horsefly Swamp'!X21</f>
        <v>1296</v>
      </c>
      <c r="AA95">
        <f>'Horsefly Swamp'!Y21</f>
        <v>287</v>
      </c>
      <c r="AB95">
        <f>'Horsefly Swamp'!Z21</f>
        <v>7</v>
      </c>
      <c r="AC95">
        <f>'Horsefly Swamp'!AA21</f>
        <v>2139</v>
      </c>
      <c r="AD95">
        <f>'Horsefly Swamp'!AB21</f>
        <v>0</v>
      </c>
      <c r="AE95">
        <f>'Horsefly Swamp'!AC21</f>
        <v>1400</v>
      </c>
      <c r="AF95">
        <f>'Horsefly Swamp'!AD21</f>
        <v>1</v>
      </c>
      <c r="AG95">
        <f>'Horsefly Swamp'!AE21</f>
        <v>1</v>
      </c>
      <c r="AH95">
        <f>'Horsefly Swamp'!AF21</f>
        <v>1</v>
      </c>
      <c r="AI95">
        <f>'Horsefly Swamp'!AG21</f>
        <v>0</v>
      </c>
      <c r="AJ95">
        <f>'Horsefly Swamp'!AH21</f>
        <v>1500</v>
      </c>
      <c r="AK95">
        <f>'Horsefly Swamp'!AI21</f>
        <v>207</v>
      </c>
      <c r="AL95">
        <f>'Horsefly Swamp'!AJ21</f>
        <v>9</v>
      </c>
      <c r="AM95">
        <f>'Horsefly Swamp'!AK21</f>
        <v>1983</v>
      </c>
      <c r="AN95">
        <f>'Horsefly Swamp'!AL21</f>
        <v>0</v>
      </c>
      <c r="AO95">
        <f>'Horsefly Swamp'!AM21</f>
        <v>1594</v>
      </c>
      <c r="AP95">
        <f>'Horsefly Swamp'!AN21</f>
        <v>2191</v>
      </c>
      <c r="AQ95">
        <f>'Horsefly Swamp'!AO21</f>
        <v>27</v>
      </c>
      <c r="AR95">
        <f>'Horsefly Swamp'!AP21</f>
        <v>62971</v>
      </c>
      <c r="AS95">
        <f>'Horsefly Swamp'!AQ21</f>
        <v>1.1000000000000001</v>
      </c>
      <c r="AT95">
        <f>'Horsefly Swamp'!AR21</f>
        <v>1748</v>
      </c>
      <c r="AU95">
        <f>'Horsefly Swamp'!AS21</f>
        <v>803</v>
      </c>
      <c r="AV95">
        <f>'Horsefly Swamp'!AT21</f>
        <v>193</v>
      </c>
      <c r="AW95">
        <f>'Horsefly Swamp'!AU21</f>
        <v>164970</v>
      </c>
      <c r="AX95">
        <f>'Horsefly Swamp'!AV21</f>
        <v>2.8</v>
      </c>
    </row>
    <row r="96" spans="1:50">
      <c r="A96" t="str">
        <f>'Horsefly Swamp'!A22</f>
        <v>/Users/christophermarjo/Documents/Python/Projects/data/bushfire Raman/Horsefly Swamp/HF 2.5 (3)</v>
      </c>
      <c r="B96" t="str">
        <f t="shared" si="0"/>
        <v>Horsefly Swamp</v>
      </c>
      <c r="C96">
        <v>2.5</v>
      </c>
      <c r="D96" t="str">
        <f>'Horsefly Swamp'!B22</f>
        <v>29.59 counts</v>
      </c>
      <c r="E96">
        <f>'Horsefly Swamp'!C22</f>
        <v>0.98599999999999999</v>
      </c>
      <c r="F96">
        <f>'Horsefly Swamp'!D22</f>
        <v>1369</v>
      </c>
      <c r="G96">
        <f>'Horsefly Swamp'!E22</f>
        <v>16777</v>
      </c>
      <c r="H96">
        <f>'Horsefly Swamp'!F22</f>
        <v>342</v>
      </c>
      <c r="I96">
        <f>'Horsefly Swamp'!G22</f>
        <v>6107629</v>
      </c>
      <c r="J96">
        <f>'Horsefly Swamp'!H22</f>
        <v>71.900000000000006</v>
      </c>
      <c r="K96">
        <f>'Horsefly Swamp'!I22</f>
        <v>1594</v>
      </c>
      <c r="L96">
        <f>'Horsefly Swamp'!J22</f>
        <v>17889</v>
      </c>
      <c r="M96">
        <f>'Horsefly Swamp'!K22</f>
        <v>100</v>
      </c>
      <c r="N96">
        <f>'Horsefly Swamp'!L22</f>
        <v>1904225</v>
      </c>
      <c r="O96">
        <f>'Horsefly Swamp'!M22</f>
        <v>22.4</v>
      </c>
      <c r="P96">
        <f>'Horsefly Swamp'!N22</f>
        <v>1069</v>
      </c>
      <c r="Q96">
        <f>'Horsefly Swamp'!O22</f>
        <v>957</v>
      </c>
      <c r="R96">
        <f>'Horsefly Swamp'!P22</f>
        <v>89</v>
      </c>
      <c r="S96">
        <f>'Horsefly Swamp'!Q22</f>
        <v>90664</v>
      </c>
      <c r="T96">
        <f>'Horsefly Swamp'!R22</f>
        <v>1.1000000000000001</v>
      </c>
      <c r="U96">
        <f>'Horsefly Swamp'!S22</f>
        <v>1154</v>
      </c>
      <c r="V96">
        <f>'Horsefly Swamp'!T22</f>
        <v>1</v>
      </c>
      <c r="W96">
        <f>'Horsefly Swamp'!U22</f>
        <v>1</v>
      </c>
      <c r="X96">
        <f>'Horsefly Swamp'!V22</f>
        <v>1</v>
      </c>
      <c r="Y96">
        <f>'Horsefly Swamp'!W22</f>
        <v>0</v>
      </c>
      <c r="Z96">
        <f>'Horsefly Swamp'!X22</f>
        <v>1296</v>
      </c>
      <c r="AA96">
        <f>'Horsefly Swamp'!Y22</f>
        <v>55</v>
      </c>
      <c r="AB96">
        <f>'Horsefly Swamp'!Z22</f>
        <v>3</v>
      </c>
      <c r="AC96">
        <f>'Horsefly Swamp'!AA22</f>
        <v>176</v>
      </c>
      <c r="AD96">
        <f>'Horsefly Swamp'!AB22</f>
        <v>0</v>
      </c>
      <c r="AE96">
        <f>'Horsefly Swamp'!AC22</f>
        <v>1402</v>
      </c>
      <c r="AF96">
        <f>'Horsefly Swamp'!AD22</f>
        <v>495</v>
      </c>
      <c r="AG96">
        <f>'Horsefly Swamp'!AE22</f>
        <v>5</v>
      </c>
      <c r="AH96">
        <f>'Horsefly Swamp'!AF22</f>
        <v>2635</v>
      </c>
      <c r="AI96">
        <f>'Horsefly Swamp'!AG22</f>
        <v>0</v>
      </c>
      <c r="AJ96">
        <f>'Horsefly Swamp'!AH22</f>
        <v>1500</v>
      </c>
      <c r="AK96">
        <f>'Horsefly Swamp'!AI22</f>
        <v>493</v>
      </c>
      <c r="AL96">
        <f>'Horsefly Swamp'!AJ22</f>
        <v>3</v>
      </c>
      <c r="AM96">
        <f>'Horsefly Swamp'!AK22</f>
        <v>1574</v>
      </c>
      <c r="AN96">
        <f>'Horsefly Swamp'!AL22</f>
        <v>0</v>
      </c>
      <c r="AO96">
        <f>'Horsefly Swamp'!AM22</f>
        <v>1598</v>
      </c>
      <c r="AP96">
        <f>'Horsefly Swamp'!AN22</f>
        <v>2449</v>
      </c>
      <c r="AQ96">
        <f>'Horsefly Swamp'!AO22</f>
        <v>31</v>
      </c>
      <c r="AR96">
        <f>'Horsefly Swamp'!AP22</f>
        <v>80813</v>
      </c>
      <c r="AS96">
        <f>'Horsefly Swamp'!AQ22</f>
        <v>1</v>
      </c>
      <c r="AT96">
        <f>'Horsefly Swamp'!AR22</f>
        <v>1748</v>
      </c>
      <c r="AU96">
        <f>'Horsefly Swamp'!AS22</f>
        <v>1565</v>
      </c>
      <c r="AV96">
        <f>'Horsefly Swamp'!AT22</f>
        <v>181</v>
      </c>
      <c r="AW96">
        <f>'Horsefly Swamp'!AU22</f>
        <v>301526</v>
      </c>
      <c r="AX96">
        <f>'Horsefly Swamp'!AV22</f>
        <v>3.6</v>
      </c>
    </row>
    <row r="97" spans="1:50">
      <c r="A97" t="str">
        <f>'Horsefly Swamp'!A23</f>
        <v>/Users/christophermarjo/Documents/Python/Projects/data/bushfire Raman/Horsefly Swamp/HF 3 (1)</v>
      </c>
      <c r="B97" t="str">
        <f t="shared" si="0"/>
        <v>Horsefly Swamp</v>
      </c>
      <c r="C97">
        <v>3</v>
      </c>
      <c r="D97" t="str">
        <f>'Horsefly Swamp'!B23</f>
        <v>67.53 counts</v>
      </c>
      <c r="E97">
        <f>'Horsefly Swamp'!C23</f>
        <v>0.97723800000000005</v>
      </c>
      <c r="F97">
        <f>'Horsefly Swamp'!D23</f>
        <v>1365</v>
      </c>
      <c r="G97">
        <f>'Horsefly Swamp'!E23</f>
        <v>31145</v>
      </c>
      <c r="H97">
        <f>'Horsefly Swamp'!F23</f>
        <v>298</v>
      </c>
      <c r="I97">
        <f>'Horsefly Swamp'!G23</f>
        <v>9879542</v>
      </c>
      <c r="J97">
        <f>'Horsefly Swamp'!H23</f>
        <v>68</v>
      </c>
      <c r="K97">
        <f>'Horsefly Swamp'!I23</f>
        <v>1592</v>
      </c>
      <c r="L97">
        <f>'Horsefly Swamp'!J23</f>
        <v>35519</v>
      </c>
      <c r="M97">
        <f>'Horsefly Swamp'!K23</f>
        <v>100</v>
      </c>
      <c r="N97">
        <f>'Horsefly Swamp'!L23</f>
        <v>3780880</v>
      </c>
      <c r="O97">
        <f>'Horsefly Swamp'!M23</f>
        <v>26</v>
      </c>
      <c r="P97">
        <f>'Horsefly Swamp'!N23</f>
        <v>1029</v>
      </c>
      <c r="Q97">
        <f>'Horsefly Swamp'!O23</f>
        <v>1283</v>
      </c>
      <c r="R97">
        <f>'Horsefly Swamp'!P23</f>
        <v>51</v>
      </c>
      <c r="S97">
        <f>'Horsefly Swamp'!Q23</f>
        <v>69651</v>
      </c>
      <c r="T97">
        <f>'Horsefly Swamp'!R23</f>
        <v>0.5</v>
      </c>
      <c r="U97">
        <f>'Horsefly Swamp'!S23</f>
        <v>1152</v>
      </c>
      <c r="V97">
        <f>'Horsefly Swamp'!T23</f>
        <v>309</v>
      </c>
      <c r="W97">
        <f>'Horsefly Swamp'!U23</f>
        <v>31</v>
      </c>
      <c r="X97">
        <f>'Horsefly Swamp'!V23</f>
        <v>10197</v>
      </c>
      <c r="Y97">
        <f>'Horsefly Swamp'!W23</f>
        <v>0.1</v>
      </c>
      <c r="Z97">
        <f>'Horsefly Swamp'!X23</f>
        <v>1256</v>
      </c>
      <c r="AA97">
        <f>'Horsefly Swamp'!Y23</f>
        <v>1</v>
      </c>
      <c r="AB97">
        <f>'Horsefly Swamp'!Z23</f>
        <v>1</v>
      </c>
      <c r="AC97">
        <f>'Horsefly Swamp'!AA23</f>
        <v>1</v>
      </c>
      <c r="AD97">
        <f>'Horsefly Swamp'!AB23</f>
        <v>0</v>
      </c>
      <c r="AE97">
        <f>'Horsefly Swamp'!AC23</f>
        <v>1402</v>
      </c>
      <c r="AF97">
        <f>'Horsefly Swamp'!AD23</f>
        <v>305</v>
      </c>
      <c r="AG97">
        <f>'Horsefly Swamp'!AE23</f>
        <v>1</v>
      </c>
      <c r="AH97">
        <f>'Horsefly Swamp'!AF23</f>
        <v>325</v>
      </c>
      <c r="AI97">
        <f>'Horsefly Swamp'!AG23</f>
        <v>0</v>
      </c>
      <c r="AJ97">
        <f>'Horsefly Swamp'!AH23</f>
        <v>1506</v>
      </c>
      <c r="AK97">
        <f>'Horsefly Swamp'!AI23</f>
        <v>1973</v>
      </c>
      <c r="AL97">
        <f>'Horsefly Swamp'!AJ23</f>
        <v>31</v>
      </c>
      <c r="AM97">
        <f>'Horsefly Swamp'!AK23</f>
        <v>65106</v>
      </c>
      <c r="AN97">
        <f>'Horsefly Swamp'!AL23</f>
        <v>0.4</v>
      </c>
      <c r="AO97">
        <f>'Horsefly Swamp'!AM23</f>
        <v>1594</v>
      </c>
      <c r="AP97">
        <f>'Horsefly Swamp'!AN23</f>
        <v>3891</v>
      </c>
      <c r="AQ97">
        <f>'Horsefly Swamp'!AO23</f>
        <v>27</v>
      </c>
      <c r="AR97">
        <f>'Horsefly Swamp'!AP23</f>
        <v>111830</v>
      </c>
      <c r="AS97">
        <f>'Horsefly Swamp'!AQ23</f>
        <v>0.8</v>
      </c>
      <c r="AT97">
        <f>'Horsefly Swamp'!AR23</f>
        <v>1724</v>
      </c>
      <c r="AU97">
        <f>'Horsefly Swamp'!AS23</f>
        <v>4357</v>
      </c>
      <c r="AV97">
        <f>'Horsefly Swamp'!AT23</f>
        <v>133</v>
      </c>
      <c r="AW97">
        <f>'Horsefly Swamp'!AU23</f>
        <v>616838</v>
      </c>
      <c r="AX97">
        <f>'Horsefly Swamp'!AV23</f>
        <v>4.2</v>
      </c>
    </row>
    <row r="98" spans="1:50">
      <c r="A98" t="str">
        <f>'Horsefly Swamp'!A24</f>
        <v>/Users/christophermarjo/Documents/Python/Projects/data/bushfire Raman/Horsefly Swamp/HF 3 (2)</v>
      </c>
      <c r="B98" t="str">
        <f t="shared" si="0"/>
        <v>Horsefly Swamp</v>
      </c>
      <c r="C98">
        <v>3</v>
      </c>
      <c r="D98" t="str">
        <f>'Horsefly Swamp'!B24</f>
        <v>86.68 counts</v>
      </c>
      <c r="E98">
        <f>'Horsefly Swamp'!C24</f>
        <v>0.97536800000000001</v>
      </c>
      <c r="F98">
        <f>'Horsefly Swamp'!D24</f>
        <v>1363</v>
      </c>
      <c r="G98">
        <f>'Horsefly Swamp'!E24</f>
        <v>38729</v>
      </c>
      <c r="H98">
        <f>'Horsefly Swamp'!F24</f>
        <v>288</v>
      </c>
      <c r="I98">
        <f>'Horsefly Swamp'!G24</f>
        <v>11873014</v>
      </c>
      <c r="J98">
        <f>'Horsefly Swamp'!H24</f>
        <v>67.900000000000006</v>
      </c>
      <c r="K98">
        <f>'Horsefly Swamp'!I24</f>
        <v>1592</v>
      </c>
      <c r="L98">
        <f>'Horsefly Swamp'!J24</f>
        <v>43483</v>
      </c>
      <c r="M98">
        <f>'Horsefly Swamp'!K24</f>
        <v>100</v>
      </c>
      <c r="N98">
        <f>'Horsefly Swamp'!L24</f>
        <v>4628622</v>
      </c>
      <c r="O98">
        <f>'Horsefly Swamp'!M24</f>
        <v>26.5</v>
      </c>
      <c r="P98">
        <f>'Horsefly Swamp'!N24</f>
        <v>1039</v>
      </c>
      <c r="Q98">
        <f>'Horsefly Swamp'!O24</f>
        <v>805</v>
      </c>
      <c r="R98">
        <f>'Horsefly Swamp'!P24</f>
        <v>43</v>
      </c>
      <c r="S98">
        <f>'Horsefly Swamp'!Q24</f>
        <v>36847</v>
      </c>
      <c r="T98">
        <f>'Horsefly Swamp'!R24</f>
        <v>0.2</v>
      </c>
      <c r="U98">
        <f>'Horsefly Swamp'!S24</f>
        <v>1152</v>
      </c>
      <c r="V98">
        <f>'Horsefly Swamp'!T24</f>
        <v>593</v>
      </c>
      <c r="W98">
        <f>'Horsefly Swamp'!U24</f>
        <v>9</v>
      </c>
      <c r="X98">
        <f>'Horsefly Swamp'!V24</f>
        <v>5681</v>
      </c>
      <c r="Y98">
        <f>'Horsefly Swamp'!W24</f>
        <v>0</v>
      </c>
      <c r="Z98">
        <f>'Horsefly Swamp'!X24</f>
        <v>1256</v>
      </c>
      <c r="AA98">
        <f>'Horsefly Swamp'!Y24</f>
        <v>1</v>
      </c>
      <c r="AB98">
        <f>'Horsefly Swamp'!Z24</f>
        <v>1</v>
      </c>
      <c r="AC98">
        <f>'Horsefly Swamp'!AA24</f>
        <v>1</v>
      </c>
      <c r="AD98">
        <f>'Horsefly Swamp'!AB24</f>
        <v>0</v>
      </c>
      <c r="AE98">
        <f>'Horsefly Swamp'!AC24</f>
        <v>1416</v>
      </c>
      <c r="AF98">
        <f>'Horsefly Swamp'!AD24</f>
        <v>1</v>
      </c>
      <c r="AG98">
        <f>'Horsefly Swamp'!AE24</f>
        <v>1</v>
      </c>
      <c r="AH98">
        <f>'Horsefly Swamp'!AF24</f>
        <v>1</v>
      </c>
      <c r="AI98">
        <f>'Horsefly Swamp'!AG24</f>
        <v>0</v>
      </c>
      <c r="AJ98">
        <f>'Horsefly Swamp'!AH24</f>
        <v>1506</v>
      </c>
      <c r="AK98">
        <f>'Horsefly Swamp'!AI24</f>
        <v>1967</v>
      </c>
      <c r="AL98">
        <f>'Horsefly Swamp'!AJ24</f>
        <v>37</v>
      </c>
      <c r="AM98">
        <f>'Horsefly Swamp'!AK24</f>
        <v>77471</v>
      </c>
      <c r="AN98">
        <f>'Horsefly Swamp'!AL24</f>
        <v>0.4</v>
      </c>
      <c r="AO98">
        <f>'Horsefly Swamp'!AM24</f>
        <v>1598</v>
      </c>
      <c r="AP98">
        <f>'Horsefly Swamp'!AN24</f>
        <v>8705</v>
      </c>
      <c r="AQ98">
        <f>'Horsefly Swamp'!AO24</f>
        <v>27</v>
      </c>
      <c r="AR98">
        <f>'Horsefly Swamp'!AP24</f>
        <v>250187</v>
      </c>
      <c r="AS98">
        <f>'Horsefly Swamp'!AQ24</f>
        <v>1.4</v>
      </c>
      <c r="AT98">
        <f>'Horsefly Swamp'!AR24</f>
        <v>1730</v>
      </c>
      <c r="AU98">
        <f>'Horsefly Swamp'!AS24</f>
        <v>4801</v>
      </c>
      <c r="AV98">
        <f>'Horsefly Swamp'!AT24</f>
        <v>119</v>
      </c>
      <c r="AW98">
        <f>'Horsefly Swamp'!AU24</f>
        <v>608150</v>
      </c>
      <c r="AX98">
        <f>'Horsefly Swamp'!AV24</f>
        <v>3.5</v>
      </c>
    </row>
    <row r="99" spans="1:50">
      <c r="A99" t="str">
        <f>'Horsefly Swamp'!A25</f>
        <v>/Users/christophermarjo/Documents/Python/Projects/data/bushfire Raman/Horsefly Swamp/HF 3 (3)</v>
      </c>
      <c r="B99" t="str">
        <f t="shared" si="0"/>
        <v>Horsefly Swamp</v>
      </c>
      <c r="C99">
        <v>3</v>
      </c>
      <c r="D99" t="str">
        <f>'Horsefly Swamp'!B25</f>
        <v>123.03 counts</v>
      </c>
      <c r="E99">
        <f>'Horsefly Swamp'!C25</f>
        <v>0.97990699999999997</v>
      </c>
      <c r="F99">
        <f>'Horsefly Swamp'!D25</f>
        <v>1369</v>
      </c>
      <c r="G99">
        <f>'Horsefly Swamp'!E25</f>
        <v>59311</v>
      </c>
      <c r="H99">
        <f>'Horsefly Swamp'!F25</f>
        <v>298</v>
      </c>
      <c r="I99">
        <f>'Horsefly Swamp'!G25</f>
        <v>18814112</v>
      </c>
      <c r="J99">
        <f>'Horsefly Swamp'!H25</f>
        <v>71</v>
      </c>
      <c r="K99">
        <f>'Horsefly Swamp'!I25</f>
        <v>1592</v>
      </c>
      <c r="L99">
        <f>'Horsefly Swamp'!J25</f>
        <v>63175</v>
      </c>
      <c r="M99">
        <f>'Horsefly Swamp'!K25</f>
        <v>100</v>
      </c>
      <c r="N99">
        <f>'Horsefly Swamp'!L25</f>
        <v>6724771</v>
      </c>
      <c r="O99">
        <f>'Horsefly Swamp'!M25</f>
        <v>25.4</v>
      </c>
      <c r="P99">
        <f>'Horsefly Swamp'!N25</f>
        <v>1073</v>
      </c>
      <c r="Q99">
        <f>'Horsefly Swamp'!O25</f>
        <v>1785</v>
      </c>
      <c r="R99">
        <f>'Horsefly Swamp'!P25</f>
        <v>103</v>
      </c>
      <c r="S99">
        <f>'Horsefly Swamp'!Q25</f>
        <v>195708</v>
      </c>
      <c r="T99">
        <f>'Horsefly Swamp'!R25</f>
        <v>0.7</v>
      </c>
      <c r="U99">
        <f>'Horsefly Swamp'!S25</f>
        <v>1170</v>
      </c>
      <c r="V99">
        <f>'Horsefly Swamp'!T25</f>
        <v>1497</v>
      </c>
      <c r="W99">
        <f>'Horsefly Swamp'!U25</f>
        <v>9</v>
      </c>
      <c r="X99">
        <f>'Horsefly Swamp'!V25</f>
        <v>14342</v>
      </c>
      <c r="Y99">
        <f>'Horsefly Swamp'!W25</f>
        <v>0.1</v>
      </c>
      <c r="Z99">
        <f>'Horsefly Swamp'!X25</f>
        <v>1256</v>
      </c>
      <c r="AA99">
        <f>'Horsefly Swamp'!Y25</f>
        <v>1</v>
      </c>
      <c r="AB99">
        <f>'Horsefly Swamp'!Z25</f>
        <v>1</v>
      </c>
      <c r="AC99">
        <f>'Horsefly Swamp'!AA25</f>
        <v>1</v>
      </c>
      <c r="AD99">
        <f>'Horsefly Swamp'!AB25</f>
        <v>0</v>
      </c>
      <c r="AE99">
        <f>'Horsefly Swamp'!AC25</f>
        <v>1416</v>
      </c>
      <c r="AF99">
        <f>'Horsefly Swamp'!AD25</f>
        <v>1</v>
      </c>
      <c r="AG99">
        <f>'Horsefly Swamp'!AE25</f>
        <v>1</v>
      </c>
      <c r="AH99">
        <f>'Horsefly Swamp'!AF25</f>
        <v>1</v>
      </c>
      <c r="AI99">
        <f>'Horsefly Swamp'!AG25</f>
        <v>0</v>
      </c>
      <c r="AJ99">
        <f>'Horsefly Swamp'!AH25</f>
        <v>1500</v>
      </c>
      <c r="AK99">
        <f>'Horsefly Swamp'!AI25</f>
        <v>219</v>
      </c>
      <c r="AL99">
        <f>'Horsefly Swamp'!AJ25</f>
        <v>13</v>
      </c>
      <c r="AM99">
        <f>'Horsefly Swamp'!AK25</f>
        <v>3031</v>
      </c>
      <c r="AN99">
        <f>'Horsefly Swamp'!AL25</f>
        <v>0</v>
      </c>
      <c r="AO99">
        <f>'Horsefly Swamp'!AM25</f>
        <v>1594</v>
      </c>
      <c r="AP99">
        <f>'Horsefly Swamp'!AN25</f>
        <v>9999</v>
      </c>
      <c r="AQ99">
        <f>'Horsefly Swamp'!AO25</f>
        <v>33</v>
      </c>
      <c r="AR99">
        <f>'Horsefly Swamp'!AP25</f>
        <v>351239</v>
      </c>
      <c r="AS99">
        <f>'Horsefly Swamp'!AQ25</f>
        <v>1.3</v>
      </c>
      <c r="AT99">
        <f>'Horsefly Swamp'!AR25</f>
        <v>1730</v>
      </c>
      <c r="AU99">
        <f>'Horsefly Swamp'!AS25</f>
        <v>4589</v>
      </c>
      <c r="AV99">
        <f>'Horsefly Swamp'!AT25</f>
        <v>81</v>
      </c>
      <c r="AW99">
        <f>'Horsefly Swamp'!AU25</f>
        <v>395672</v>
      </c>
      <c r="AX99">
        <f>'Horsefly Swamp'!AV25</f>
        <v>1.5</v>
      </c>
    </row>
    <row r="100" spans="1:50">
      <c r="A100" t="str">
        <f>'Horsefly Swamp'!A26</f>
        <v>/Users/christophermarjo/Documents/Python/Projects/data/bushfire Raman/Horsefly Swamp/HF 3 (4)</v>
      </c>
      <c r="B100" t="str">
        <f t="shared" si="0"/>
        <v>Horsefly Swamp</v>
      </c>
      <c r="C100">
        <v>3</v>
      </c>
      <c r="D100" t="str">
        <f>'Horsefly Swamp'!B26</f>
        <v>121.00 counts</v>
      </c>
      <c r="E100">
        <f>'Horsefly Swamp'!C26</f>
        <v>0.98030200000000001</v>
      </c>
      <c r="F100">
        <f>'Horsefly Swamp'!D26</f>
        <v>1367</v>
      </c>
      <c r="G100">
        <f>'Horsefly Swamp'!E26</f>
        <v>60401</v>
      </c>
      <c r="H100">
        <f>'Horsefly Swamp'!F26</f>
        <v>300</v>
      </c>
      <c r="I100">
        <f>'Horsefly Swamp'!G26</f>
        <v>19288462</v>
      </c>
      <c r="J100">
        <f>'Horsefly Swamp'!H26</f>
        <v>70.5</v>
      </c>
      <c r="K100">
        <f>'Horsefly Swamp'!I26</f>
        <v>1592</v>
      </c>
      <c r="L100">
        <f>'Horsefly Swamp'!J26</f>
        <v>64137</v>
      </c>
      <c r="M100">
        <f>'Horsefly Swamp'!K26</f>
        <v>100</v>
      </c>
      <c r="N100">
        <f>'Horsefly Swamp'!L26</f>
        <v>6827172</v>
      </c>
      <c r="O100">
        <f>'Horsefly Swamp'!M26</f>
        <v>25</v>
      </c>
      <c r="P100">
        <f>'Horsefly Swamp'!N26</f>
        <v>1067</v>
      </c>
      <c r="Q100">
        <f>'Horsefly Swamp'!O26</f>
        <v>2399</v>
      </c>
      <c r="R100">
        <f>'Horsefly Swamp'!P26</f>
        <v>103</v>
      </c>
      <c r="S100">
        <f>'Horsefly Swamp'!Q26</f>
        <v>263027</v>
      </c>
      <c r="T100">
        <f>'Horsefly Swamp'!R26</f>
        <v>1</v>
      </c>
      <c r="U100">
        <f>'Horsefly Swamp'!S26</f>
        <v>1152</v>
      </c>
      <c r="V100">
        <f>'Horsefly Swamp'!T26</f>
        <v>949</v>
      </c>
      <c r="W100">
        <f>'Horsefly Swamp'!U26</f>
        <v>19</v>
      </c>
      <c r="X100">
        <f>'Horsefly Swamp'!V26</f>
        <v>19193</v>
      </c>
      <c r="Y100">
        <f>'Horsefly Swamp'!W26</f>
        <v>0.1</v>
      </c>
      <c r="Z100">
        <f>'Horsefly Swamp'!X26</f>
        <v>1256</v>
      </c>
      <c r="AA100">
        <f>'Horsefly Swamp'!Y26</f>
        <v>1</v>
      </c>
      <c r="AB100">
        <f>'Horsefly Swamp'!Z26</f>
        <v>1</v>
      </c>
      <c r="AC100">
        <f>'Horsefly Swamp'!AA26</f>
        <v>1</v>
      </c>
      <c r="AD100">
        <f>'Horsefly Swamp'!AB26</f>
        <v>0</v>
      </c>
      <c r="AE100">
        <f>'Horsefly Swamp'!AC26</f>
        <v>1416</v>
      </c>
      <c r="AF100">
        <f>'Horsefly Swamp'!AD26</f>
        <v>1</v>
      </c>
      <c r="AG100">
        <f>'Horsefly Swamp'!AE26</f>
        <v>1</v>
      </c>
      <c r="AH100">
        <f>'Horsefly Swamp'!AF26</f>
        <v>1</v>
      </c>
      <c r="AI100">
        <f>'Horsefly Swamp'!AG26</f>
        <v>0</v>
      </c>
      <c r="AJ100">
        <f>'Horsefly Swamp'!AH26</f>
        <v>1512</v>
      </c>
      <c r="AK100">
        <f>'Horsefly Swamp'!AI26</f>
        <v>1141</v>
      </c>
      <c r="AL100">
        <f>'Horsefly Swamp'!AJ26</f>
        <v>3</v>
      </c>
      <c r="AM100">
        <f>'Horsefly Swamp'!AK26</f>
        <v>3644</v>
      </c>
      <c r="AN100">
        <f>'Horsefly Swamp'!AL26</f>
        <v>0</v>
      </c>
      <c r="AO100">
        <f>'Horsefly Swamp'!AM26</f>
        <v>1596</v>
      </c>
      <c r="AP100">
        <f>'Horsefly Swamp'!AN26</f>
        <v>9999</v>
      </c>
      <c r="AQ100">
        <f>'Horsefly Swamp'!AO26</f>
        <v>31</v>
      </c>
      <c r="AR100">
        <f>'Horsefly Swamp'!AP26</f>
        <v>329952</v>
      </c>
      <c r="AS100">
        <f>'Horsefly Swamp'!AQ26</f>
        <v>1.2</v>
      </c>
      <c r="AT100">
        <f>'Horsefly Swamp'!AR26</f>
        <v>1728</v>
      </c>
      <c r="AU100">
        <f>'Horsefly Swamp'!AS26</f>
        <v>5899</v>
      </c>
      <c r="AV100">
        <f>'Horsefly Swamp'!AT26</f>
        <v>97</v>
      </c>
      <c r="AW100">
        <f>'Horsefly Swamp'!AU26</f>
        <v>609091</v>
      </c>
      <c r="AX100">
        <f>'Horsefly Swamp'!AV26</f>
        <v>2.2000000000000002</v>
      </c>
    </row>
    <row r="101" spans="1:50">
      <c r="A101" t="str">
        <f>'Horsefly Swamp'!A27</f>
        <v>/Users/christophermarjo/Documents/Python/Projects/data/bushfire Raman/Horsefly Swamp/HF 3 (5)</v>
      </c>
      <c r="B101" t="str">
        <f t="shared" si="0"/>
        <v>Horsefly Swamp</v>
      </c>
      <c r="C101">
        <v>3</v>
      </c>
      <c r="D101" t="str">
        <f>'Horsefly Swamp'!B27</f>
        <v>155.92 counts</v>
      </c>
      <c r="E101">
        <f>'Horsefly Swamp'!C27</f>
        <v>0.97328300000000001</v>
      </c>
      <c r="F101">
        <f>'Horsefly Swamp'!D27</f>
        <v>1363</v>
      </c>
      <c r="G101">
        <f>'Horsefly Swamp'!E27</f>
        <v>67049</v>
      </c>
      <c r="H101">
        <f>'Horsefly Swamp'!F27</f>
        <v>298</v>
      </c>
      <c r="I101">
        <f>'Horsefly Swamp'!G27</f>
        <v>21268692</v>
      </c>
      <c r="J101">
        <f>'Horsefly Swamp'!H27</f>
        <v>69.8</v>
      </c>
      <c r="K101">
        <f>'Horsefly Swamp'!I27</f>
        <v>1592</v>
      </c>
      <c r="L101">
        <f>'Horsefly Swamp'!J27</f>
        <v>70959</v>
      </c>
      <c r="M101">
        <f>'Horsefly Swamp'!K27</f>
        <v>100</v>
      </c>
      <c r="N101">
        <f>'Horsefly Swamp'!L27</f>
        <v>7553352</v>
      </c>
      <c r="O101">
        <f>'Horsefly Swamp'!M27</f>
        <v>24.8</v>
      </c>
      <c r="P101">
        <f>'Horsefly Swamp'!N27</f>
        <v>1033</v>
      </c>
      <c r="Q101">
        <f>'Horsefly Swamp'!O27</f>
        <v>2059</v>
      </c>
      <c r="R101">
        <f>'Horsefly Swamp'!P27</f>
        <v>43</v>
      </c>
      <c r="S101">
        <f>'Horsefly Swamp'!Q27</f>
        <v>94245</v>
      </c>
      <c r="T101">
        <f>'Horsefly Swamp'!R27</f>
        <v>0.3</v>
      </c>
      <c r="U101">
        <f>'Horsefly Swamp'!S27</f>
        <v>1152</v>
      </c>
      <c r="V101">
        <f>'Horsefly Swamp'!T27</f>
        <v>957</v>
      </c>
      <c r="W101">
        <f>'Horsefly Swamp'!U27</f>
        <v>3</v>
      </c>
      <c r="X101">
        <f>'Horsefly Swamp'!V27</f>
        <v>3056</v>
      </c>
      <c r="Y101">
        <f>'Horsefly Swamp'!W27</f>
        <v>0</v>
      </c>
      <c r="Z101">
        <f>'Horsefly Swamp'!X27</f>
        <v>1256</v>
      </c>
      <c r="AA101">
        <f>'Horsefly Swamp'!Y27</f>
        <v>1</v>
      </c>
      <c r="AB101">
        <f>'Horsefly Swamp'!Z27</f>
        <v>1</v>
      </c>
      <c r="AC101">
        <f>'Horsefly Swamp'!AA27</f>
        <v>1</v>
      </c>
      <c r="AD101">
        <f>'Horsefly Swamp'!AB27</f>
        <v>0</v>
      </c>
      <c r="AE101">
        <f>'Horsefly Swamp'!AC27</f>
        <v>1416</v>
      </c>
      <c r="AF101">
        <f>'Horsefly Swamp'!AD27</f>
        <v>1</v>
      </c>
      <c r="AG101">
        <f>'Horsefly Swamp'!AE27</f>
        <v>1</v>
      </c>
      <c r="AH101">
        <f>'Horsefly Swamp'!AF27</f>
        <v>1</v>
      </c>
      <c r="AI101">
        <f>'Horsefly Swamp'!AG27</f>
        <v>0</v>
      </c>
      <c r="AJ101">
        <f>'Horsefly Swamp'!AH27</f>
        <v>1506</v>
      </c>
      <c r="AK101">
        <f>'Horsefly Swamp'!AI27</f>
        <v>1639</v>
      </c>
      <c r="AL101">
        <f>'Horsefly Swamp'!AJ27</f>
        <v>43</v>
      </c>
      <c r="AM101">
        <f>'Horsefly Swamp'!AK27</f>
        <v>75020</v>
      </c>
      <c r="AN101">
        <f>'Horsefly Swamp'!AL27</f>
        <v>0.2</v>
      </c>
      <c r="AO101">
        <f>'Horsefly Swamp'!AM27</f>
        <v>1594</v>
      </c>
      <c r="AP101">
        <f>'Horsefly Swamp'!AN27</f>
        <v>9999</v>
      </c>
      <c r="AQ101">
        <f>'Horsefly Swamp'!AO27</f>
        <v>37</v>
      </c>
      <c r="AR101">
        <f>'Horsefly Swamp'!AP27</f>
        <v>393813</v>
      </c>
      <c r="AS101">
        <f>'Horsefly Swamp'!AQ27</f>
        <v>1.3</v>
      </c>
      <c r="AT101">
        <f>'Horsefly Swamp'!AR27</f>
        <v>1730</v>
      </c>
      <c r="AU101">
        <f>'Horsefly Swamp'!AS27</f>
        <v>8157</v>
      </c>
      <c r="AV101">
        <f>'Horsefly Swamp'!AT27</f>
        <v>123</v>
      </c>
      <c r="AW101">
        <f>'Horsefly Swamp'!AU27</f>
        <v>1067991</v>
      </c>
      <c r="AX101">
        <f>'Horsefly Swamp'!AV27</f>
        <v>3.5</v>
      </c>
    </row>
    <row r="102" spans="1:50">
      <c r="A102" t="str">
        <f>'Horsefly Swamp'!A28</f>
        <v>/Users/christophermarjo/Documents/Python/Projects/data/bushfire Raman/Horsefly Swamp/HF 3.5 (1)</v>
      </c>
      <c r="B102" t="str">
        <f t="shared" si="0"/>
        <v>Horsefly Swamp</v>
      </c>
      <c r="C102">
        <v>3.5</v>
      </c>
      <c r="D102" t="str">
        <f>'Horsefly Swamp'!B28</f>
        <v>12.29 counts</v>
      </c>
      <c r="E102">
        <f>'Horsefly Swamp'!C28</f>
        <v>0.97040700000000002</v>
      </c>
      <c r="F102">
        <f>'Horsefly Swamp'!D28</f>
        <v>1367</v>
      </c>
      <c r="G102">
        <f>'Horsefly Swamp'!E28</f>
        <v>5003</v>
      </c>
      <c r="H102">
        <f>'Horsefly Swamp'!F28</f>
        <v>254</v>
      </c>
      <c r="I102">
        <f>'Horsefly Swamp'!G28</f>
        <v>1352684</v>
      </c>
      <c r="J102">
        <f>'Horsefly Swamp'!H28</f>
        <v>58.1</v>
      </c>
      <c r="K102">
        <f>'Horsefly Swamp'!I28</f>
        <v>1594</v>
      </c>
      <c r="L102">
        <f>'Horsefly Swamp'!J28</f>
        <v>6337</v>
      </c>
      <c r="M102">
        <f>'Horsefly Swamp'!K28</f>
        <v>102</v>
      </c>
      <c r="N102">
        <f>'Horsefly Swamp'!L28</f>
        <v>688044</v>
      </c>
      <c r="O102">
        <f>'Horsefly Swamp'!M28</f>
        <v>29.5</v>
      </c>
      <c r="P102">
        <f>'Horsefly Swamp'!N28</f>
        <v>1033</v>
      </c>
      <c r="Q102">
        <f>'Horsefly Swamp'!O28</f>
        <v>337</v>
      </c>
      <c r="R102">
        <f>'Horsefly Swamp'!P28</f>
        <v>45</v>
      </c>
      <c r="S102">
        <f>'Horsefly Swamp'!Q28</f>
        <v>16143</v>
      </c>
      <c r="T102">
        <f>'Horsefly Swamp'!R28</f>
        <v>0.7</v>
      </c>
      <c r="U102">
        <f>'Horsefly Swamp'!S28</f>
        <v>1152</v>
      </c>
      <c r="V102">
        <f>'Horsefly Swamp'!T28</f>
        <v>351</v>
      </c>
      <c r="W102">
        <f>'Horsefly Swamp'!U28</f>
        <v>53</v>
      </c>
      <c r="X102">
        <f>'Horsefly Swamp'!V28</f>
        <v>19802</v>
      </c>
      <c r="Y102">
        <f>'Horsefly Swamp'!W28</f>
        <v>0.8</v>
      </c>
      <c r="Z102">
        <f>'Horsefly Swamp'!X28</f>
        <v>1296</v>
      </c>
      <c r="AA102">
        <f>'Horsefly Swamp'!Y28</f>
        <v>191</v>
      </c>
      <c r="AB102">
        <f>'Horsefly Swamp'!Z28</f>
        <v>1</v>
      </c>
      <c r="AC102">
        <f>'Horsefly Swamp'!AA28</f>
        <v>203</v>
      </c>
      <c r="AD102">
        <f>'Horsefly Swamp'!AB28</f>
        <v>0</v>
      </c>
      <c r="AE102">
        <f>'Horsefly Swamp'!AC28</f>
        <v>1456</v>
      </c>
      <c r="AF102">
        <f>'Horsefly Swamp'!AD28</f>
        <v>303</v>
      </c>
      <c r="AG102">
        <f>'Horsefly Swamp'!AE28</f>
        <v>93</v>
      </c>
      <c r="AH102">
        <f>'Horsefly Swamp'!AF28</f>
        <v>29996</v>
      </c>
      <c r="AI102">
        <f>'Horsefly Swamp'!AG28</f>
        <v>1.3</v>
      </c>
      <c r="AJ102">
        <f>'Horsefly Swamp'!AH28</f>
        <v>1500</v>
      </c>
      <c r="AK102">
        <f>'Horsefly Swamp'!AI28</f>
        <v>861</v>
      </c>
      <c r="AL102">
        <f>'Horsefly Swamp'!AJ28</f>
        <v>29</v>
      </c>
      <c r="AM102">
        <f>'Horsefly Swamp'!AK28</f>
        <v>26579</v>
      </c>
      <c r="AN102">
        <f>'Horsefly Swamp'!AL28</f>
        <v>1.1000000000000001</v>
      </c>
      <c r="AO102">
        <f>'Horsefly Swamp'!AM28</f>
        <v>1594</v>
      </c>
      <c r="AP102">
        <f>'Horsefly Swamp'!AN28</f>
        <v>277</v>
      </c>
      <c r="AQ102">
        <f>'Horsefly Swamp'!AO28</f>
        <v>23</v>
      </c>
      <c r="AR102">
        <f>'Horsefly Swamp'!AP28</f>
        <v>6782</v>
      </c>
      <c r="AS102">
        <f>'Horsefly Swamp'!AQ28</f>
        <v>0.3</v>
      </c>
      <c r="AT102">
        <f>'Horsefly Swamp'!AR28</f>
        <v>1748</v>
      </c>
      <c r="AU102">
        <f>'Horsefly Swamp'!AS28</f>
        <v>895</v>
      </c>
      <c r="AV102">
        <f>'Horsefly Swamp'!AT28</f>
        <v>199</v>
      </c>
      <c r="AW102">
        <f>'Horsefly Swamp'!AU28</f>
        <v>189587</v>
      </c>
      <c r="AX102">
        <f>'Horsefly Swamp'!AV28</f>
        <v>8.1</v>
      </c>
    </row>
    <row r="103" spans="1:50">
      <c r="A103" t="str">
        <f>'Horsefly Swamp'!A29</f>
        <v>/Users/christophermarjo/Documents/Python/Projects/data/bushfire Raman/Horsefly Swamp/HF 3.5 (2)</v>
      </c>
      <c r="B103" t="str">
        <f t="shared" si="0"/>
        <v>Horsefly Swamp</v>
      </c>
      <c r="C103">
        <v>3.5</v>
      </c>
      <c r="D103" t="str">
        <f>'Horsefly Swamp'!B29</f>
        <v>19.19 counts</v>
      </c>
      <c r="E103">
        <f>'Horsefly Swamp'!C29</f>
        <v>0.98160899999999995</v>
      </c>
      <c r="F103">
        <f>'Horsefly Swamp'!D29</f>
        <v>1367</v>
      </c>
      <c r="G103">
        <f>'Horsefly Swamp'!E29</f>
        <v>10165</v>
      </c>
      <c r="H103">
        <f>'Horsefly Swamp'!F29</f>
        <v>342</v>
      </c>
      <c r="I103">
        <f>'Horsefly Swamp'!G29</f>
        <v>3700545</v>
      </c>
      <c r="J103">
        <f>'Horsefly Swamp'!H29</f>
        <v>73.2</v>
      </c>
      <c r="K103">
        <f>'Horsefly Swamp'!I29</f>
        <v>1588</v>
      </c>
      <c r="L103">
        <f>'Horsefly Swamp'!J29</f>
        <v>9453</v>
      </c>
      <c r="M103">
        <f>'Horsefly Swamp'!K29</f>
        <v>104</v>
      </c>
      <c r="N103">
        <f>'Horsefly Swamp'!L29</f>
        <v>1046490</v>
      </c>
      <c r="O103">
        <f>'Horsefly Swamp'!M29</f>
        <v>20.7</v>
      </c>
      <c r="P103">
        <f>'Horsefly Swamp'!N29</f>
        <v>1009</v>
      </c>
      <c r="Q103">
        <f>'Horsefly Swamp'!O29</f>
        <v>289</v>
      </c>
      <c r="R103">
        <f>'Horsefly Swamp'!P29</f>
        <v>57</v>
      </c>
      <c r="S103">
        <f>'Horsefly Swamp'!Q29</f>
        <v>17535</v>
      </c>
      <c r="T103">
        <f>'Horsefly Swamp'!R29</f>
        <v>0.3</v>
      </c>
      <c r="U103">
        <f>'Horsefly Swamp'!S29</f>
        <v>1154</v>
      </c>
      <c r="V103">
        <f>'Horsefly Swamp'!T29</f>
        <v>1</v>
      </c>
      <c r="W103">
        <f>'Horsefly Swamp'!U29</f>
        <v>1</v>
      </c>
      <c r="X103">
        <f>'Horsefly Swamp'!V29</f>
        <v>1</v>
      </c>
      <c r="Y103">
        <f>'Horsefly Swamp'!W29</f>
        <v>0</v>
      </c>
      <c r="Z103">
        <f>'Horsefly Swamp'!X29</f>
        <v>1256</v>
      </c>
      <c r="AA103">
        <f>'Horsefly Swamp'!Y29</f>
        <v>1</v>
      </c>
      <c r="AB103">
        <f>'Horsefly Swamp'!Z29</f>
        <v>1</v>
      </c>
      <c r="AC103">
        <f>'Horsefly Swamp'!AA29</f>
        <v>1</v>
      </c>
      <c r="AD103">
        <f>'Horsefly Swamp'!AB29</f>
        <v>0</v>
      </c>
      <c r="AE103">
        <f>'Horsefly Swamp'!AC29</f>
        <v>1452</v>
      </c>
      <c r="AF103">
        <f>'Horsefly Swamp'!AD29</f>
        <v>131</v>
      </c>
      <c r="AG103">
        <f>'Horsefly Swamp'!AE29</f>
        <v>1</v>
      </c>
      <c r="AH103">
        <f>'Horsefly Swamp'!AF29</f>
        <v>139</v>
      </c>
      <c r="AI103">
        <f>'Horsefly Swamp'!AG29</f>
        <v>0</v>
      </c>
      <c r="AJ103">
        <f>'Horsefly Swamp'!AH29</f>
        <v>1506</v>
      </c>
      <c r="AK103">
        <f>'Horsefly Swamp'!AI29</f>
        <v>491</v>
      </c>
      <c r="AL103">
        <f>'Horsefly Swamp'!AJ29</f>
        <v>41</v>
      </c>
      <c r="AM103">
        <f>'Horsefly Swamp'!AK29</f>
        <v>21429</v>
      </c>
      <c r="AN103">
        <f>'Horsefly Swamp'!AL29</f>
        <v>0.4</v>
      </c>
      <c r="AO103">
        <f>'Horsefly Swamp'!AM29</f>
        <v>1598</v>
      </c>
      <c r="AP103">
        <f>'Horsefly Swamp'!AN29</f>
        <v>357</v>
      </c>
      <c r="AQ103">
        <f>'Horsefly Swamp'!AO29</f>
        <v>11</v>
      </c>
      <c r="AR103">
        <f>'Horsefly Swamp'!AP29</f>
        <v>4180</v>
      </c>
      <c r="AS103">
        <f>'Horsefly Swamp'!AQ29</f>
        <v>0.1</v>
      </c>
      <c r="AT103">
        <f>'Horsefly Swamp'!AR29</f>
        <v>1742</v>
      </c>
      <c r="AU103">
        <f>'Horsefly Swamp'!AS29</f>
        <v>1243</v>
      </c>
      <c r="AV103">
        <f>'Horsefly Swamp'!AT29</f>
        <v>199</v>
      </c>
      <c r="AW103">
        <f>'Horsefly Swamp'!AU29</f>
        <v>263303</v>
      </c>
      <c r="AX103">
        <f>'Horsefly Swamp'!AV29</f>
        <v>5.2</v>
      </c>
    </row>
    <row r="104" spans="1:50">
      <c r="A104" t="str">
        <f>'Horsefly Swamp'!A30</f>
        <v>/Users/christophermarjo/Documents/Python/Projects/data/bushfire Raman/Horsefly Swamp/HF 3.5 (3)</v>
      </c>
      <c r="B104" t="str">
        <f t="shared" si="0"/>
        <v>Horsefly Swamp</v>
      </c>
      <c r="C104">
        <v>3.5</v>
      </c>
      <c r="D104" t="str">
        <f>'Horsefly Swamp'!B30</f>
        <v>14.10 counts</v>
      </c>
      <c r="E104">
        <f>'Horsefly Swamp'!C30</f>
        <v>0.984213</v>
      </c>
      <c r="F104">
        <f>'Horsefly Swamp'!D30</f>
        <v>1369</v>
      </c>
      <c r="G104">
        <f>'Horsefly Swamp'!E30</f>
        <v>7973</v>
      </c>
      <c r="H104">
        <f>'Horsefly Swamp'!F30</f>
        <v>346</v>
      </c>
      <c r="I104">
        <f>'Horsefly Swamp'!G30</f>
        <v>2936501</v>
      </c>
      <c r="J104">
        <f>'Horsefly Swamp'!H30</f>
        <v>74.599999999999994</v>
      </c>
      <c r="K104">
        <f>'Horsefly Swamp'!I30</f>
        <v>1586</v>
      </c>
      <c r="L104">
        <f>'Horsefly Swamp'!J30</f>
        <v>7387</v>
      </c>
      <c r="M104">
        <f>'Horsefly Swamp'!K30</f>
        <v>104</v>
      </c>
      <c r="N104">
        <f>'Horsefly Swamp'!L30</f>
        <v>817775</v>
      </c>
      <c r="O104">
        <f>'Horsefly Swamp'!M30</f>
        <v>20.8</v>
      </c>
      <c r="P104">
        <f>'Horsefly Swamp'!N30</f>
        <v>1025</v>
      </c>
      <c r="Q104">
        <f>'Horsefly Swamp'!O30</f>
        <v>367</v>
      </c>
      <c r="R104">
        <f>'Horsefly Swamp'!P30</f>
        <v>57</v>
      </c>
      <c r="S104">
        <f>'Horsefly Swamp'!Q30</f>
        <v>22268</v>
      </c>
      <c r="T104">
        <f>'Horsefly Swamp'!R30</f>
        <v>0.6</v>
      </c>
      <c r="U104">
        <f>'Horsefly Swamp'!S30</f>
        <v>1154</v>
      </c>
      <c r="V104">
        <f>'Horsefly Swamp'!T30</f>
        <v>1</v>
      </c>
      <c r="W104">
        <f>'Horsefly Swamp'!U30</f>
        <v>1</v>
      </c>
      <c r="X104">
        <f>'Horsefly Swamp'!V30</f>
        <v>1</v>
      </c>
      <c r="Y104">
        <f>'Horsefly Swamp'!W30</f>
        <v>0</v>
      </c>
      <c r="Z104">
        <f>'Horsefly Swamp'!X30</f>
        <v>1256</v>
      </c>
      <c r="AA104">
        <f>'Horsefly Swamp'!Y30</f>
        <v>1</v>
      </c>
      <c r="AB104">
        <f>'Horsefly Swamp'!Z30</f>
        <v>1</v>
      </c>
      <c r="AC104">
        <f>'Horsefly Swamp'!AA30</f>
        <v>1</v>
      </c>
      <c r="AD104">
        <f>'Horsefly Swamp'!AB30</f>
        <v>0</v>
      </c>
      <c r="AE104">
        <f>'Horsefly Swamp'!AC30</f>
        <v>1458</v>
      </c>
      <c r="AF104">
        <f>'Horsefly Swamp'!AD30</f>
        <v>1</v>
      </c>
      <c r="AG104">
        <f>'Horsefly Swamp'!AE30</f>
        <v>1</v>
      </c>
      <c r="AH104">
        <f>'Horsefly Swamp'!AF30</f>
        <v>1</v>
      </c>
      <c r="AI104">
        <f>'Horsefly Swamp'!AG30</f>
        <v>0</v>
      </c>
      <c r="AJ104">
        <f>'Horsefly Swamp'!AH30</f>
        <v>1484</v>
      </c>
      <c r="AK104">
        <f>'Horsefly Swamp'!AI30</f>
        <v>403</v>
      </c>
      <c r="AL104">
        <f>'Horsefly Swamp'!AJ30</f>
        <v>19</v>
      </c>
      <c r="AM104">
        <f>'Horsefly Swamp'!AK30</f>
        <v>8151</v>
      </c>
      <c r="AN104">
        <f>'Horsefly Swamp'!AL30</f>
        <v>0.2</v>
      </c>
      <c r="AO104">
        <f>'Horsefly Swamp'!AM30</f>
        <v>1598</v>
      </c>
      <c r="AP104">
        <f>'Horsefly Swamp'!AN30</f>
        <v>553</v>
      </c>
      <c r="AQ104">
        <f>'Horsefly Swamp'!AO30</f>
        <v>3</v>
      </c>
      <c r="AR104">
        <f>'Horsefly Swamp'!AP30</f>
        <v>1766</v>
      </c>
      <c r="AS104">
        <f>'Horsefly Swamp'!AQ30</f>
        <v>0</v>
      </c>
      <c r="AT104">
        <f>'Horsefly Swamp'!AR30</f>
        <v>1724</v>
      </c>
      <c r="AU104">
        <f>'Horsefly Swamp'!AS30</f>
        <v>807</v>
      </c>
      <c r="AV104">
        <f>'Horsefly Swamp'!AT30</f>
        <v>173</v>
      </c>
      <c r="AW104">
        <f>'Horsefly Swamp'!AU30</f>
        <v>148611</v>
      </c>
      <c r="AX104">
        <f>'Horsefly Swamp'!AV30</f>
        <v>3.8</v>
      </c>
    </row>
    <row r="105" spans="1:50">
      <c r="A105" t="str">
        <f>'Horsefly Swamp'!A31</f>
        <v>/Users/christophermarjo/Documents/Python/Projects/data/bushfire Raman/Horsefly Swamp/HF 3.5 (4)</v>
      </c>
      <c r="B105" t="str">
        <f t="shared" si="0"/>
        <v>Horsefly Swamp</v>
      </c>
      <c r="C105">
        <v>3.5</v>
      </c>
      <c r="D105" t="str">
        <f>'Horsefly Swamp'!B31</f>
        <v>42.36 counts</v>
      </c>
      <c r="E105">
        <f>'Horsefly Swamp'!C31</f>
        <v>0.96958599999999995</v>
      </c>
      <c r="F105">
        <f>'Horsefly Swamp'!D31</f>
        <v>1369</v>
      </c>
      <c r="G105">
        <f>'Horsefly Swamp'!E31</f>
        <v>16867</v>
      </c>
      <c r="H105">
        <f>'Horsefly Swamp'!F31</f>
        <v>334</v>
      </c>
      <c r="I105">
        <f>'Horsefly Swamp'!G31</f>
        <v>5996758</v>
      </c>
      <c r="J105">
        <f>'Horsefly Swamp'!H31</f>
        <v>68.400000000000006</v>
      </c>
      <c r="K105">
        <f>'Horsefly Swamp'!I31</f>
        <v>1588</v>
      </c>
      <c r="L105">
        <f>'Horsefly Swamp'!J31</f>
        <v>17839</v>
      </c>
      <c r="M105">
        <f>'Horsefly Swamp'!K31</f>
        <v>106</v>
      </c>
      <c r="N105">
        <f>'Horsefly Swamp'!L31</f>
        <v>2012837</v>
      </c>
      <c r="O105">
        <f>'Horsefly Swamp'!M31</f>
        <v>23</v>
      </c>
      <c r="P105">
        <f>'Horsefly Swamp'!N31</f>
        <v>1047</v>
      </c>
      <c r="Q105">
        <f>'Horsefly Swamp'!O31</f>
        <v>571</v>
      </c>
      <c r="R105">
        <f>'Horsefly Swamp'!P31</f>
        <v>51</v>
      </c>
      <c r="S105">
        <f>'Horsefly Swamp'!Q31</f>
        <v>30998</v>
      </c>
      <c r="T105">
        <f>'Horsefly Swamp'!R31</f>
        <v>0.4</v>
      </c>
      <c r="U105">
        <f>'Horsefly Swamp'!S31</f>
        <v>1154</v>
      </c>
      <c r="V105">
        <f>'Horsefly Swamp'!T31</f>
        <v>1</v>
      </c>
      <c r="W105">
        <f>'Horsefly Swamp'!U31</f>
        <v>1</v>
      </c>
      <c r="X105">
        <f>'Horsefly Swamp'!V31</f>
        <v>1</v>
      </c>
      <c r="Y105">
        <f>'Horsefly Swamp'!W31</f>
        <v>0</v>
      </c>
      <c r="Z105">
        <f>'Horsefly Swamp'!X31</f>
        <v>1256</v>
      </c>
      <c r="AA105">
        <f>'Horsefly Swamp'!Y31</f>
        <v>1</v>
      </c>
      <c r="AB105">
        <f>'Horsefly Swamp'!Z31</f>
        <v>1</v>
      </c>
      <c r="AC105">
        <f>'Horsefly Swamp'!AA31</f>
        <v>1</v>
      </c>
      <c r="AD105">
        <f>'Horsefly Swamp'!AB31</f>
        <v>0</v>
      </c>
      <c r="AE105">
        <f>'Horsefly Swamp'!AC31</f>
        <v>1456</v>
      </c>
      <c r="AF105">
        <f>'Horsefly Swamp'!AD31</f>
        <v>441</v>
      </c>
      <c r="AG105">
        <f>'Horsefly Swamp'!AE31</f>
        <v>107</v>
      </c>
      <c r="AH105">
        <f>'Horsefly Swamp'!AF31</f>
        <v>50229</v>
      </c>
      <c r="AI105">
        <f>'Horsefly Swamp'!AG31</f>
        <v>0.6</v>
      </c>
      <c r="AJ105">
        <f>'Horsefly Swamp'!AH31</f>
        <v>1496</v>
      </c>
      <c r="AK105">
        <f>'Horsefly Swamp'!AI31</f>
        <v>1729</v>
      </c>
      <c r="AL105">
        <f>'Horsefly Swamp'!AJ31</f>
        <v>41</v>
      </c>
      <c r="AM105">
        <f>'Horsefly Swamp'!AK31</f>
        <v>75459</v>
      </c>
      <c r="AN105">
        <f>'Horsefly Swamp'!AL31</f>
        <v>0.9</v>
      </c>
      <c r="AO105">
        <f>'Horsefly Swamp'!AM31</f>
        <v>1594</v>
      </c>
      <c r="AP105">
        <f>'Horsefly Swamp'!AN31</f>
        <v>295</v>
      </c>
      <c r="AQ105">
        <f>'Horsefly Swamp'!AO31</f>
        <v>15</v>
      </c>
      <c r="AR105">
        <f>'Horsefly Swamp'!AP31</f>
        <v>4710</v>
      </c>
      <c r="AS105">
        <f>'Horsefly Swamp'!AQ31</f>
        <v>0.1</v>
      </c>
      <c r="AT105">
        <f>'Horsefly Swamp'!AR31</f>
        <v>1748</v>
      </c>
      <c r="AU105">
        <f>'Horsefly Swamp'!AS31</f>
        <v>2803</v>
      </c>
      <c r="AV105">
        <f>'Horsefly Swamp'!AT31</f>
        <v>199</v>
      </c>
      <c r="AW105">
        <f>'Horsefly Swamp'!AU31</f>
        <v>593757</v>
      </c>
      <c r="AX105">
        <f>'Horsefly Swamp'!AV31</f>
        <v>6.8</v>
      </c>
    </row>
    <row r="106" spans="1:50">
      <c r="A106" t="str">
        <f>'Horsefly Swamp'!A32</f>
        <v>/Users/christophermarjo/Documents/Python/Projects/data/bushfire Raman/Horsefly Swamp/HF 3.5 (5)</v>
      </c>
      <c r="B106" t="str">
        <f t="shared" si="0"/>
        <v>Horsefly Swamp</v>
      </c>
      <c r="C106">
        <v>3.5</v>
      </c>
      <c r="D106" t="str">
        <f>'Horsefly Swamp'!B32</f>
        <v>28.72 counts</v>
      </c>
      <c r="E106">
        <f>'Horsefly Swamp'!C32</f>
        <v>0.98835700000000004</v>
      </c>
      <c r="F106">
        <f>'Horsefly Swamp'!D32</f>
        <v>1369</v>
      </c>
      <c r="G106">
        <f>'Horsefly Swamp'!E32</f>
        <v>18563</v>
      </c>
      <c r="H106">
        <f>'Horsefly Swamp'!F32</f>
        <v>344</v>
      </c>
      <c r="I106">
        <f>'Horsefly Swamp'!G32</f>
        <v>6797337</v>
      </c>
      <c r="J106">
        <f>'Horsefly Swamp'!H32</f>
        <v>76.2</v>
      </c>
      <c r="K106">
        <f>'Horsefly Swamp'!I32</f>
        <v>1586</v>
      </c>
      <c r="L106">
        <f>'Horsefly Swamp'!J32</f>
        <v>17143</v>
      </c>
      <c r="M106">
        <f>'Horsefly Swamp'!K32</f>
        <v>102</v>
      </c>
      <c r="N106">
        <f>'Horsefly Swamp'!L32</f>
        <v>1861312</v>
      </c>
      <c r="O106">
        <f>'Horsefly Swamp'!M32</f>
        <v>20.9</v>
      </c>
      <c r="P106">
        <f>'Horsefly Swamp'!N32</f>
        <v>1041</v>
      </c>
      <c r="Q106">
        <f>'Horsefly Swamp'!O32</f>
        <v>655</v>
      </c>
      <c r="R106">
        <f>'Horsefly Swamp'!P32</f>
        <v>67</v>
      </c>
      <c r="S106">
        <f>'Horsefly Swamp'!Q32</f>
        <v>46714</v>
      </c>
      <c r="T106">
        <f>'Horsefly Swamp'!R32</f>
        <v>0.5</v>
      </c>
      <c r="U106">
        <f>'Horsefly Swamp'!S32</f>
        <v>1154</v>
      </c>
      <c r="V106">
        <f>'Horsefly Swamp'!T32</f>
        <v>1</v>
      </c>
      <c r="W106">
        <f>'Horsefly Swamp'!U32</f>
        <v>1</v>
      </c>
      <c r="X106">
        <f>'Horsefly Swamp'!V32</f>
        <v>1</v>
      </c>
      <c r="Y106">
        <f>'Horsefly Swamp'!W32</f>
        <v>0</v>
      </c>
      <c r="Z106">
        <f>'Horsefly Swamp'!X32</f>
        <v>1298</v>
      </c>
      <c r="AA106">
        <f>'Horsefly Swamp'!Y32</f>
        <v>143</v>
      </c>
      <c r="AB106">
        <f>'Horsefly Swamp'!Z32</f>
        <v>1</v>
      </c>
      <c r="AC106">
        <f>'Horsefly Swamp'!AA32</f>
        <v>152</v>
      </c>
      <c r="AD106">
        <f>'Horsefly Swamp'!AB32</f>
        <v>0</v>
      </c>
      <c r="AE106">
        <f>'Horsefly Swamp'!AC32</f>
        <v>1416</v>
      </c>
      <c r="AF106">
        <f>'Horsefly Swamp'!AD32</f>
        <v>1</v>
      </c>
      <c r="AG106">
        <f>'Horsefly Swamp'!AE32</f>
        <v>1</v>
      </c>
      <c r="AH106">
        <f>'Horsefly Swamp'!AF32</f>
        <v>1</v>
      </c>
      <c r="AI106">
        <f>'Horsefly Swamp'!AG32</f>
        <v>0</v>
      </c>
      <c r="AJ106">
        <f>'Horsefly Swamp'!AH32</f>
        <v>1506</v>
      </c>
      <c r="AK106">
        <f>'Horsefly Swamp'!AI32</f>
        <v>981</v>
      </c>
      <c r="AL106">
        <f>'Horsefly Swamp'!AJ32</f>
        <v>23</v>
      </c>
      <c r="AM106">
        <f>'Horsefly Swamp'!AK32</f>
        <v>24018</v>
      </c>
      <c r="AN106">
        <f>'Horsefly Swamp'!AL32</f>
        <v>0.3</v>
      </c>
      <c r="AO106">
        <f>'Horsefly Swamp'!AM32</f>
        <v>1596</v>
      </c>
      <c r="AP106">
        <f>'Horsefly Swamp'!AN32</f>
        <v>1109</v>
      </c>
      <c r="AQ106">
        <f>'Horsefly Swamp'!AO32</f>
        <v>25</v>
      </c>
      <c r="AR106">
        <f>'Horsefly Swamp'!AP32</f>
        <v>29512</v>
      </c>
      <c r="AS106">
        <f>'Horsefly Swamp'!AQ32</f>
        <v>0.3</v>
      </c>
      <c r="AT106">
        <f>'Horsefly Swamp'!AR32</f>
        <v>1730</v>
      </c>
      <c r="AU106">
        <f>'Horsefly Swamp'!AS32</f>
        <v>1069</v>
      </c>
      <c r="AV106">
        <f>'Horsefly Swamp'!AT32</f>
        <v>141</v>
      </c>
      <c r="AW106">
        <f>'Horsefly Swamp'!AU32</f>
        <v>160446</v>
      </c>
      <c r="AX106">
        <f>'Horsefly Swamp'!AV32</f>
        <v>1.8</v>
      </c>
    </row>
    <row r="107" spans="1:50">
      <c r="A107" t="str">
        <f>'Horsefly Swamp'!A33</f>
        <v>/Users/christophermarjo/Documents/Python/Projects/data/bushfire Raman/Horsefly Swamp/HF 4 (1)</v>
      </c>
      <c r="B107" t="str">
        <f t="shared" si="0"/>
        <v>Horsefly Swamp</v>
      </c>
      <c r="C107">
        <v>4</v>
      </c>
      <c r="D107" t="str">
        <f>'Horsefly Swamp'!B33</f>
        <v>19.16 counts</v>
      </c>
      <c r="E107">
        <f>'Horsefly Swamp'!C33</f>
        <v>0.98220700000000005</v>
      </c>
      <c r="F107">
        <f>'Horsefly Swamp'!D33</f>
        <v>1367</v>
      </c>
      <c r="G107">
        <f>'Horsefly Swamp'!E33</f>
        <v>10191</v>
      </c>
      <c r="H107">
        <f>'Horsefly Swamp'!F33</f>
        <v>334</v>
      </c>
      <c r="I107">
        <f>'Horsefly Swamp'!G33</f>
        <v>3623227</v>
      </c>
      <c r="J107">
        <f>'Horsefly Swamp'!H33</f>
        <v>72.900000000000006</v>
      </c>
      <c r="K107">
        <f>'Horsefly Swamp'!I33</f>
        <v>1588</v>
      </c>
      <c r="L107">
        <f>'Horsefly Swamp'!J33</f>
        <v>9755</v>
      </c>
      <c r="M107">
        <f>'Horsefly Swamp'!K33</f>
        <v>104</v>
      </c>
      <c r="N107">
        <f>'Horsefly Swamp'!L33</f>
        <v>1079923</v>
      </c>
      <c r="O107">
        <f>'Horsefly Swamp'!M33</f>
        <v>21.7</v>
      </c>
      <c r="P107">
        <f>'Horsefly Swamp'!N33</f>
        <v>1039</v>
      </c>
      <c r="Q107">
        <f>'Horsefly Swamp'!O33</f>
        <v>415</v>
      </c>
      <c r="R107">
        <f>'Horsefly Swamp'!P33</f>
        <v>75</v>
      </c>
      <c r="S107">
        <f>'Horsefly Swamp'!Q33</f>
        <v>33132</v>
      </c>
      <c r="T107">
        <f>'Horsefly Swamp'!R33</f>
        <v>0.7</v>
      </c>
      <c r="U107">
        <f>'Horsefly Swamp'!S33</f>
        <v>1154</v>
      </c>
      <c r="V107">
        <f>'Horsefly Swamp'!T33</f>
        <v>1</v>
      </c>
      <c r="W107">
        <f>'Horsefly Swamp'!U33</f>
        <v>1</v>
      </c>
      <c r="X107">
        <f>'Horsefly Swamp'!V33</f>
        <v>1</v>
      </c>
      <c r="Y107">
        <f>'Horsefly Swamp'!W33</f>
        <v>0</v>
      </c>
      <c r="Z107">
        <f>'Horsefly Swamp'!X33</f>
        <v>1256</v>
      </c>
      <c r="AA107">
        <f>'Horsefly Swamp'!Y33</f>
        <v>1</v>
      </c>
      <c r="AB107">
        <f>'Horsefly Swamp'!Z33</f>
        <v>1</v>
      </c>
      <c r="AC107">
        <f>'Horsefly Swamp'!AA33</f>
        <v>1</v>
      </c>
      <c r="AD107">
        <f>'Horsefly Swamp'!AB33</f>
        <v>0</v>
      </c>
      <c r="AE107">
        <f>'Horsefly Swamp'!AC33</f>
        <v>1456</v>
      </c>
      <c r="AF107">
        <f>'Horsefly Swamp'!AD33</f>
        <v>97</v>
      </c>
      <c r="AG107">
        <f>'Horsefly Swamp'!AE33</f>
        <v>1</v>
      </c>
      <c r="AH107">
        <f>'Horsefly Swamp'!AF33</f>
        <v>103</v>
      </c>
      <c r="AI107">
        <f>'Horsefly Swamp'!AG33</f>
        <v>0</v>
      </c>
      <c r="AJ107">
        <f>'Horsefly Swamp'!AH33</f>
        <v>1506</v>
      </c>
      <c r="AK107">
        <f>'Horsefly Swamp'!AI33</f>
        <v>423</v>
      </c>
      <c r="AL107">
        <f>'Horsefly Swamp'!AJ33</f>
        <v>39</v>
      </c>
      <c r="AM107">
        <f>'Horsefly Swamp'!AK33</f>
        <v>17561</v>
      </c>
      <c r="AN107">
        <f>'Horsefly Swamp'!AL33</f>
        <v>0.4</v>
      </c>
      <c r="AO107">
        <f>'Horsefly Swamp'!AM33</f>
        <v>1598</v>
      </c>
      <c r="AP107">
        <f>'Horsefly Swamp'!AN33</f>
        <v>403</v>
      </c>
      <c r="AQ107">
        <f>'Horsefly Swamp'!AO33</f>
        <v>25</v>
      </c>
      <c r="AR107">
        <f>'Horsefly Swamp'!AP33</f>
        <v>10725</v>
      </c>
      <c r="AS107">
        <f>'Horsefly Swamp'!AQ33</f>
        <v>0.2</v>
      </c>
      <c r="AT107">
        <f>'Horsefly Swamp'!AR33</f>
        <v>1724</v>
      </c>
      <c r="AU107">
        <f>'Horsefly Swamp'!AS33</f>
        <v>1135</v>
      </c>
      <c r="AV107">
        <f>'Horsefly Swamp'!AT33</f>
        <v>169</v>
      </c>
      <c r="AW107">
        <f>'Horsefly Swamp'!AU33</f>
        <v>204181</v>
      </c>
      <c r="AX107">
        <f>'Horsefly Swamp'!AV33</f>
        <v>4.0999999999999996</v>
      </c>
    </row>
    <row r="108" spans="1:50">
      <c r="A108" t="str">
        <f>'Horsefly Swamp'!A34</f>
        <v>/Users/christophermarjo/Documents/Python/Projects/data/bushfire Raman/Horsefly Swamp/HF 4 (2)</v>
      </c>
      <c r="B108" t="str">
        <f t="shared" si="0"/>
        <v>Horsefly Swamp</v>
      </c>
      <c r="C108">
        <v>4</v>
      </c>
      <c r="D108" t="str">
        <f>'Horsefly Swamp'!B34</f>
        <v>42.78 counts</v>
      </c>
      <c r="E108">
        <f>'Horsefly Swamp'!C34</f>
        <v>0.98903099999999999</v>
      </c>
      <c r="F108">
        <f>'Horsefly Swamp'!D34</f>
        <v>1369</v>
      </c>
      <c r="G108">
        <f>'Horsefly Swamp'!E34</f>
        <v>27861</v>
      </c>
      <c r="H108">
        <f>'Horsefly Swamp'!F34</f>
        <v>324</v>
      </c>
      <c r="I108">
        <f>'Horsefly Swamp'!G34</f>
        <v>9608906</v>
      </c>
      <c r="J108">
        <f>'Horsefly Swamp'!H34</f>
        <v>70.400000000000006</v>
      </c>
      <c r="K108">
        <f>'Horsefly Swamp'!I34</f>
        <v>1590</v>
      </c>
      <c r="L108">
        <f>'Horsefly Swamp'!J34</f>
        <v>30235</v>
      </c>
      <c r="M108">
        <f>'Horsefly Swamp'!K34</f>
        <v>100</v>
      </c>
      <c r="N108">
        <f>'Horsefly Swamp'!L34</f>
        <v>3218416</v>
      </c>
      <c r="O108">
        <f>'Horsefly Swamp'!M34</f>
        <v>23.6</v>
      </c>
      <c r="P108">
        <f>'Horsefly Swamp'!N34</f>
        <v>1041</v>
      </c>
      <c r="Q108">
        <f>'Horsefly Swamp'!O34</f>
        <v>1335</v>
      </c>
      <c r="R108">
        <f>'Horsefly Swamp'!P34</f>
        <v>79</v>
      </c>
      <c r="S108">
        <f>'Horsefly Swamp'!Q34</f>
        <v>112264</v>
      </c>
      <c r="T108">
        <f>'Horsefly Swamp'!R34</f>
        <v>0.8</v>
      </c>
      <c r="U108">
        <f>'Horsefly Swamp'!S34</f>
        <v>1154</v>
      </c>
      <c r="V108">
        <f>'Horsefly Swamp'!T34</f>
        <v>1</v>
      </c>
      <c r="W108">
        <f>'Horsefly Swamp'!U34</f>
        <v>1</v>
      </c>
      <c r="X108">
        <f>'Horsefly Swamp'!V34</f>
        <v>1</v>
      </c>
      <c r="Y108">
        <f>'Horsefly Swamp'!W34</f>
        <v>0</v>
      </c>
      <c r="Z108">
        <f>'Horsefly Swamp'!X34</f>
        <v>1256</v>
      </c>
      <c r="AA108">
        <f>'Horsefly Swamp'!Y34</f>
        <v>1</v>
      </c>
      <c r="AB108">
        <f>'Horsefly Swamp'!Z34</f>
        <v>1</v>
      </c>
      <c r="AC108">
        <f>'Horsefly Swamp'!AA34</f>
        <v>1</v>
      </c>
      <c r="AD108">
        <f>'Horsefly Swamp'!AB34</f>
        <v>0</v>
      </c>
      <c r="AE108">
        <f>'Horsefly Swamp'!AC34</f>
        <v>1402</v>
      </c>
      <c r="AF108">
        <f>'Horsefly Swamp'!AD34</f>
        <v>741</v>
      </c>
      <c r="AG108">
        <f>'Horsefly Swamp'!AE34</f>
        <v>9</v>
      </c>
      <c r="AH108">
        <f>'Horsefly Swamp'!AF34</f>
        <v>7099</v>
      </c>
      <c r="AI108">
        <f>'Horsefly Swamp'!AG34</f>
        <v>0.1</v>
      </c>
      <c r="AJ108">
        <f>'Horsefly Swamp'!AH34</f>
        <v>1506</v>
      </c>
      <c r="AK108">
        <f>'Horsefly Swamp'!AI34</f>
        <v>509</v>
      </c>
      <c r="AL108">
        <f>'Horsefly Swamp'!AJ34</f>
        <v>31</v>
      </c>
      <c r="AM108">
        <f>'Horsefly Swamp'!AK34</f>
        <v>16796</v>
      </c>
      <c r="AN108">
        <f>'Horsefly Swamp'!AL34</f>
        <v>0.1</v>
      </c>
      <c r="AO108">
        <f>'Horsefly Swamp'!AM34</f>
        <v>1596</v>
      </c>
      <c r="AP108">
        <f>'Horsefly Swamp'!AN34</f>
        <v>3093</v>
      </c>
      <c r="AQ108">
        <f>'Horsefly Swamp'!AO34</f>
        <v>31</v>
      </c>
      <c r="AR108">
        <f>'Horsefly Swamp'!AP34</f>
        <v>102064</v>
      </c>
      <c r="AS108">
        <f>'Horsefly Swamp'!AQ34</f>
        <v>0.7</v>
      </c>
      <c r="AT108">
        <f>'Horsefly Swamp'!AR34</f>
        <v>1720</v>
      </c>
      <c r="AU108">
        <f>'Horsefly Swamp'!AS34</f>
        <v>4249</v>
      </c>
      <c r="AV108">
        <f>'Horsefly Swamp'!AT34</f>
        <v>131</v>
      </c>
      <c r="AW108">
        <f>'Horsefly Swamp'!AU34</f>
        <v>592503</v>
      </c>
      <c r="AX108">
        <f>'Horsefly Swamp'!AV34</f>
        <v>4.3</v>
      </c>
    </row>
    <row r="109" spans="1:50">
      <c r="A109" t="str">
        <f>'Horsefly Swamp'!A35</f>
        <v>/Users/christophermarjo/Documents/Python/Projects/data/bushfire Raman/Horsefly Swamp/HF 4 (3)</v>
      </c>
      <c r="B109" t="str">
        <f t="shared" si="0"/>
        <v>Horsefly Swamp</v>
      </c>
      <c r="C109">
        <v>4</v>
      </c>
      <c r="D109" t="str">
        <f>'Horsefly Swamp'!B35</f>
        <v>55.68 counts</v>
      </c>
      <c r="E109">
        <f>'Horsefly Swamp'!C35</f>
        <v>0.98545499999999997</v>
      </c>
      <c r="F109">
        <f>'Horsefly Swamp'!D35</f>
        <v>1369</v>
      </c>
      <c r="G109">
        <f>'Horsefly Swamp'!E35</f>
        <v>31541</v>
      </c>
      <c r="H109">
        <f>'Horsefly Swamp'!F35</f>
        <v>330</v>
      </c>
      <c r="I109">
        <f>'Horsefly Swamp'!G35</f>
        <v>11079537</v>
      </c>
      <c r="J109">
        <f>'Horsefly Swamp'!H35</f>
        <v>70</v>
      </c>
      <c r="K109">
        <f>'Horsefly Swamp'!I35</f>
        <v>1588</v>
      </c>
      <c r="L109">
        <f>'Horsefly Swamp'!J35</f>
        <v>35417</v>
      </c>
      <c r="M109">
        <f>'Horsefly Swamp'!K35</f>
        <v>104</v>
      </c>
      <c r="N109">
        <f>'Horsefly Swamp'!L35</f>
        <v>3920824</v>
      </c>
      <c r="O109">
        <f>'Horsefly Swamp'!M35</f>
        <v>24.8</v>
      </c>
      <c r="P109">
        <f>'Horsefly Swamp'!N35</f>
        <v>1039</v>
      </c>
      <c r="Q109">
        <f>'Horsefly Swamp'!O35</f>
        <v>1137</v>
      </c>
      <c r="R109">
        <f>'Horsefly Swamp'!P35</f>
        <v>61</v>
      </c>
      <c r="S109">
        <f>'Horsefly Swamp'!Q35</f>
        <v>73828</v>
      </c>
      <c r="T109">
        <f>'Horsefly Swamp'!R35</f>
        <v>0.5</v>
      </c>
      <c r="U109">
        <f>'Horsefly Swamp'!S35</f>
        <v>1154</v>
      </c>
      <c r="V109">
        <f>'Horsefly Swamp'!T35</f>
        <v>1</v>
      </c>
      <c r="W109">
        <f>'Horsefly Swamp'!U35</f>
        <v>1</v>
      </c>
      <c r="X109">
        <f>'Horsefly Swamp'!V35</f>
        <v>1</v>
      </c>
      <c r="Y109">
        <f>'Horsefly Swamp'!W35</f>
        <v>0</v>
      </c>
      <c r="Z109">
        <f>'Horsefly Swamp'!X35</f>
        <v>1256</v>
      </c>
      <c r="AA109">
        <f>'Horsefly Swamp'!Y35</f>
        <v>1</v>
      </c>
      <c r="AB109">
        <f>'Horsefly Swamp'!Z35</f>
        <v>1</v>
      </c>
      <c r="AC109">
        <f>'Horsefly Swamp'!AA35</f>
        <v>1</v>
      </c>
      <c r="AD109">
        <f>'Horsefly Swamp'!AB35</f>
        <v>0</v>
      </c>
      <c r="AE109">
        <f>'Horsefly Swamp'!AC35</f>
        <v>1456</v>
      </c>
      <c r="AF109">
        <f>'Horsefly Swamp'!AD35</f>
        <v>297</v>
      </c>
      <c r="AG109">
        <f>'Horsefly Swamp'!AE35</f>
        <v>129</v>
      </c>
      <c r="AH109">
        <f>'Horsefly Swamp'!AF35</f>
        <v>40783</v>
      </c>
      <c r="AI109">
        <f>'Horsefly Swamp'!AG35</f>
        <v>0.3</v>
      </c>
      <c r="AJ109">
        <f>'Horsefly Swamp'!AH35</f>
        <v>1488</v>
      </c>
      <c r="AK109">
        <f>'Horsefly Swamp'!AI35</f>
        <v>1569</v>
      </c>
      <c r="AL109">
        <f>'Horsefly Swamp'!AJ35</f>
        <v>37</v>
      </c>
      <c r="AM109">
        <f>'Horsefly Swamp'!AK35</f>
        <v>61796</v>
      </c>
      <c r="AN109">
        <f>'Horsefly Swamp'!AL35</f>
        <v>0.4</v>
      </c>
      <c r="AO109">
        <f>'Horsefly Swamp'!AM35</f>
        <v>1594</v>
      </c>
      <c r="AP109">
        <f>'Horsefly Swamp'!AN35</f>
        <v>1045</v>
      </c>
      <c r="AQ109">
        <f>'Horsefly Swamp'!AO35</f>
        <v>7</v>
      </c>
      <c r="AR109">
        <f>'Horsefly Swamp'!AP35</f>
        <v>7787</v>
      </c>
      <c r="AS109">
        <f>'Horsefly Swamp'!AQ35</f>
        <v>0</v>
      </c>
      <c r="AT109">
        <f>'Horsefly Swamp'!AR35</f>
        <v>1718</v>
      </c>
      <c r="AU109">
        <f>'Horsefly Swamp'!AS35</f>
        <v>5319</v>
      </c>
      <c r="AV109">
        <f>'Horsefly Swamp'!AT35</f>
        <v>115</v>
      </c>
      <c r="AW109">
        <f>'Horsefly Swamp'!AU35</f>
        <v>651119</v>
      </c>
      <c r="AX109">
        <f>'Horsefly Swamp'!AV35</f>
        <v>4.0999999999999996</v>
      </c>
    </row>
    <row r="110" spans="1:50">
      <c r="A110" t="str">
        <f>'Horsefly Swamp'!A36</f>
        <v>/Users/christophermarjo/Documents/Python/Projects/data/bushfire Raman/Horsefly Swamp/HF 4 (4)</v>
      </c>
      <c r="B110" t="str">
        <f t="shared" si="0"/>
        <v>Horsefly Swamp</v>
      </c>
      <c r="C110">
        <v>4</v>
      </c>
      <c r="D110" t="str">
        <f>'Horsefly Swamp'!B36</f>
        <v>32.50 counts</v>
      </c>
      <c r="E110">
        <f>'Horsefly Swamp'!C36</f>
        <v>0.98965700000000001</v>
      </c>
      <c r="F110">
        <f>'Horsefly Swamp'!D36</f>
        <v>1369</v>
      </c>
      <c r="G110">
        <f>'Horsefly Swamp'!E36</f>
        <v>21701</v>
      </c>
      <c r="H110">
        <f>'Horsefly Swamp'!F36</f>
        <v>332</v>
      </c>
      <c r="I110">
        <f>'Horsefly Swamp'!G36</f>
        <v>7669200</v>
      </c>
      <c r="J110">
        <f>'Horsefly Swamp'!H36</f>
        <v>70.5</v>
      </c>
      <c r="K110">
        <f>'Horsefly Swamp'!I36</f>
        <v>1590</v>
      </c>
      <c r="L110">
        <f>'Horsefly Swamp'!J36</f>
        <v>24113</v>
      </c>
      <c r="M110">
        <f>'Horsefly Swamp'!K36</f>
        <v>100</v>
      </c>
      <c r="N110">
        <f>'Horsefly Swamp'!L36</f>
        <v>2566749</v>
      </c>
      <c r="O110">
        <f>'Horsefly Swamp'!M36</f>
        <v>23.6</v>
      </c>
      <c r="P110">
        <f>'Horsefly Swamp'!N36</f>
        <v>1035</v>
      </c>
      <c r="Q110">
        <f>'Horsefly Swamp'!O36</f>
        <v>1015</v>
      </c>
      <c r="R110">
        <f>'Horsefly Swamp'!P36</f>
        <v>85</v>
      </c>
      <c r="S110">
        <f>'Horsefly Swamp'!Q36</f>
        <v>91837</v>
      </c>
      <c r="T110">
        <f>'Horsefly Swamp'!R36</f>
        <v>0.8</v>
      </c>
      <c r="U110">
        <f>'Horsefly Swamp'!S36</f>
        <v>1154</v>
      </c>
      <c r="V110">
        <f>'Horsefly Swamp'!T36</f>
        <v>1</v>
      </c>
      <c r="W110">
        <f>'Horsefly Swamp'!U36</f>
        <v>1</v>
      </c>
      <c r="X110">
        <f>'Horsefly Swamp'!V36</f>
        <v>1</v>
      </c>
      <c r="Y110">
        <f>'Horsefly Swamp'!W36</f>
        <v>0</v>
      </c>
      <c r="Z110">
        <f>'Horsefly Swamp'!X36</f>
        <v>1256</v>
      </c>
      <c r="AA110">
        <f>'Horsefly Swamp'!Y36</f>
        <v>1</v>
      </c>
      <c r="AB110">
        <f>'Horsefly Swamp'!Z36</f>
        <v>1</v>
      </c>
      <c r="AC110">
        <f>'Horsefly Swamp'!AA36</f>
        <v>1</v>
      </c>
      <c r="AD110">
        <f>'Horsefly Swamp'!AB36</f>
        <v>0</v>
      </c>
      <c r="AE110">
        <f>'Horsefly Swamp'!AC36</f>
        <v>1402</v>
      </c>
      <c r="AF110">
        <f>'Horsefly Swamp'!AD36</f>
        <v>559</v>
      </c>
      <c r="AG110">
        <f>'Horsefly Swamp'!AE36</f>
        <v>121</v>
      </c>
      <c r="AH110">
        <f>'Horsefly Swamp'!AF36</f>
        <v>71999</v>
      </c>
      <c r="AI110">
        <f>'Horsefly Swamp'!AG36</f>
        <v>0.7</v>
      </c>
      <c r="AJ110">
        <f>'Horsefly Swamp'!AH36</f>
        <v>1506</v>
      </c>
      <c r="AK110">
        <f>'Horsefly Swamp'!AI36</f>
        <v>493</v>
      </c>
      <c r="AL110">
        <f>'Horsefly Swamp'!AJ36</f>
        <v>31</v>
      </c>
      <c r="AM110">
        <f>'Horsefly Swamp'!AK36</f>
        <v>16268</v>
      </c>
      <c r="AN110">
        <f>'Horsefly Swamp'!AL36</f>
        <v>0.1</v>
      </c>
      <c r="AO110">
        <f>'Horsefly Swamp'!AM36</f>
        <v>1594</v>
      </c>
      <c r="AP110">
        <f>'Horsefly Swamp'!AN36</f>
        <v>1299</v>
      </c>
      <c r="AQ110">
        <f>'Horsefly Swamp'!AO36</f>
        <v>19</v>
      </c>
      <c r="AR110">
        <f>'Horsefly Swamp'!AP36</f>
        <v>26272</v>
      </c>
      <c r="AS110">
        <f>'Horsefly Swamp'!AQ36</f>
        <v>0.2</v>
      </c>
      <c r="AT110">
        <f>'Horsefly Swamp'!AR36</f>
        <v>1720</v>
      </c>
      <c r="AU110">
        <f>'Horsefly Swamp'!AS36</f>
        <v>3047</v>
      </c>
      <c r="AV110">
        <f>'Horsefly Swamp'!AT36</f>
        <v>133</v>
      </c>
      <c r="AW110">
        <f>'Horsefly Swamp'!AU36</f>
        <v>431376</v>
      </c>
      <c r="AX110">
        <f>'Horsefly Swamp'!AV36</f>
        <v>4</v>
      </c>
    </row>
    <row r="111" spans="1:50">
      <c r="A111" t="str">
        <f>'Horsefly Swamp'!A37</f>
        <v>/Users/christophermarjo/Documents/Python/Projects/data/bushfire Raman/Horsefly Swamp/HF 4 (5)</v>
      </c>
      <c r="B111" t="str">
        <f t="shared" si="0"/>
        <v>Horsefly Swamp</v>
      </c>
      <c r="C111">
        <v>4</v>
      </c>
      <c r="D111" t="str">
        <f>'Horsefly Swamp'!B37</f>
        <v>29.70 counts</v>
      </c>
      <c r="E111">
        <f>'Horsefly Swamp'!C37</f>
        <v>0.99136500000000005</v>
      </c>
      <c r="F111">
        <f>'Horsefly Swamp'!D37</f>
        <v>1369</v>
      </c>
      <c r="G111">
        <f>'Horsefly Swamp'!E37</f>
        <v>22079</v>
      </c>
      <c r="H111">
        <f>'Horsefly Swamp'!F37</f>
        <v>336</v>
      </c>
      <c r="I111">
        <f>'Horsefly Swamp'!G37</f>
        <v>7896796</v>
      </c>
      <c r="J111">
        <f>'Horsefly Swamp'!H37</f>
        <v>72.3</v>
      </c>
      <c r="K111">
        <f>'Horsefly Swamp'!I37</f>
        <v>1586</v>
      </c>
      <c r="L111">
        <f>'Horsefly Swamp'!J37</f>
        <v>20827</v>
      </c>
      <c r="M111">
        <f>'Horsefly Swamp'!K37</f>
        <v>116</v>
      </c>
      <c r="N111">
        <f>'Horsefly Swamp'!L37</f>
        <v>2571680</v>
      </c>
      <c r="O111">
        <f>'Horsefly Swamp'!M37</f>
        <v>23.6</v>
      </c>
      <c r="P111">
        <f>'Horsefly Swamp'!N37</f>
        <v>1073</v>
      </c>
      <c r="Q111">
        <f>'Horsefly Swamp'!O37</f>
        <v>471</v>
      </c>
      <c r="R111">
        <f>'Horsefly Swamp'!P37</f>
        <v>51</v>
      </c>
      <c r="S111">
        <f>'Horsefly Swamp'!Q37</f>
        <v>25570</v>
      </c>
      <c r="T111">
        <f>'Horsefly Swamp'!R37</f>
        <v>0.2</v>
      </c>
      <c r="U111">
        <f>'Horsefly Swamp'!S37</f>
        <v>1154</v>
      </c>
      <c r="V111">
        <f>'Horsefly Swamp'!T37</f>
        <v>1</v>
      </c>
      <c r="W111">
        <f>'Horsefly Swamp'!U37</f>
        <v>1</v>
      </c>
      <c r="X111">
        <f>'Horsefly Swamp'!V37</f>
        <v>1</v>
      </c>
      <c r="Y111">
        <f>'Horsefly Swamp'!W37</f>
        <v>0</v>
      </c>
      <c r="Z111">
        <f>'Horsefly Swamp'!X37</f>
        <v>1256</v>
      </c>
      <c r="AA111">
        <f>'Horsefly Swamp'!Y37</f>
        <v>1</v>
      </c>
      <c r="AB111">
        <f>'Horsefly Swamp'!Z37</f>
        <v>1</v>
      </c>
      <c r="AC111">
        <f>'Horsefly Swamp'!AA37</f>
        <v>1</v>
      </c>
      <c r="AD111">
        <f>'Horsefly Swamp'!AB37</f>
        <v>0</v>
      </c>
      <c r="AE111">
        <f>'Horsefly Swamp'!AC37</f>
        <v>1440</v>
      </c>
      <c r="AF111">
        <f>'Horsefly Swamp'!AD37</f>
        <v>227</v>
      </c>
      <c r="AG111">
        <f>'Horsefly Swamp'!AE37</f>
        <v>127</v>
      </c>
      <c r="AH111">
        <f>'Horsefly Swamp'!AF37</f>
        <v>30688</v>
      </c>
      <c r="AI111">
        <f>'Horsefly Swamp'!AG37</f>
        <v>0.3</v>
      </c>
      <c r="AJ111">
        <f>'Horsefly Swamp'!AH37</f>
        <v>1492</v>
      </c>
      <c r="AK111">
        <f>'Horsefly Swamp'!AI37</f>
        <v>1179</v>
      </c>
      <c r="AL111">
        <f>'Horsefly Swamp'!AJ37</f>
        <v>59</v>
      </c>
      <c r="AM111">
        <f>'Horsefly Swamp'!AK37</f>
        <v>74045</v>
      </c>
      <c r="AN111">
        <f>'Horsefly Swamp'!AL37</f>
        <v>0.7</v>
      </c>
      <c r="AO111">
        <f>'Horsefly Swamp'!AM37</f>
        <v>1590</v>
      </c>
      <c r="AP111">
        <f>'Horsefly Swamp'!AN37</f>
        <v>669</v>
      </c>
      <c r="AQ111">
        <f>'Horsefly Swamp'!AO37</f>
        <v>27</v>
      </c>
      <c r="AR111">
        <f>'Horsefly Swamp'!AP37</f>
        <v>19227</v>
      </c>
      <c r="AS111">
        <f>'Horsefly Swamp'!AQ37</f>
        <v>0.2</v>
      </c>
      <c r="AT111">
        <f>'Horsefly Swamp'!AR37</f>
        <v>1736</v>
      </c>
      <c r="AU111">
        <f>'Horsefly Swamp'!AS37</f>
        <v>2323</v>
      </c>
      <c r="AV111">
        <f>'Horsefly Swamp'!AT37</f>
        <v>121</v>
      </c>
      <c r="AW111">
        <f>'Horsefly Swamp'!AU37</f>
        <v>299204</v>
      </c>
      <c r="AX111">
        <f>'Horsefly Swamp'!AV37</f>
        <v>2.7</v>
      </c>
    </row>
    <row r="112" spans="1:50">
      <c r="A112" t="str">
        <f>'Horsefly Swamp'!A38</f>
        <v>/Users/christophermarjo/Documents/Python/Projects/data/bushfire Raman/Horsefly Swamp/HF 4.5 (1)</v>
      </c>
      <c r="B112" t="str">
        <f t="shared" si="0"/>
        <v>Horsefly Swamp</v>
      </c>
      <c r="C112">
        <v>4.5</v>
      </c>
      <c r="D112" t="str">
        <f>'Horsefly Swamp'!B38</f>
        <v>10.90 counts</v>
      </c>
      <c r="E112">
        <f>'Horsefly Swamp'!C38</f>
        <v>0.98839299999999997</v>
      </c>
      <c r="F112">
        <f>'Horsefly Swamp'!D38</f>
        <v>1369</v>
      </c>
      <c r="G112">
        <f>'Horsefly Swamp'!E38</f>
        <v>7241</v>
      </c>
      <c r="H112">
        <f>'Horsefly Swamp'!F38</f>
        <v>312</v>
      </c>
      <c r="I112">
        <f>'Horsefly Swamp'!G38</f>
        <v>2404835</v>
      </c>
      <c r="J112">
        <f>'Horsefly Swamp'!H38</f>
        <v>74.400000000000006</v>
      </c>
      <c r="K112">
        <f>'Horsefly Swamp'!I38</f>
        <v>1592</v>
      </c>
      <c r="L112">
        <f>'Horsefly Swamp'!J38</f>
        <v>6729</v>
      </c>
      <c r="M112">
        <f>'Horsefly Swamp'!K38</f>
        <v>100</v>
      </c>
      <c r="N112">
        <f>'Horsefly Swamp'!L38</f>
        <v>716280</v>
      </c>
      <c r="O112">
        <f>'Horsefly Swamp'!M38</f>
        <v>22.2</v>
      </c>
      <c r="P112">
        <f>'Horsefly Swamp'!N38</f>
        <v>1057</v>
      </c>
      <c r="Q112">
        <f>'Horsefly Swamp'!O38</f>
        <v>275</v>
      </c>
      <c r="R112">
        <f>'Horsefly Swamp'!P38</f>
        <v>107</v>
      </c>
      <c r="S112">
        <f>'Horsefly Swamp'!Q38</f>
        <v>31322</v>
      </c>
      <c r="T112">
        <f>'Horsefly Swamp'!R38</f>
        <v>1</v>
      </c>
      <c r="U112">
        <f>'Horsefly Swamp'!S38</f>
        <v>1152</v>
      </c>
      <c r="V112">
        <f>'Horsefly Swamp'!T38</f>
        <v>101</v>
      </c>
      <c r="W112">
        <f>'Horsefly Swamp'!U38</f>
        <v>1</v>
      </c>
      <c r="X112">
        <f>'Horsefly Swamp'!V38</f>
        <v>108</v>
      </c>
      <c r="Y112">
        <f>'Horsefly Swamp'!W38</f>
        <v>0</v>
      </c>
      <c r="Z112">
        <f>'Horsefly Swamp'!X38</f>
        <v>1296</v>
      </c>
      <c r="AA112">
        <f>'Horsefly Swamp'!Y38</f>
        <v>55</v>
      </c>
      <c r="AB112">
        <f>'Horsefly Swamp'!Z38</f>
        <v>53</v>
      </c>
      <c r="AC112">
        <f>'Horsefly Swamp'!AA38</f>
        <v>3103</v>
      </c>
      <c r="AD112">
        <f>'Horsefly Swamp'!AB38</f>
        <v>0.1</v>
      </c>
      <c r="AE112">
        <f>'Horsefly Swamp'!AC38</f>
        <v>1400</v>
      </c>
      <c r="AF112">
        <f>'Horsefly Swamp'!AD38</f>
        <v>1</v>
      </c>
      <c r="AG112">
        <f>'Horsefly Swamp'!AE38</f>
        <v>1</v>
      </c>
      <c r="AH112">
        <f>'Horsefly Swamp'!AF38</f>
        <v>1</v>
      </c>
      <c r="AI112">
        <f>'Horsefly Swamp'!AG38</f>
        <v>0</v>
      </c>
      <c r="AJ112">
        <f>'Horsefly Swamp'!AH38</f>
        <v>1500</v>
      </c>
      <c r="AK112">
        <f>'Horsefly Swamp'!AI38</f>
        <v>75</v>
      </c>
      <c r="AL112">
        <f>'Horsefly Swamp'!AJ38</f>
        <v>7</v>
      </c>
      <c r="AM112">
        <f>'Horsefly Swamp'!AK38</f>
        <v>559</v>
      </c>
      <c r="AN112">
        <f>'Horsefly Swamp'!AL38</f>
        <v>0</v>
      </c>
      <c r="AO112">
        <f>'Horsefly Swamp'!AM38</f>
        <v>1594</v>
      </c>
      <c r="AP112">
        <f>'Horsefly Swamp'!AN38</f>
        <v>1299</v>
      </c>
      <c r="AQ112">
        <f>'Horsefly Swamp'!AO38</f>
        <v>29</v>
      </c>
      <c r="AR112">
        <f>'Horsefly Swamp'!AP38</f>
        <v>40100</v>
      </c>
      <c r="AS112">
        <f>'Horsefly Swamp'!AQ38</f>
        <v>1.2</v>
      </c>
      <c r="AT112">
        <f>'Horsefly Swamp'!AR38</f>
        <v>1728</v>
      </c>
      <c r="AU112">
        <f>'Horsefly Swamp'!AS38</f>
        <v>383</v>
      </c>
      <c r="AV112">
        <f>'Horsefly Swamp'!AT38</f>
        <v>91</v>
      </c>
      <c r="AW112">
        <f>'Horsefly Swamp'!AU38</f>
        <v>37100</v>
      </c>
      <c r="AX112">
        <f>'Horsefly Swamp'!AV38</f>
        <v>1.1000000000000001</v>
      </c>
    </row>
    <row r="113" spans="1:50">
      <c r="A113" t="str">
        <f>'Horsefly Swamp'!A39</f>
        <v>/Users/christophermarjo/Documents/Python/Projects/data/bushfire Raman/Horsefly Swamp/HF 4.5 (2)</v>
      </c>
      <c r="B113" t="str">
        <f t="shared" si="0"/>
        <v>Horsefly Swamp</v>
      </c>
      <c r="C113">
        <v>4.5</v>
      </c>
      <c r="D113" t="str">
        <f>'Horsefly Swamp'!B39</f>
        <v>18.28 counts</v>
      </c>
      <c r="E113">
        <f>'Horsefly Swamp'!C39</f>
        <v>0.98702699999999999</v>
      </c>
      <c r="F113">
        <f>'Horsefly Swamp'!D39</f>
        <v>1369</v>
      </c>
      <c r="G113">
        <f>'Horsefly Swamp'!E39</f>
        <v>10949</v>
      </c>
      <c r="H113">
        <f>'Horsefly Swamp'!F39</f>
        <v>346</v>
      </c>
      <c r="I113">
        <f>'Horsefly Swamp'!G39</f>
        <v>4032578</v>
      </c>
      <c r="J113">
        <f>'Horsefly Swamp'!H39</f>
        <v>74.7</v>
      </c>
      <c r="K113">
        <f>'Horsefly Swamp'!I39</f>
        <v>1592</v>
      </c>
      <c r="L113">
        <f>'Horsefly Swamp'!J39</f>
        <v>10545</v>
      </c>
      <c r="M113">
        <f>'Horsefly Swamp'!K39</f>
        <v>100</v>
      </c>
      <c r="N113">
        <f>'Horsefly Swamp'!L39</f>
        <v>1122480</v>
      </c>
      <c r="O113">
        <f>'Horsefly Swamp'!M39</f>
        <v>20.8</v>
      </c>
      <c r="P113">
        <f>'Horsefly Swamp'!N39</f>
        <v>1033</v>
      </c>
      <c r="Q113">
        <f>'Horsefly Swamp'!O39</f>
        <v>549</v>
      </c>
      <c r="R113">
        <f>'Horsefly Swamp'!P39</f>
        <v>77</v>
      </c>
      <c r="S113">
        <f>'Horsefly Swamp'!Q39</f>
        <v>44998</v>
      </c>
      <c r="T113">
        <f>'Horsefly Swamp'!R39</f>
        <v>0.8</v>
      </c>
      <c r="U113">
        <f>'Horsefly Swamp'!S39</f>
        <v>1158</v>
      </c>
      <c r="V113">
        <f>'Horsefly Swamp'!T39</f>
        <v>1</v>
      </c>
      <c r="W113">
        <f>'Horsefly Swamp'!U39</f>
        <v>1</v>
      </c>
      <c r="X113">
        <f>'Horsefly Swamp'!V39</f>
        <v>1</v>
      </c>
      <c r="Y113">
        <f>'Horsefly Swamp'!W39</f>
        <v>0</v>
      </c>
      <c r="Z113">
        <f>'Horsefly Swamp'!X39</f>
        <v>1296</v>
      </c>
      <c r="AA113">
        <f>'Horsefly Swamp'!Y39</f>
        <v>203</v>
      </c>
      <c r="AB113">
        <f>'Horsefly Swamp'!Z39</f>
        <v>1</v>
      </c>
      <c r="AC113">
        <f>'Horsefly Swamp'!AA39</f>
        <v>216</v>
      </c>
      <c r="AD113">
        <f>'Horsefly Swamp'!AB39</f>
        <v>0</v>
      </c>
      <c r="AE113">
        <f>'Horsefly Swamp'!AC39</f>
        <v>1400</v>
      </c>
      <c r="AF113">
        <f>'Horsefly Swamp'!AD39</f>
        <v>1</v>
      </c>
      <c r="AG113">
        <f>'Horsefly Swamp'!AE39</f>
        <v>1</v>
      </c>
      <c r="AH113">
        <f>'Horsefly Swamp'!AF39</f>
        <v>1</v>
      </c>
      <c r="AI113">
        <f>'Horsefly Swamp'!AG39</f>
        <v>0</v>
      </c>
      <c r="AJ113">
        <f>'Horsefly Swamp'!AH39</f>
        <v>1506</v>
      </c>
      <c r="AK113">
        <f>'Horsefly Swamp'!AI39</f>
        <v>191</v>
      </c>
      <c r="AL113">
        <f>'Horsefly Swamp'!AJ39</f>
        <v>5</v>
      </c>
      <c r="AM113">
        <f>'Horsefly Swamp'!AK39</f>
        <v>1017</v>
      </c>
      <c r="AN113">
        <f>'Horsefly Swamp'!AL39</f>
        <v>0</v>
      </c>
      <c r="AO113">
        <f>'Horsefly Swamp'!AM39</f>
        <v>1598</v>
      </c>
      <c r="AP113">
        <f>'Horsefly Swamp'!AN39</f>
        <v>2419</v>
      </c>
      <c r="AQ113">
        <f>'Horsefly Swamp'!AO39</f>
        <v>31</v>
      </c>
      <c r="AR113">
        <f>'Horsefly Swamp'!AP39</f>
        <v>79823</v>
      </c>
      <c r="AS113">
        <f>'Horsefly Swamp'!AQ39</f>
        <v>1.5</v>
      </c>
      <c r="AT113">
        <f>'Horsefly Swamp'!AR39</f>
        <v>1744</v>
      </c>
      <c r="AU113">
        <f>'Horsefly Swamp'!AS39</f>
        <v>725</v>
      </c>
      <c r="AV113">
        <f>'Horsefly Swamp'!AT39</f>
        <v>149</v>
      </c>
      <c r="AW113">
        <f>'Horsefly Swamp'!AU39</f>
        <v>114989</v>
      </c>
      <c r="AX113">
        <f>'Horsefly Swamp'!AV39</f>
        <v>2.1</v>
      </c>
    </row>
    <row r="114" spans="1:50">
      <c r="A114" t="str">
        <f>'Horsefly Swamp'!A40</f>
        <v>/Users/christophermarjo/Documents/Python/Projects/data/bushfire Raman/Horsefly Swamp/HF 4.5 (3)</v>
      </c>
      <c r="B114" t="str">
        <f t="shared" si="0"/>
        <v>Horsefly Swamp</v>
      </c>
      <c r="C114">
        <v>4.5</v>
      </c>
      <c r="D114" t="str">
        <f>'Horsefly Swamp'!B40</f>
        <v>11.72 counts</v>
      </c>
      <c r="E114">
        <f>'Horsefly Swamp'!C40</f>
        <v>0.98907599999999996</v>
      </c>
      <c r="F114">
        <f>'Horsefly Swamp'!D40</f>
        <v>1369</v>
      </c>
      <c r="G114">
        <f>'Horsefly Swamp'!E40</f>
        <v>7667</v>
      </c>
      <c r="H114">
        <f>'Horsefly Swamp'!F40</f>
        <v>318</v>
      </c>
      <c r="I114">
        <f>'Horsefly Swamp'!G40</f>
        <v>2595283</v>
      </c>
      <c r="J114">
        <f>'Horsefly Swamp'!H40</f>
        <v>72.7</v>
      </c>
      <c r="K114">
        <f>'Horsefly Swamp'!I40</f>
        <v>1590</v>
      </c>
      <c r="L114">
        <f>'Horsefly Swamp'!J40</f>
        <v>7975</v>
      </c>
      <c r="M114">
        <f>'Horsefly Swamp'!K40</f>
        <v>100</v>
      </c>
      <c r="N114">
        <f>'Horsefly Swamp'!L40</f>
        <v>848912</v>
      </c>
      <c r="O114">
        <f>'Horsefly Swamp'!M40</f>
        <v>23.8</v>
      </c>
      <c r="P114">
        <f>'Horsefly Swamp'!N40</f>
        <v>1043</v>
      </c>
      <c r="Q114">
        <f>'Horsefly Swamp'!O40</f>
        <v>279</v>
      </c>
      <c r="R114">
        <f>'Horsefly Swamp'!P40</f>
        <v>81</v>
      </c>
      <c r="S114">
        <f>'Horsefly Swamp'!Q40</f>
        <v>24056</v>
      </c>
      <c r="T114">
        <f>'Horsefly Swamp'!R40</f>
        <v>0.7</v>
      </c>
      <c r="U114">
        <f>'Horsefly Swamp'!S40</f>
        <v>1156</v>
      </c>
      <c r="V114">
        <f>'Horsefly Swamp'!T40</f>
        <v>49</v>
      </c>
      <c r="W114">
        <f>'Horsefly Swamp'!U40</f>
        <v>5</v>
      </c>
      <c r="X114">
        <f>'Horsefly Swamp'!V40</f>
        <v>261</v>
      </c>
      <c r="Y114">
        <f>'Horsefly Swamp'!W40</f>
        <v>0</v>
      </c>
      <c r="Z114">
        <f>'Horsefly Swamp'!X40</f>
        <v>1292</v>
      </c>
      <c r="AA114">
        <f>'Horsefly Swamp'!Y40</f>
        <v>27</v>
      </c>
      <c r="AB114">
        <f>'Horsefly Swamp'!Z40</f>
        <v>1</v>
      </c>
      <c r="AC114">
        <f>'Horsefly Swamp'!AA40</f>
        <v>29</v>
      </c>
      <c r="AD114">
        <f>'Horsefly Swamp'!AB40</f>
        <v>0</v>
      </c>
      <c r="AE114">
        <f>'Horsefly Swamp'!AC40</f>
        <v>1400</v>
      </c>
      <c r="AF114">
        <f>'Horsefly Swamp'!AD40</f>
        <v>1</v>
      </c>
      <c r="AG114">
        <f>'Horsefly Swamp'!AE40</f>
        <v>1</v>
      </c>
      <c r="AH114">
        <f>'Horsefly Swamp'!AF40</f>
        <v>1</v>
      </c>
      <c r="AI114">
        <f>'Horsefly Swamp'!AG40</f>
        <v>0</v>
      </c>
      <c r="AJ114">
        <f>'Horsefly Swamp'!AH40</f>
        <v>1500</v>
      </c>
      <c r="AK114">
        <f>'Horsefly Swamp'!AI40</f>
        <v>21</v>
      </c>
      <c r="AL114">
        <f>'Horsefly Swamp'!AJ40</f>
        <v>25</v>
      </c>
      <c r="AM114">
        <f>'Horsefly Swamp'!AK40</f>
        <v>559</v>
      </c>
      <c r="AN114">
        <f>'Horsefly Swamp'!AL40</f>
        <v>0</v>
      </c>
      <c r="AO114">
        <f>'Horsefly Swamp'!AM40</f>
        <v>1598</v>
      </c>
      <c r="AP114">
        <f>'Horsefly Swamp'!AN40</f>
        <v>839</v>
      </c>
      <c r="AQ114">
        <f>'Horsefly Swamp'!AO40</f>
        <v>31</v>
      </c>
      <c r="AR114">
        <f>'Horsefly Swamp'!AP40</f>
        <v>27686</v>
      </c>
      <c r="AS114">
        <f>'Horsefly Swamp'!AQ40</f>
        <v>0.8</v>
      </c>
      <c r="AT114">
        <f>'Horsefly Swamp'!AR40</f>
        <v>1740</v>
      </c>
      <c r="AU114">
        <f>'Horsefly Swamp'!AS40</f>
        <v>453</v>
      </c>
      <c r="AV114">
        <f>'Horsefly Swamp'!AT40</f>
        <v>151</v>
      </c>
      <c r="AW114">
        <f>'Horsefly Swamp'!AU40</f>
        <v>72813</v>
      </c>
      <c r="AX114">
        <f>'Horsefly Swamp'!AV40</f>
        <v>2</v>
      </c>
    </row>
    <row r="115" spans="1:50">
      <c r="A115" t="str">
        <f>'Horsefly Swamp'!A41</f>
        <v>/Users/christophermarjo/Documents/Python/Projects/data/bushfire Raman/Horsefly Swamp/HF 4.5 (4)</v>
      </c>
      <c r="B115" t="str">
        <f t="shared" si="0"/>
        <v>Horsefly Swamp</v>
      </c>
      <c r="C115">
        <v>4.5</v>
      </c>
      <c r="D115" t="str">
        <f>'Horsefly Swamp'!B41</f>
        <v>16.70 counts</v>
      </c>
      <c r="E115">
        <f>'Horsefly Swamp'!C41</f>
        <v>0.98915200000000003</v>
      </c>
      <c r="F115">
        <f>'Horsefly Swamp'!D41</f>
        <v>1369</v>
      </c>
      <c r="G115">
        <f>'Horsefly Swamp'!E41</f>
        <v>11161</v>
      </c>
      <c r="H115">
        <f>'Horsefly Swamp'!F41</f>
        <v>320</v>
      </c>
      <c r="I115">
        <f>'Horsefly Swamp'!G41</f>
        <v>3801765</v>
      </c>
      <c r="J115">
        <f>'Horsefly Swamp'!H41</f>
        <v>73</v>
      </c>
      <c r="K115">
        <f>'Horsefly Swamp'!I41</f>
        <v>1592</v>
      </c>
      <c r="L115">
        <f>'Horsefly Swamp'!J41</f>
        <v>11413</v>
      </c>
      <c r="M115">
        <f>'Horsefly Swamp'!K41</f>
        <v>102</v>
      </c>
      <c r="N115">
        <f>'Horsefly Swamp'!L41</f>
        <v>1239174</v>
      </c>
      <c r="O115">
        <f>'Horsefly Swamp'!M41</f>
        <v>23.8</v>
      </c>
      <c r="P115">
        <f>'Horsefly Swamp'!N41</f>
        <v>1047</v>
      </c>
      <c r="Q115">
        <f>'Horsefly Swamp'!O41</f>
        <v>365</v>
      </c>
      <c r="R115">
        <f>'Horsefly Swamp'!P41</f>
        <v>77</v>
      </c>
      <c r="S115">
        <f>'Horsefly Swamp'!Q41</f>
        <v>29917</v>
      </c>
      <c r="T115">
        <f>'Horsefly Swamp'!R41</f>
        <v>0.6</v>
      </c>
      <c r="U115">
        <f>'Horsefly Swamp'!S41</f>
        <v>1164</v>
      </c>
      <c r="V115">
        <f>'Horsefly Swamp'!T41</f>
        <v>233</v>
      </c>
      <c r="W115">
        <f>'Horsefly Swamp'!U41</f>
        <v>1</v>
      </c>
      <c r="X115">
        <f>'Horsefly Swamp'!V41</f>
        <v>248</v>
      </c>
      <c r="Y115">
        <f>'Horsefly Swamp'!W41</f>
        <v>0</v>
      </c>
      <c r="Z115">
        <f>'Horsefly Swamp'!X41</f>
        <v>1296</v>
      </c>
      <c r="AA115">
        <f>'Horsefly Swamp'!Y41</f>
        <v>13</v>
      </c>
      <c r="AB115">
        <f>'Horsefly Swamp'!Z41</f>
        <v>1</v>
      </c>
      <c r="AC115">
        <f>'Horsefly Swamp'!AA41</f>
        <v>14</v>
      </c>
      <c r="AD115">
        <f>'Horsefly Swamp'!AB41</f>
        <v>0</v>
      </c>
      <c r="AE115">
        <f>'Horsefly Swamp'!AC41</f>
        <v>1400</v>
      </c>
      <c r="AF115">
        <f>'Horsefly Swamp'!AD41</f>
        <v>1</v>
      </c>
      <c r="AG115">
        <f>'Horsefly Swamp'!AE41</f>
        <v>1</v>
      </c>
      <c r="AH115">
        <f>'Horsefly Swamp'!AF41</f>
        <v>1</v>
      </c>
      <c r="AI115">
        <f>'Horsefly Swamp'!AG41</f>
        <v>0</v>
      </c>
      <c r="AJ115">
        <f>'Horsefly Swamp'!AH41</f>
        <v>1528</v>
      </c>
      <c r="AK115">
        <f>'Horsefly Swamp'!AI41</f>
        <v>367</v>
      </c>
      <c r="AL115">
        <f>'Horsefly Swamp'!AJ41</f>
        <v>23</v>
      </c>
      <c r="AM115">
        <f>'Horsefly Swamp'!AK41</f>
        <v>8985</v>
      </c>
      <c r="AN115">
        <f>'Horsefly Swamp'!AL41</f>
        <v>0.2</v>
      </c>
      <c r="AO115">
        <f>'Horsefly Swamp'!AM41</f>
        <v>1598</v>
      </c>
      <c r="AP115">
        <f>'Horsefly Swamp'!AN41</f>
        <v>1317</v>
      </c>
      <c r="AQ115">
        <f>'Horsefly Swamp'!AO41</f>
        <v>25</v>
      </c>
      <c r="AR115">
        <f>'Horsefly Swamp'!AP41</f>
        <v>35048</v>
      </c>
      <c r="AS115">
        <f>'Horsefly Swamp'!AQ41</f>
        <v>0.7</v>
      </c>
      <c r="AT115">
        <f>'Horsefly Swamp'!AR41</f>
        <v>1730</v>
      </c>
      <c r="AU115">
        <f>'Horsefly Swamp'!AS41</f>
        <v>841</v>
      </c>
      <c r="AV115">
        <f>'Horsefly Swamp'!AT41</f>
        <v>105</v>
      </c>
      <c r="AW115">
        <f>'Horsefly Swamp'!AU41</f>
        <v>93998</v>
      </c>
      <c r="AX115">
        <f>'Horsefly Swamp'!AV41</f>
        <v>1.8</v>
      </c>
    </row>
    <row r="116" spans="1:50">
      <c r="A116" t="str">
        <f>'Horsefly Swamp'!A42</f>
        <v>/Users/christophermarjo/Documents/Python/Projects/data/bushfire Raman/Horsefly Swamp/HF 5 (1)</v>
      </c>
      <c r="B116" t="str">
        <f t="shared" si="0"/>
        <v>Horsefly Swamp</v>
      </c>
      <c r="C116">
        <v>5</v>
      </c>
      <c r="D116" t="str">
        <f>'Horsefly Swamp'!B42</f>
        <v>12.81 counts</v>
      </c>
      <c r="E116">
        <f>'Horsefly Swamp'!C42</f>
        <v>0.99077000000000004</v>
      </c>
      <c r="F116">
        <f>'Horsefly Swamp'!D42</f>
        <v>1369</v>
      </c>
      <c r="G116">
        <f>'Horsefly Swamp'!E42</f>
        <v>9113</v>
      </c>
      <c r="H116">
        <f>'Horsefly Swamp'!F42</f>
        <v>334</v>
      </c>
      <c r="I116">
        <f>'Horsefly Swamp'!G42</f>
        <v>3239963</v>
      </c>
      <c r="J116">
        <f>'Horsefly Swamp'!H42</f>
        <v>71.3</v>
      </c>
      <c r="K116">
        <f>'Horsefly Swamp'!I42</f>
        <v>1592</v>
      </c>
      <c r="L116">
        <f>'Horsefly Swamp'!J42</f>
        <v>9765</v>
      </c>
      <c r="M116">
        <f>'Horsefly Swamp'!K42</f>
        <v>100</v>
      </c>
      <c r="N116">
        <f>'Horsefly Swamp'!L42</f>
        <v>1039452</v>
      </c>
      <c r="O116">
        <f>'Horsefly Swamp'!M42</f>
        <v>22.9</v>
      </c>
      <c r="P116">
        <f>'Horsefly Swamp'!N42</f>
        <v>1041</v>
      </c>
      <c r="Q116">
        <f>'Horsefly Swamp'!O42</f>
        <v>369</v>
      </c>
      <c r="R116">
        <f>'Horsefly Swamp'!P42</f>
        <v>81</v>
      </c>
      <c r="S116">
        <f>'Horsefly Swamp'!Q42</f>
        <v>31816</v>
      </c>
      <c r="T116">
        <f>'Horsefly Swamp'!R42</f>
        <v>0.7</v>
      </c>
      <c r="U116">
        <f>'Horsefly Swamp'!S42</f>
        <v>1158</v>
      </c>
      <c r="V116">
        <f>'Horsefly Swamp'!T42</f>
        <v>1</v>
      </c>
      <c r="W116">
        <f>'Horsefly Swamp'!U42</f>
        <v>1</v>
      </c>
      <c r="X116">
        <f>'Horsefly Swamp'!V42</f>
        <v>1</v>
      </c>
      <c r="Y116">
        <f>'Horsefly Swamp'!W42</f>
        <v>0</v>
      </c>
      <c r="Z116">
        <f>'Horsefly Swamp'!X42</f>
        <v>1260</v>
      </c>
      <c r="AA116">
        <f>'Horsefly Swamp'!Y42</f>
        <v>1</v>
      </c>
      <c r="AB116">
        <f>'Horsefly Swamp'!Z42</f>
        <v>1</v>
      </c>
      <c r="AC116">
        <f>'Horsefly Swamp'!AA42</f>
        <v>1</v>
      </c>
      <c r="AD116">
        <f>'Horsefly Swamp'!AB42</f>
        <v>0</v>
      </c>
      <c r="AE116">
        <f>'Horsefly Swamp'!AC42</f>
        <v>1408</v>
      </c>
      <c r="AF116">
        <f>'Horsefly Swamp'!AD42</f>
        <v>133</v>
      </c>
      <c r="AG116">
        <f>'Horsefly Swamp'!AE42</f>
        <v>111</v>
      </c>
      <c r="AH116">
        <f>'Horsefly Swamp'!AF42</f>
        <v>15715</v>
      </c>
      <c r="AI116">
        <f>'Horsefly Swamp'!AG42</f>
        <v>0.3</v>
      </c>
      <c r="AJ116">
        <f>'Horsefly Swamp'!AH42</f>
        <v>1494</v>
      </c>
      <c r="AK116">
        <f>'Horsefly Swamp'!AI42</f>
        <v>43</v>
      </c>
      <c r="AL116">
        <f>'Horsefly Swamp'!AJ42</f>
        <v>23</v>
      </c>
      <c r="AM116">
        <f>'Horsefly Swamp'!AK42</f>
        <v>1053</v>
      </c>
      <c r="AN116">
        <f>'Horsefly Swamp'!AL42</f>
        <v>0</v>
      </c>
      <c r="AO116">
        <f>'Horsefly Swamp'!AM42</f>
        <v>1598</v>
      </c>
      <c r="AP116">
        <f>'Horsefly Swamp'!AN42</f>
        <v>759</v>
      </c>
      <c r="AQ116">
        <f>'Horsefly Swamp'!AO42</f>
        <v>29</v>
      </c>
      <c r="AR116">
        <f>'Horsefly Swamp'!AP42</f>
        <v>23430</v>
      </c>
      <c r="AS116">
        <f>'Horsefly Swamp'!AQ42</f>
        <v>0.5</v>
      </c>
      <c r="AT116">
        <f>'Horsefly Swamp'!AR42</f>
        <v>1740</v>
      </c>
      <c r="AU116">
        <f>'Horsefly Swamp'!AS42</f>
        <v>973</v>
      </c>
      <c r="AV116">
        <f>'Horsefly Swamp'!AT42</f>
        <v>187</v>
      </c>
      <c r="AW116">
        <f>'Horsefly Swamp'!AU42</f>
        <v>193681</v>
      </c>
      <c r="AX116">
        <f>'Horsefly Swamp'!AV42</f>
        <v>4.3</v>
      </c>
    </row>
    <row r="117" spans="1:50">
      <c r="A117" t="str">
        <f>'Horsefly Swamp'!A43</f>
        <v>/Users/christophermarjo/Documents/Python/Projects/data/bushfire Raman/Horsefly Swamp/HF 5 (2)</v>
      </c>
      <c r="B117" t="str">
        <f t="shared" si="0"/>
        <v>Horsefly Swamp</v>
      </c>
      <c r="C117">
        <v>5</v>
      </c>
      <c r="D117" t="str">
        <f>'Horsefly Swamp'!B43</f>
        <v>10.02 counts</v>
      </c>
      <c r="E117">
        <f>'Horsefly Swamp'!C43</f>
        <v>0.99119699999999999</v>
      </c>
      <c r="F117">
        <f>'Horsefly Swamp'!D43</f>
        <v>1369</v>
      </c>
      <c r="G117">
        <f>'Horsefly Swamp'!E43</f>
        <v>7275</v>
      </c>
      <c r="H117">
        <f>'Horsefly Swamp'!F43</f>
        <v>336</v>
      </c>
      <c r="I117">
        <f>'Horsefly Swamp'!G43</f>
        <v>2601983</v>
      </c>
      <c r="J117">
        <f>'Horsefly Swamp'!H43</f>
        <v>72.2</v>
      </c>
      <c r="K117">
        <f>'Horsefly Swamp'!I43</f>
        <v>1592</v>
      </c>
      <c r="L117">
        <f>'Horsefly Swamp'!J43</f>
        <v>7751</v>
      </c>
      <c r="M117">
        <f>'Horsefly Swamp'!K43</f>
        <v>100</v>
      </c>
      <c r="N117">
        <f>'Horsefly Swamp'!L43</f>
        <v>825068</v>
      </c>
      <c r="O117">
        <f>'Horsefly Swamp'!M43</f>
        <v>22.9</v>
      </c>
      <c r="P117">
        <f>'Horsefly Swamp'!N43</f>
        <v>1025</v>
      </c>
      <c r="Q117">
        <f>'Horsefly Swamp'!O43</f>
        <v>263</v>
      </c>
      <c r="R117">
        <f>'Horsefly Swamp'!P43</f>
        <v>69</v>
      </c>
      <c r="S117">
        <f>'Horsefly Swamp'!Q43</f>
        <v>19317</v>
      </c>
      <c r="T117">
        <f>'Horsefly Swamp'!R43</f>
        <v>0.5</v>
      </c>
      <c r="U117">
        <f>'Horsefly Swamp'!S43</f>
        <v>1158</v>
      </c>
      <c r="V117">
        <f>'Horsefly Swamp'!T43</f>
        <v>1</v>
      </c>
      <c r="W117">
        <f>'Horsefly Swamp'!U43</f>
        <v>1</v>
      </c>
      <c r="X117">
        <f>'Horsefly Swamp'!V43</f>
        <v>1</v>
      </c>
      <c r="Y117">
        <f>'Horsefly Swamp'!W43</f>
        <v>0</v>
      </c>
      <c r="Z117">
        <f>'Horsefly Swamp'!X43</f>
        <v>1260</v>
      </c>
      <c r="AA117">
        <f>'Horsefly Swamp'!Y43</f>
        <v>1</v>
      </c>
      <c r="AB117">
        <f>'Horsefly Swamp'!Z43</f>
        <v>1</v>
      </c>
      <c r="AC117">
        <f>'Horsefly Swamp'!AA43</f>
        <v>1</v>
      </c>
      <c r="AD117">
        <f>'Horsefly Swamp'!AB43</f>
        <v>0</v>
      </c>
      <c r="AE117">
        <f>'Horsefly Swamp'!AC43</f>
        <v>1402</v>
      </c>
      <c r="AF117">
        <f>'Horsefly Swamp'!AD43</f>
        <v>347</v>
      </c>
      <c r="AG117">
        <f>'Horsefly Swamp'!AE43</f>
        <v>1</v>
      </c>
      <c r="AH117">
        <f>'Horsefly Swamp'!AF43</f>
        <v>369</v>
      </c>
      <c r="AI117">
        <f>'Horsefly Swamp'!AG43</f>
        <v>0</v>
      </c>
      <c r="AJ117">
        <f>'Horsefly Swamp'!AH43</f>
        <v>1494</v>
      </c>
      <c r="AK117">
        <f>'Horsefly Swamp'!AI43</f>
        <v>223</v>
      </c>
      <c r="AL117">
        <f>'Horsefly Swamp'!AJ43</f>
        <v>27</v>
      </c>
      <c r="AM117">
        <f>'Horsefly Swamp'!AK43</f>
        <v>6409</v>
      </c>
      <c r="AN117">
        <f>'Horsefly Swamp'!AL43</f>
        <v>0.2</v>
      </c>
      <c r="AO117">
        <f>'Horsefly Swamp'!AM43</f>
        <v>1598</v>
      </c>
      <c r="AP117">
        <f>'Horsefly Swamp'!AN43</f>
        <v>931</v>
      </c>
      <c r="AQ117">
        <f>'Horsefly Swamp'!AO43</f>
        <v>27</v>
      </c>
      <c r="AR117">
        <f>'Horsefly Swamp'!AP43</f>
        <v>26758</v>
      </c>
      <c r="AS117">
        <f>'Horsefly Swamp'!AQ43</f>
        <v>0.7</v>
      </c>
      <c r="AT117">
        <f>'Horsefly Swamp'!AR43</f>
        <v>1730</v>
      </c>
      <c r="AU117">
        <f>'Horsefly Swamp'!AS43</f>
        <v>801</v>
      </c>
      <c r="AV117">
        <f>'Horsefly Swamp'!AT43</f>
        <v>145</v>
      </c>
      <c r="AW117">
        <f>'Horsefly Swamp'!AU43</f>
        <v>123633</v>
      </c>
      <c r="AX117">
        <f>'Horsefly Swamp'!AV43</f>
        <v>3.4</v>
      </c>
    </row>
    <row r="118" spans="1:50">
      <c r="A118" t="str">
        <f>'Horsefly Swamp'!A44</f>
        <v>/Users/christophermarjo/Documents/Python/Projects/data/bushfire Raman/Horsefly Swamp/HF 5 (3)</v>
      </c>
      <c r="B118" t="str">
        <f t="shared" si="0"/>
        <v>Horsefly Swamp</v>
      </c>
      <c r="C118">
        <v>5</v>
      </c>
      <c r="D118" t="str">
        <f>'Horsefly Swamp'!B44</f>
        <v>14.45 counts</v>
      </c>
      <c r="E118">
        <f>'Horsefly Swamp'!C44</f>
        <v>0.98844100000000001</v>
      </c>
      <c r="F118">
        <f>'Horsefly Swamp'!D44</f>
        <v>1369</v>
      </c>
      <c r="G118">
        <f>'Horsefly Swamp'!E44</f>
        <v>9005</v>
      </c>
      <c r="H118">
        <f>'Horsefly Swamp'!F44</f>
        <v>316</v>
      </c>
      <c r="I118">
        <f>'Horsefly Swamp'!G44</f>
        <v>3029026</v>
      </c>
      <c r="J118">
        <f>'Horsefly Swamp'!H44</f>
        <v>69.8</v>
      </c>
      <c r="K118">
        <f>'Horsefly Swamp'!I44</f>
        <v>1594</v>
      </c>
      <c r="L118">
        <f>'Horsefly Swamp'!J44</f>
        <v>10507</v>
      </c>
      <c r="M118">
        <f>'Horsefly Swamp'!K44</f>
        <v>100</v>
      </c>
      <c r="N118">
        <f>'Horsefly Swamp'!L44</f>
        <v>1118436</v>
      </c>
      <c r="O118">
        <f>'Horsefly Swamp'!M44</f>
        <v>25.8</v>
      </c>
      <c r="P118">
        <f>'Horsefly Swamp'!N44</f>
        <v>1049</v>
      </c>
      <c r="Q118">
        <f>'Horsefly Swamp'!O44</f>
        <v>513</v>
      </c>
      <c r="R118">
        <f>'Horsefly Swamp'!P44</f>
        <v>77</v>
      </c>
      <c r="S118">
        <f>'Horsefly Swamp'!Q44</f>
        <v>42048</v>
      </c>
      <c r="T118">
        <f>'Horsefly Swamp'!R44</f>
        <v>1</v>
      </c>
      <c r="U118">
        <f>'Horsefly Swamp'!S44</f>
        <v>1160</v>
      </c>
      <c r="V118">
        <f>'Horsefly Swamp'!T44</f>
        <v>13</v>
      </c>
      <c r="W118">
        <f>'Horsefly Swamp'!U44</f>
        <v>1</v>
      </c>
      <c r="X118">
        <f>'Horsefly Swamp'!V44</f>
        <v>14</v>
      </c>
      <c r="Y118">
        <f>'Horsefly Swamp'!W44</f>
        <v>0</v>
      </c>
      <c r="Z118">
        <f>'Horsefly Swamp'!X44</f>
        <v>1260</v>
      </c>
      <c r="AA118">
        <f>'Horsefly Swamp'!Y44</f>
        <v>1</v>
      </c>
      <c r="AB118">
        <f>'Horsefly Swamp'!Z44</f>
        <v>1</v>
      </c>
      <c r="AC118">
        <f>'Horsefly Swamp'!AA44</f>
        <v>1</v>
      </c>
      <c r="AD118">
        <f>'Horsefly Swamp'!AB44</f>
        <v>0</v>
      </c>
      <c r="AE118">
        <f>'Horsefly Swamp'!AC44</f>
        <v>1402</v>
      </c>
      <c r="AF118">
        <f>'Horsefly Swamp'!AD44</f>
        <v>563</v>
      </c>
      <c r="AG118">
        <f>'Horsefly Swamp'!AE44</f>
        <v>3</v>
      </c>
      <c r="AH118">
        <f>'Horsefly Swamp'!AF44</f>
        <v>1798</v>
      </c>
      <c r="AI118">
        <f>'Horsefly Swamp'!AG44</f>
        <v>0</v>
      </c>
      <c r="AJ118">
        <f>'Horsefly Swamp'!AH44</f>
        <v>1506</v>
      </c>
      <c r="AK118">
        <f>'Horsefly Swamp'!AI44</f>
        <v>135</v>
      </c>
      <c r="AL118">
        <f>'Horsefly Swamp'!AJ44</f>
        <v>9</v>
      </c>
      <c r="AM118">
        <f>'Horsefly Swamp'!AK44</f>
        <v>1293</v>
      </c>
      <c r="AN118">
        <f>'Horsefly Swamp'!AL44</f>
        <v>0</v>
      </c>
      <c r="AO118">
        <f>'Horsefly Swamp'!AM44</f>
        <v>1584</v>
      </c>
      <c r="AP118">
        <f>'Horsefly Swamp'!AN44</f>
        <v>1171</v>
      </c>
      <c r="AQ118">
        <f>'Horsefly Swamp'!AO44</f>
        <v>1</v>
      </c>
      <c r="AR118">
        <f>'Horsefly Swamp'!AP44</f>
        <v>1246</v>
      </c>
      <c r="AS118">
        <f>'Horsefly Swamp'!AQ44</f>
        <v>0</v>
      </c>
      <c r="AT118">
        <f>'Horsefly Swamp'!AR44</f>
        <v>1726</v>
      </c>
      <c r="AU118">
        <f>'Horsefly Swamp'!AS44</f>
        <v>1131</v>
      </c>
      <c r="AV118">
        <f>'Horsefly Swamp'!AT44</f>
        <v>121</v>
      </c>
      <c r="AW118">
        <f>'Horsefly Swamp'!AU44</f>
        <v>145673</v>
      </c>
      <c r="AX118">
        <f>'Horsefly Swamp'!AV44</f>
        <v>3.4</v>
      </c>
    </row>
    <row r="119" spans="1:50">
      <c r="A119" t="str">
        <f>'Horsefly Swamp'!A45</f>
        <v>/Users/christophermarjo/Documents/Python/Projects/data/bushfire Raman/Horsefly Swamp/HF 6 (1)</v>
      </c>
      <c r="B119" t="str">
        <f t="shared" si="0"/>
        <v>Horsefly Swamp</v>
      </c>
      <c r="C119">
        <v>5</v>
      </c>
      <c r="D119" t="str">
        <f>'Horsefly Swamp'!B45</f>
        <v>16.75 counts</v>
      </c>
      <c r="E119">
        <f>'Horsefly Swamp'!C45</f>
        <v>0.99261600000000005</v>
      </c>
      <c r="F119">
        <f>'Horsefly Swamp'!D45</f>
        <v>1369</v>
      </c>
      <c r="G119">
        <f>'Horsefly Swamp'!E45</f>
        <v>12713</v>
      </c>
      <c r="H119">
        <f>'Horsefly Swamp'!F45</f>
        <v>334</v>
      </c>
      <c r="I119">
        <f>'Horsefly Swamp'!G45</f>
        <v>4519878</v>
      </c>
      <c r="J119">
        <f>'Horsefly Swamp'!H45</f>
        <v>71.099999999999994</v>
      </c>
      <c r="K119">
        <f>'Horsefly Swamp'!I45</f>
        <v>1594</v>
      </c>
      <c r="L119">
        <f>'Horsefly Swamp'!J45</f>
        <v>14859</v>
      </c>
      <c r="M119">
        <f>'Horsefly Swamp'!K45</f>
        <v>100</v>
      </c>
      <c r="N119">
        <f>'Horsefly Swamp'!L45</f>
        <v>1581692</v>
      </c>
      <c r="O119">
        <f>'Horsefly Swamp'!M45</f>
        <v>24.9</v>
      </c>
      <c r="P119">
        <f>'Horsefly Swamp'!N45</f>
        <v>1071</v>
      </c>
      <c r="Q119">
        <f>'Horsefly Swamp'!O45</f>
        <v>543</v>
      </c>
      <c r="R119">
        <f>'Horsefly Swamp'!P45</f>
        <v>65</v>
      </c>
      <c r="S119">
        <f>'Horsefly Swamp'!Q45</f>
        <v>37570</v>
      </c>
      <c r="T119">
        <f>'Horsefly Swamp'!R45</f>
        <v>0.6</v>
      </c>
      <c r="U119">
        <f>'Horsefly Swamp'!S45</f>
        <v>1150</v>
      </c>
      <c r="V119">
        <f>'Horsefly Swamp'!T45</f>
        <v>63</v>
      </c>
      <c r="W119">
        <f>'Horsefly Swamp'!U45</f>
        <v>1</v>
      </c>
      <c r="X119">
        <f>'Horsefly Swamp'!V45</f>
        <v>67</v>
      </c>
      <c r="Y119">
        <f>'Horsefly Swamp'!W45</f>
        <v>0</v>
      </c>
      <c r="Z119">
        <f>'Horsefly Swamp'!X45</f>
        <v>1260</v>
      </c>
      <c r="AA119">
        <f>'Horsefly Swamp'!Y45</f>
        <v>1</v>
      </c>
      <c r="AB119">
        <f>'Horsefly Swamp'!Z45</f>
        <v>1</v>
      </c>
      <c r="AC119">
        <f>'Horsefly Swamp'!AA45</f>
        <v>1</v>
      </c>
      <c r="AD119">
        <f>'Horsefly Swamp'!AB45</f>
        <v>0</v>
      </c>
      <c r="AE119">
        <f>'Horsefly Swamp'!AC45</f>
        <v>1402</v>
      </c>
      <c r="AF119">
        <f>'Horsefly Swamp'!AD45</f>
        <v>113</v>
      </c>
      <c r="AG119">
        <f>'Horsefly Swamp'!AE45</f>
        <v>97</v>
      </c>
      <c r="AH119">
        <f>'Horsefly Swamp'!AF45</f>
        <v>11668</v>
      </c>
      <c r="AI119">
        <f>'Horsefly Swamp'!AG45</f>
        <v>0.2</v>
      </c>
      <c r="AJ119">
        <f>'Horsefly Swamp'!AH45</f>
        <v>1488</v>
      </c>
      <c r="AK119">
        <f>'Horsefly Swamp'!AI45</f>
        <v>235</v>
      </c>
      <c r="AL119">
        <f>'Horsefly Swamp'!AJ45</f>
        <v>5</v>
      </c>
      <c r="AM119">
        <f>'Horsefly Swamp'!AK45</f>
        <v>1251</v>
      </c>
      <c r="AN119">
        <f>'Horsefly Swamp'!AL45</f>
        <v>0</v>
      </c>
      <c r="AO119">
        <f>'Horsefly Swamp'!AM45</f>
        <v>1598</v>
      </c>
      <c r="AP119">
        <f>'Horsefly Swamp'!AN45</f>
        <v>2177</v>
      </c>
      <c r="AQ119">
        <f>'Horsefly Swamp'!AO45</f>
        <v>27</v>
      </c>
      <c r="AR119">
        <f>'Horsefly Swamp'!AP45</f>
        <v>62568</v>
      </c>
      <c r="AS119">
        <f>'Horsefly Swamp'!AQ45</f>
        <v>1</v>
      </c>
      <c r="AT119">
        <f>'Horsefly Swamp'!AR45</f>
        <v>1738</v>
      </c>
      <c r="AU119">
        <f>'Horsefly Swamp'!AS45</f>
        <v>1047</v>
      </c>
      <c r="AV119">
        <f>'Horsefly Swamp'!AT45</f>
        <v>127</v>
      </c>
      <c r="AW119">
        <f>'Horsefly Swamp'!AU45</f>
        <v>141541</v>
      </c>
      <c r="AX119">
        <f>'Horsefly Swamp'!AV45</f>
        <v>2.2000000000000002</v>
      </c>
    </row>
    <row r="120" spans="1:50">
      <c r="A120" t="str">
        <f>'Horsefly Swamp'!A46</f>
        <v>/Users/christophermarjo/Documents/Python/Projects/data/bushfire Raman/Horsefly Swamp/HF 6 (2)</v>
      </c>
      <c r="B120" t="str">
        <f t="shared" si="0"/>
        <v>Horsefly Swamp</v>
      </c>
      <c r="C120">
        <v>5</v>
      </c>
      <c r="D120" t="str">
        <f>'Horsefly Swamp'!B46</f>
        <v>17.94 counts</v>
      </c>
      <c r="E120">
        <f>'Horsefly Swamp'!C46</f>
        <v>0.99353199999999997</v>
      </c>
      <c r="F120">
        <f>'Horsefly Swamp'!D46</f>
        <v>1369</v>
      </c>
      <c r="G120">
        <f>'Horsefly Swamp'!E46</f>
        <v>14543</v>
      </c>
      <c r="H120">
        <f>'Horsefly Swamp'!F46</f>
        <v>322</v>
      </c>
      <c r="I120">
        <f>'Horsefly Swamp'!G46</f>
        <v>4984735</v>
      </c>
      <c r="J120">
        <f>'Horsefly Swamp'!H46</f>
        <v>70.2</v>
      </c>
      <c r="K120">
        <f>'Horsefly Swamp'!I46</f>
        <v>1594</v>
      </c>
      <c r="L120">
        <f>'Horsefly Swamp'!J46</f>
        <v>17307</v>
      </c>
      <c r="M120">
        <f>'Horsefly Swamp'!K46</f>
        <v>100</v>
      </c>
      <c r="N120">
        <f>'Horsefly Swamp'!L46</f>
        <v>1842273</v>
      </c>
      <c r="O120">
        <f>'Horsefly Swamp'!M46</f>
        <v>26</v>
      </c>
      <c r="P120">
        <f>'Horsefly Swamp'!N46</f>
        <v>1053</v>
      </c>
      <c r="Q120">
        <f>'Horsefly Swamp'!O46</f>
        <v>613</v>
      </c>
      <c r="R120">
        <f>'Horsefly Swamp'!P46</f>
        <v>89</v>
      </c>
      <c r="S120">
        <f>'Horsefly Swamp'!Q46</f>
        <v>58074</v>
      </c>
      <c r="T120">
        <f>'Horsefly Swamp'!R46</f>
        <v>0.8</v>
      </c>
      <c r="U120">
        <f>'Horsefly Swamp'!S46</f>
        <v>1156</v>
      </c>
      <c r="V120">
        <f>'Horsefly Swamp'!T46</f>
        <v>105</v>
      </c>
      <c r="W120">
        <f>'Horsefly Swamp'!U46</f>
        <v>25</v>
      </c>
      <c r="X120">
        <f>'Horsefly Swamp'!V46</f>
        <v>2794</v>
      </c>
      <c r="Y120">
        <f>'Horsefly Swamp'!W46</f>
        <v>0</v>
      </c>
      <c r="Z120">
        <f>'Horsefly Swamp'!X46</f>
        <v>1260</v>
      </c>
      <c r="AA120">
        <f>'Horsefly Swamp'!Y46</f>
        <v>1</v>
      </c>
      <c r="AB120">
        <f>'Horsefly Swamp'!Z46</f>
        <v>1</v>
      </c>
      <c r="AC120">
        <f>'Horsefly Swamp'!AA46</f>
        <v>1</v>
      </c>
      <c r="AD120">
        <f>'Horsefly Swamp'!AB46</f>
        <v>0</v>
      </c>
      <c r="AE120">
        <f>'Horsefly Swamp'!AC46</f>
        <v>1402</v>
      </c>
      <c r="AF120">
        <f>'Horsefly Swamp'!AD46</f>
        <v>73</v>
      </c>
      <c r="AG120">
        <f>'Horsefly Swamp'!AE46</f>
        <v>1</v>
      </c>
      <c r="AH120">
        <f>'Horsefly Swamp'!AF46</f>
        <v>78</v>
      </c>
      <c r="AI120">
        <f>'Horsefly Swamp'!AG46</f>
        <v>0</v>
      </c>
      <c r="AJ120">
        <f>'Horsefly Swamp'!AH46</f>
        <v>1494</v>
      </c>
      <c r="AK120">
        <f>'Horsefly Swamp'!AI46</f>
        <v>159</v>
      </c>
      <c r="AL120">
        <f>'Horsefly Swamp'!AJ46</f>
        <v>21</v>
      </c>
      <c r="AM120">
        <f>'Horsefly Swamp'!AK46</f>
        <v>3554</v>
      </c>
      <c r="AN120">
        <f>'Horsefly Swamp'!AL46</f>
        <v>0.1</v>
      </c>
      <c r="AO120">
        <f>'Horsefly Swamp'!AM46</f>
        <v>1590</v>
      </c>
      <c r="AP120">
        <f>'Horsefly Swamp'!AN46</f>
        <v>2221</v>
      </c>
      <c r="AQ120">
        <f>'Horsefly Swamp'!AO46</f>
        <v>31</v>
      </c>
      <c r="AR120">
        <f>'Horsefly Swamp'!AP46</f>
        <v>73290</v>
      </c>
      <c r="AS120">
        <f>'Horsefly Swamp'!AQ46</f>
        <v>1</v>
      </c>
      <c r="AT120">
        <f>'Horsefly Swamp'!AR46</f>
        <v>1728</v>
      </c>
      <c r="AU120">
        <f>'Horsefly Swamp'!AS46</f>
        <v>1195</v>
      </c>
      <c r="AV120">
        <f>'Horsefly Swamp'!AT46</f>
        <v>105</v>
      </c>
      <c r="AW120">
        <f>'Horsefly Swamp'!AU46</f>
        <v>133564</v>
      </c>
      <c r="AX120">
        <f>'Horsefly Swamp'!AV46</f>
        <v>1.9</v>
      </c>
    </row>
    <row r="121" spans="1:50">
      <c r="A121" t="str">
        <f>'Horsefly Swamp'!A47</f>
        <v>/Users/christophermarjo/Documents/Python/Projects/data/bushfire Raman/Horsefly Swamp/HF 6 (3)</v>
      </c>
      <c r="B121" t="str">
        <f t="shared" si="0"/>
        <v>Horsefly Swamp</v>
      </c>
      <c r="C121">
        <v>5</v>
      </c>
      <c r="D121" t="str">
        <f>'Horsefly Swamp'!B47</f>
        <v>17.44 counts</v>
      </c>
      <c r="E121">
        <f>'Horsefly Swamp'!C47</f>
        <v>0.99266399999999999</v>
      </c>
      <c r="F121">
        <f>'Horsefly Swamp'!D47</f>
        <v>1369</v>
      </c>
      <c r="G121">
        <f>'Horsefly Swamp'!E47</f>
        <v>13187</v>
      </c>
      <c r="H121">
        <f>'Horsefly Swamp'!F47</f>
        <v>334</v>
      </c>
      <c r="I121">
        <f>'Horsefly Swamp'!G47</f>
        <v>4688400</v>
      </c>
      <c r="J121">
        <f>'Horsefly Swamp'!H47</f>
        <v>70.5</v>
      </c>
      <c r="K121">
        <f>'Horsefly Swamp'!I47</f>
        <v>1594</v>
      </c>
      <c r="L121">
        <f>'Horsefly Swamp'!J47</f>
        <v>15785</v>
      </c>
      <c r="M121">
        <f>'Horsefly Swamp'!K47</f>
        <v>100</v>
      </c>
      <c r="N121">
        <f>'Horsefly Swamp'!L47</f>
        <v>1680261</v>
      </c>
      <c r="O121">
        <f>'Horsefly Swamp'!M47</f>
        <v>25.2</v>
      </c>
      <c r="P121">
        <f>'Horsefly Swamp'!N47</f>
        <v>1055</v>
      </c>
      <c r="Q121">
        <f>'Horsefly Swamp'!O47</f>
        <v>705</v>
      </c>
      <c r="R121">
        <f>'Horsefly Swamp'!P47</f>
        <v>85</v>
      </c>
      <c r="S121">
        <f>'Horsefly Swamp'!Q47</f>
        <v>63788</v>
      </c>
      <c r="T121">
        <f>'Horsefly Swamp'!R47</f>
        <v>1</v>
      </c>
      <c r="U121">
        <f>'Horsefly Swamp'!S47</f>
        <v>1170</v>
      </c>
      <c r="V121">
        <f>'Horsefly Swamp'!T47</f>
        <v>35</v>
      </c>
      <c r="W121">
        <f>'Horsefly Swamp'!U47</f>
        <v>1</v>
      </c>
      <c r="X121">
        <f>'Horsefly Swamp'!V47</f>
        <v>37</v>
      </c>
      <c r="Y121">
        <f>'Horsefly Swamp'!W47</f>
        <v>0</v>
      </c>
      <c r="Z121">
        <f>'Horsefly Swamp'!X47</f>
        <v>1260</v>
      </c>
      <c r="AA121">
        <f>'Horsefly Swamp'!Y47</f>
        <v>1</v>
      </c>
      <c r="AB121">
        <f>'Horsefly Swamp'!Z47</f>
        <v>1</v>
      </c>
      <c r="AC121">
        <f>'Horsefly Swamp'!AA47</f>
        <v>1</v>
      </c>
      <c r="AD121">
        <f>'Horsefly Swamp'!AB47</f>
        <v>0</v>
      </c>
      <c r="AE121">
        <f>'Horsefly Swamp'!AC47</f>
        <v>1402</v>
      </c>
      <c r="AF121">
        <f>'Horsefly Swamp'!AD47</f>
        <v>251</v>
      </c>
      <c r="AG121">
        <f>'Horsefly Swamp'!AE47</f>
        <v>3</v>
      </c>
      <c r="AH121">
        <f>'Horsefly Swamp'!AF47</f>
        <v>802</v>
      </c>
      <c r="AI121">
        <f>'Horsefly Swamp'!AG47</f>
        <v>0</v>
      </c>
      <c r="AJ121">
        <f>'Horsefly Swamp'!AH47</f>
        <v>1494</v>
      </c>
      <c r="AK121">
        <f>'Horsefly Swamp'!AI47</f>
        <v>133</v>
      </c>
      <c r="AL121">
        <f>'Horsefly Swamp'!AJ47</f>
        <v>29</v>
      </c>
      <c r="AM121">
        <f>'Horsefly Swamp'!AK47</f>
        <v>4106</v>
      </c>
      <c r="AN121">
        <f>'Horsefly Swamp'!AL47</f>
        <v>0.1</v>
      </c>
      <c r="AO121">
        <f>'Horsefly Swamp'!AM47</f>
        <v>1598</v>
      </c>
      <c r="AP121">
        <f>'Horsefly Swamp'!AN47</f>
        <v>2141</v>
      </c>
      <c r="AQ121">
        <f>'Horsefly Swamp'!AO47</f>
        <v>29</v>
      </c>
      <c r="AR121">
        <f>'Horsefly Swamp'!AP47</f>
        <v>66092</v>
      </c>
      <c r="AS121">
        <f>'Horsefly Swamp'!AQ47</f>
        <v>1</v>
      </c>
      <c r="AT121">
        <f>'Horsefly Swamp'!AR47</f>
        <v>1734</v>
      </c>
      <c r="AU121">
        <f>'Horsefly Swamp'!AS47</f>
        <v>1215</v>
      </c>
      <c r="AV121">
        <f>'Horsefly Swamp'!AT47</f>
        <v>117</v>
      </c>
      <c r="AW121">
        <f>'Horsefly Swamp'!AU47</f>
        <v>151319</v>
      </c>
      <c r="AX121">
        <f>'Horsefly Swamp'!AV47</f>
        <v>2.2999999999999998</v>
      </c>
    </row>
    <row r="122" spans="1:50">
      <c r="A122" t="str">
        <f>'Horsefly Swamp'!A48</f>
        <v>/Users/christophermarjo/Documents/Python/Projects/data/bushfire Raman/Horsefly Swamp/HF 6.5 (1)</v>
      </c>
      <c r="B122" t="str">
        <f t="shared" si="0"/>
        <v>Horsefly Swamp</v>
      </c>
      <c r="C122">
        <v>6.5</v>
      </c>
      <c r="D122" t="str">
        <f>'Horsefly Swamp'!B48</f>
        <v>27.35 counts</v>
      </c>
      <c r="E122">
        <f>'Horsefly Swamp'!C48</f>
        <v>0.96382800000000002</v>
      </c>
      <c r="F122">
        <f>'Horsefly Swamp'!D48</f>
        <v>1369</v>
      </c>
      <c r="G122">
        <f>'Horsefly Swamp'!E48</f>
        <v>10099</v>
      </c>
      <c r="H122">
        <f>'Horsefly Swamp'!F48</f>
        <v>346</v>
      </c>
      <c r="I122">
        <f>'Horsefly Swamp'!G48</f>
        <v>3719518</v>
      </c>
      <c r="J122">
        <f>'Horsefly Swamp'!H48</f>
        <v>75.2</v>
      </c>
      <c r="K122">
        <f>'Horsefly Swamp'!I48</f>
        <v>1588</v>
      </c>
      <c r="L122">
        <f>'Horsefly Swamp'!J48</f>
        <v>9333</v>
      </c>
      <c r="M122">
        <f>'Horsefly Swamp'!K48</f>
        <v>100</v>
      </c>
      <c r="N122">
        <f>'Horsefly Swamp'!L48</f>
        <v>993467</v>
      </c>
      <c r="O122">
        <f>'Horsefly Swamp'!M48</f>
        <v>20.100000000000001</v>
      </c>
      <c r="P122">
        <f>'Horsefly Swamp'!N48</f>
        <v>1031</v>
      </c>
      <c r="Q122">
        <f>'Horsefly Swamp'!O48</f>
        <v>305</v>
      </c>
      <c r="R122">
        <f>'Horsefly Swamp'!P48</f>
        <v>67</v>
      </c>
      <c r="S122">
        <f>'Horsefly Swamp'!Q48</f>
        <v>21752</v>
      </c>
      <c r="T122">
        <f>'Horsefly Swamp'!R48</f>
        <v>0.4</v>
      </c>
      <c r="U122">
        <f>'Horsefly Swamp'!S48</f>
        <v>1154</v>
      </c>
      <c r="V122">
        <f>'Horsefly Swamp'!T48</f>
        <v>1</v>
      </c>
      <c r="W122">
        <f>'Horsefly Swamp'!U48</f>
        <v>1</v>
      </c>
      <c r="X122">
        <f>'Horsefly Swamp'!V48</f>
        <v>1</v>
      </c>
      <c r="Y122">
        <f>'Horsefly Swamp'!W48</f>
        <v>0</v>
      </c>
      <c r="Z122">
        <f>'Horsefly Swamp'!X48</f>
        <v>1256</v>
      </c>
      <c r="AA122">
        <f>'Horsefly Swamp'!Y48</f>
        <v>1</v>
      </c>
      <c r="AB122">
        <f>'Horsefly Swamp'!Z48</f>
        <v>1</v>
      </c>
      <c r="AC122">
        <f>'Horsefly Swamp'!AA48</f>
        <v>1</v>
      </c>
      <c r="AD122">
        <f>'Horsefly Swamp'!AB48</f>
        <v>0</v>
      </c>
      <c r="AE122">
        <f>'Horsefly Swamp'!AC48</f>
        <v>1416</v>
      </c>
      <c r="AF122">
        <f>'Horsefly Swamp'!AD48</f>
        <v>1</v>
      </c>
      <c r="AG122">
        <f>'Horsefly Swamp'!AE48</f>
        <v>1</v>
      </c>
      <c r="AH122">
        <f>'Horsefly Swamp'!AF48</f>
        <v>1</v>
      </c>
      <c r="AI122">
        <f>'Horsefly Swamp'!AG48</f>
        <v>0</v>
      </c>
      <c r="AJ122">
        <f>'Horsefly Swamp'!AH48</f>
        <v>1506</v>
      </c>
      <c r="AK122">
        <f>'Horsefly Swamp'!AI48</f>
        <v>185</v>
      </c>
      <c r="AL122">
        <f>'Horsefly Swamp'!AJ48</f>
        <v>43</v>
      </c>
      <c r="AM122">
        <f>'Horsefly Swamp'!AK48</f>
        <v>8468</v>
      </c>
      <c r="AN122">
        <f>'Horsefly Swamp'!AL48</f>
        <v>0.2</v>
      </c>
      <c r="AO122">
        <f>'Horsefly Swamp'!AM48</f>
        <v>1598</v>
      </c>
      <c r="AP122">
        <f>'Horsefly Swamp'!AN48</f>
        <v>523</v>
      </c>
      <c r="AQ122">
        <f>'Horsefly Swamp'!AO48</f>
        <v>27</v>
      </c>
      <c r="AR122">
        <f>'Horsefly Swamp'!AP48</f>
        <v>15031</v>
      </c>
      <c r="AS122">
        <f>'Horsefly Swamp'!AQ48</f>
        <v>0.3</v>
      </c>
      <c r="AT122">
        <f>'Horsefly Swamp'!AR48</f>
        <v>1736</v>
      </c>
      <c r="AU122">
        <f>'Horsefly Swamp'!AS48</f>
        <v>879</v>
      </c>
      <c r="AV122">
        <f>'Horsefly Swamp'!AT48</f>
        <v>199</v>
      </c>
      <c r="AW122">
        <f>'Horsefly Swamp'!AU48</f>
        <v>186198</v>
      </c>
      <c r="AX122">
        <f>'Horsefly Swamp'!AV48</f>
        <v>3.8</v>
      </c>
    </row>
    <row r="123" spans="1:50">
      <c r="A123" t="str">
        <f>'Horsefly Swamp'!A49</f>
        <v>/Users/christophermarjo/Documents/Python/Projects/data/bushfire Raman/Horsefly Swamp/HF 6.5 (2)</v>
      </c>
      <c r="B123" t="str">
        <f t="shared" si="0"/>
        <v>Horsefly Swamp</v>
      </c>
      <c r="C123">
        <v>6.5</v>
      </c>
      <c r="D123" t="str">
        <f>'Horsefly Swamp'!B49</f>
        <v>42.80 counts</v>
      </c>
      <c r="E123">
        <f>'Horsefly Swamp'!C49</f>
        <v>0.98556900000000003</v>
      </c>
      <c r="F123">
        <f>'Horsefly Swamp'!D49</f>
        <v>1367</v>
      </c>
      <c r="G123">
        <f>'Horsefly Swamp'!E49</f>
        <v>25397</v>
      </c>
      <c r="H123">
        <f>'Horsefly Swamp'!F49</f>
        <v>332</v>
      </c>
      <c r="I123">
        <f>'Horsefly Swamp'!G49</f>
        <v>8975377</v>
      </c>
      <c r="J123">
        <f>'Horsefly Swamp'!H49</f>
        <v>72.400000000000006</v>
      </c>
      <c r="K123">
        <f>'Horsefly Swamp'!I49</f>
        <v>1586</v>
      </c>
      <c r="L123">
        <f>'Horsefly Swamp'!J49</f>
        <v>24389</v>
      </c>
      <c r="M123">
        <f>'Horsefly Swamp'!K49</f>
        <v>104</v>
      </c>
      <c r="N123">
        <f>'Horsefly Swamp'!L49</f>
        <v>2699974</v>
      </c>
      <c r="O123">
        <f>'Horsefly Swamp'!M49</f>
        <v>21.8</v>
      </c>
      <c r="P123">
        <f>'Horsefly Swamp'!N49</f>
        <v>1037</v>
      </c>
      <c r="Q123">
        <f>'Horsefly Swamp'!O49</f>
        <v>1051</v>
      </c>
      <c r="R123">
        <f>'Horsefly Swamp'!P49</f>
        <v>69</v>
      </c>
      <c r="S123">
        <f>'Horsefly Swamp'!Q49</f>
        <v>77194</v>
      </c>
      <c r="T123">
        <f>'Horsefly Swamp'!R49</f>
        <v>0.6</v>
      </c>
      <c r="U123">
        <f>'Horsefly Swamp'!S49</f>
        <v>1154</v>
      </c>
      <c r="V123">
        <f>'Horsefly Swamp'!T49</f>
        <v>1</v>
      </c>
      <c r="W123">
        <f>'Horsefly Swamp'!U49</f>
        <v>1</v>
      </c>
      <c r="X123">
        <f>'Horsefly Swamp'!V49</f>
        <v>1</v>
      </c>
      <c r="Y123">
        <f>'Horsefly Swamp'!W49</f>
        <v>0</v>
      </c>
      <c r="Z123">
        <f>'Horsefly Swamp'!X49</f>
        <v>1256</v>
      </c>
      <c r="AA123">
        <f>'Horsefly Swamp'!Y49</f>
        <v>1</v>
      </c>
      <c r="AB123">
        <f>'Horsefly Swamp'!Z49</f>
        <v>1</v>
      </c>
      <c r="AC123">
        <f>'Horsefly Swamp'!AA49</f>
        <v>1</v>
      </c>
      <c r="AD123">
        <f>'Horsefly Swamp'!AB49</f>
        <v>0</v>
      </c>
      <c r="AE123">
        <f>'Horsefly Swamp'!AC49</f>
        <v>1456</v>
      </c>
      <c r="AF123">
        <f>'Horsefly Swamp'!AD49</f>
        <v>389</v>
      </c>
      <c r="AG123">
        <f>'Horsefly Swamp'!AE49</f>
        <v>3</v>
      </c>
      <c r="AH123">
        <f>'Horsefly Swamp'!AF49</f>
        <v>1242</v>
      </c>
      <c r="AI123">
        <f>'Horsefly Swamp'!AG49</f>
        <v>0</v>
      </c>
      <c r="AJ123">
        <f>'Horsefly Swamp'!AH49</f>
        <v>1496</v>
      </c>
      <c r="AK123">
        <f>'Horsefly Swamp'!AI49</f>
        <v>1719</v>
      </c>
      <c r="AL123">
        <f>'Horsefly Swamp'!AJ49</f>
        <v>35</v>
      </c>
      <c r="AM123">
        <f>'Horsefly Swamp'!AK49</f>
        <v>64044</v>
      </c>
      <c r="AN123">
        <f>'Horsefly Swamp'!AL49</f>
        <v>0.5</v>
      </c>
      <c r="AO123">
        <f>'Horsefly Swamp'!AM49</f>
        <v>1598</v>
      </c>
      <c r="AP123">
        <f>'Horsefly Swamp'!AN49</f>
        <v>1323</v>
      </c>
      <c r="AQ123">
        <f>'Horsefly Swamp'!AO49</f>
        <v>21</v>
      </c>
      <c r="AR123">
        <f>'Horsefly Swamp'!AP49</f>
        <v>29574</v>
      </c>
      <c r="AS123">
        <f>'Horsefly Swamp'!AQ49</f>
        <v>0.2</v>
      </c>
      <c r="AT123">
        <f>'Horsefly Swamp'!AR49</f>
        <v>1730</v>
      </c>
      <c r="AU123">
        <f>'Horsefly Swamp'!AS49</f>
        <v>3097</v>
      </c>
      <c r="AV123">
        <f>'Horsefly Swamp'!AT49</f>
        <v>165</v>
      </c>
      <c r="AW123">
        <f>'Horsefly Swamp'!AU49</f>
        <v>543948</v>
      </c>
      <c r="AX123">
        <f>'Horsefly Swamp'!AV49</f>
        <v>4.4000000000000004</v>
      </c>
    </row>
    <row r="124" spans="1:50">
      <c r="A124" t="str">
        <f>'Horsefly Swamp'!A50</f>
        <v>/Users/christophermarjo/Documents/Python/Projects/data/bushfire Raman/Horsefly Swamp/HF 6.5 (3)</v>
      </c>
      <c r="B124" t="str">
        <f t="shared" si="0"/>
        <v>Horsefly Swamp</v>
      </c>
      <c r="C124">
        <v>6.5</v>
      </c>
      <c r="D124" t="str">
        <f>'Horsefly Swamp'!B50</f>
        <v>10.19 counts</v>
      </c>
      <c r="E124">
        <f>'Horsefly Swamp'!C50</f>
        <v>0.86682499999999996</v>
      </c>
      <c r="F124">
        <f>'Horsefly Swamp'!D50</f>
        <v>1369</v>
      </c>
      <c r="G124">
        <f>'Horsefly Swamp'!E50</f>
        <v>1401</v>
      </c>
      <c r="H124">
        <f>'Horsefly Swamp'!F50</f>
        <v>350</v>
      </c>
      <c r="I124">
        <f>'Horsefly Swamp'!G50</f>
        <v>521961</v>
      </c>
      <c r="J124">
        <f>'Horsefly Swamp'!H50</f>
        <v>55.7</v>
      </c>
      <c r="K124">
        <f>'Horsefly Swamp'!I50</f>
        <v>1594</v>
      </c>
      <c r="L124">
        <f>'Horsefly Swamp'!J50</f>
        <v>2003</v>
      </c>
      <c r="M124">
        <f>'Horsefly Swamp'!K50</f>
        <v>146</v>
      </c>
      <c r="N124">
        <f>'Horsefly Swamp'!L50</f>
        <v>311291</v>
      </c>
      <c r="O124">
        <f>'Horsefly Swamp'!M50</f>
        <v>33.200000000000003</v>
      </c>
      <c r="P124">
        <f>'Horsefly Swamp'!N50</f>
        <v>1003</v>
      </c>
      <c r="Q124">
        <f>'Horsefly Swamp'!O50</f>
        <v>253</v>
      </c>
      <c r="R124">
        <f>'Horsefly Swamp'!P50</f>
        <v>11</v>
      </c>
      <c r="S124">
        <f>'Horsefly Swamp'!Q50</f>
        <v>2962</v>
      </c>
      <c r="T124">
        <f>'Horsefly Swamp'!R50</f>
        <v>0.3</v>
      </c>
      <c r="U124">
        <f>'Horsefly Swamp'!S50</f>
        <v>1156</v>
      </c>
      <c r="V124">
        <f>'Horsefly Swamp'!T50</f>
        <v>1489</v>
      </c>
      <c r="W124">
        <f>'Horsefly Swamp'!U50</f>
        <v>13</v>
      </c>
      <c r="X124">
        <f>'Horsefly Swamp'!V50</f>
        <v>20605</v>
      </c>
      <c r="Y124">
        <f>'Horsefly Swamp'!W50</f>
        <v>2.2000000000000002</v>
      </c>
      <c r="Z124">
        <f>'Horsefly Swamp'!X50</f>
        <v>1256</v>
      </c>
      <c r="AA124">
        <f>'Horsefly Swamp'!Y50</f>
        <v>1</v>
      </c>
      <c r="AB124">
        <f>'Horsefly Swamp'!Z50</f>
        <v>1</v>
      </c>
      <c r="AC124">
        <f>'Horsefly Swamp'!AA50</f>
        <v>1</v>
      </c>
      <c r="AD124">
        <f>'Horsefly Swamp'!AB50</f>
        <v>0</v>
      </c>
      <c r="AE124">
        <f>'Horsefly Swamp'!AC50</f>
        <v>1440</v>
      </c>
      <c r="AF124">
        <f>'Horsefly Swamp'!AD50</f>
        <v>227</v>
      </c>
      <c r="AG124">
        <f>'Horsefly Swamp'!AE50</f>
        <v>1</v>
      </c>
      <c r="AH124">
        <f>'Horsefly Swamp'!AF50</f>
        <v>242</v>
      </c>
      <c r="AI124">
        <f>'Horsefly Swamp'!AG50</f>
        <v>0</v>
      </c>
      <c r="AJ124">
        <f>'Horsefly Swamp'!AH50</f>
        <v>1518</v>
      </c>
      <c r="AK124">
        <f>'Horsefly Swamp'!AI50</f>
        <v>1563</v>
      </c>
      <c r="AL124">
        <f>'Horsefly Swamp'!AJ50</f>
        <v>17</v>
      </c>
      <c r="AM124">
        <f>'Horsefly Swamp'!AK50</f>
        <v>28284</v>
      </c>
      <c r="AN124">
        <f>'Horsefly Swamp'!AL50</f>
        <v>3</v>
      </c>
      <c r="AO124">
        <f>'Horsefly Swamp'!AM50</f>
        <v>1598</v>
      </c>
      <c r="AP124">
        <f>'Horsefly Swamp'!AN50</f>
        <v>45</v>
      </c>
      <c r="AQ124">
        <f>'Horsefly Swamp'!AO50</f>
        <v>21</v>
      </c>
      <c r="AR124">
        <f>'Horsefly Swamp'!AP50</f>
        <v>1006</v>
      </c>
      <c r="AS124">
        <f>'Horsefly Swamp'!AQ50</f>
        <v>0.1</v>
      </c>
      <c r="AT124">
        <f>'Horsefly Swamp'!AR50</f>
        <v>1748</v>
      </c>
      <c r="AU124">
        <f>'Horsefly Swamp'!AS50</f>
        <v>239</v>
      </c>
      <c r="AV124">
        <f>'Horsefly Swamp'!AT50</f>
        <v>199</v>
      </c>
      <c r="AW124">
        <f>'Horsefly Swamp'!AU50</f>
        <v>50627</v>
      </c>
      <c r="AX124">
        <f>'Horsefly Swamp'!AV50</f>
        <v>5.4</v>
      </c>
    </row>
    <row r="125" spans="1:50">
      <c r="A125" t="str">
        <f>'Horsefly Swamp'!A51</f>
        <v>/Users/christophermarjo/Documents/Python/Projects/data/bushfire Raman/Horsefly Swamp/HF 6.5 (4)</v>
      </c>
      <c r="B125" t="str">
        <f t="shared" si="0"/>
        <v>Horsefly Swamp</v>
      </c>
      <c r="C125">
        <v>6.5</v>
      </c>
      <c r="D125" t="str">
        <f>'Horsefly Swamp'!B51</f>
        <v>26.95 counts</v>
      </c>
      <c r="E125">
        <f>'Horsefly Swamp'!C51</f>
        <v>0.97986899999999999</v>
      </c>
      <c r="F125">
        <f>'Horsefly Swamp'!D51</f>
        <v>1367</v>
      </c>
      <c r="G125">
        <f>'Horsefly Swamp'!E51</f>
        <v>13503</v>
      </c>
      <c r="H125">
        <f>'Horsefly Swamp'!F51</f>
        <v>346</v>
      </c>
      <c r="I125">
        <f>'Horsefly Swamp'!G51</f>
        <v>4973230</v>
      </c>
      <c r="J125">
        <f>'Horsefly Swamp'!H51</f>
        <v>75.900000000000006</v>
      </c>
      <c r="K125">
        <f>'Horsefly Swamp'!I51</f>
        <v>1586</v>
      </c>
      <c r="L125">
        <f>'Horsefly Swamp'!J51</f>
        <v>11795</v>
      </c>
      <c r="M125">
        <f>'Horsefly Swamp'!K51</f>
        <v>104</v>
      </c>
      <c r="N125">
        <f>'Horsefly Swamp'!L51</f>
        <v>1305760</v>
      </c>
      <c r="O125">
        <f>'Horsefly Swamp'!M51</f>
        <v>19.899999999999999</v>
      </c>
      <c r="P125">
        <f>'Horsefly Swamp'!N51</f>
        <v>1025</v>
      </c>
      <c r="Q125">
        <f>'Horsefly Swamp'!O51</f>
        <v>449</v>
      </c>
      <c r="R125">
        <f>'Horsefly Swamp'!P51</f>
        <v>73</v>
      </c>
      <c r="S125">
        <f>'Horsefly Swamp'!Q51</f>
        <v>34890</v>
      </c>
      <c r="T125">
        <f>'Horsefly Swamp'!R51</f>
        <v>0.5</v>
      </c>
      <c r="U125">
        <f>'Horsefly Swamp'!S51</f>
        <v>1154</v>
      </c>
      <c r="V125">
        <f>'Horsefly Swamp'!T51</f>
        <v>1</v>
      </c>
      <c r="W125">
        <f>'Horsefly Swamp'!U51</f>
        <v>1</v>
      </c>
      <c r="X125">
        <f>'Horsefly Swamp'!V51</f>
        <v>1</v>
      </c>
      <c r="Y125">
        <f>'Horsefly Swamp'!W51</f>
        <v>0</v>
      </c>
      <c r="Z125">
        <f>'Horsefly Swamp'!X51</f>
        <v>1256</v>
      </c>
      <c r="AA125">
        <f>'Horsefly Swamp'!Y51</f>
        <v>1</v>
      </c>
      <c r="AB125">
        <f>'Horsefly Swamp'!Z51</f>
        <v>1</v>
      </c>
      <c r="AC125">
        <f>'Horsefly Swamp'!AA51</f>
        <v>1</v>
      </c>
      <c r="AD125">
        <f>'Horsefly Swamp'!AB51</f>
        <v>0</v>
      </c>
      <c r="AE125">
        <f>'Horsefly Swamp'!AC51</f>
        <v>1416</v>
      </c>
      <c r="AF125">
        <f>'Horsefly Swamp'!AD51</f>
        <v>1</v>
      </c>
      <c r="AG125">
        <f>'Horsefly Swamp'!AE51</f>
        <v>1</v>
      </c>
      <c r="AH125">
        <f>'Horsefly Swamp'!AF51</f>
        <v>1</v>
      </c>
      <c r="AI125">
        <f>'Horsefly Swamp'!AG51</f>
        <v>0</v>
      </c>
      <c r="AJ125">
        <f>'Horsefly Swamp'!AH51</f>
        <v>1502</v>
      </c>
      <c r="AK125">
        <f>'Horsefly Swamp'!AI51</f>
        <v>1211</v>
      </c>
      <c r="AL125">
        <f>'Horsefly Swamp'!AJ51</f>
        <v>21</v>
      </c>
      <c r="AM125">
        <f>'Horsefly Swamp'!AK51</f>
        <v>27070</v>
      </c>
      <c r="AN125">
        <f>'Horsefly Swamp'!AL51</f>
        <v>0.4</v>
      </c>
      <c r="AO125">
        <f>'Horsefly Swamp'!AM51</f>
        <v>1596</v>
      </c>
      <c r="AP125">
        <f>'Horsefly Swamp'!AN51</f>
        <v>489</v>
      </c>
      <c r="AQ125">
        <f>'Horsefly Swamp'!AO51</f>
        <v>23</v>
      </c>
      <c r="AR125">
        <f>'Horsefly Swamp'!AP51</f>
        <v>11972</v>
      </c>
      <c r="AS125">
        <f>'Horsefly Swamp'!AQ51</f>
        <v>0.2</v>
      </c>
      <c r="AT125">
        <f>'Horsefly Swamp'!AR51</f>
        <v>1736</v>
      </c>
      <c r="AU125">
        <f>'Horsefly Swamp'!AS51</f>
        <v>1053</v>
      </c>
      <c r="AV125">
        <f>'Horsefly Swamp'!AT51</f>
        <v>181</v>
      </c>
      <c r="AW125">
        <f>'Horsefly Swamp'!AU51</f>
        <v>202880</v>
      </c>
      <c r="AX125">
        <f>'Horsefly Swamp'!AV51</f>
        <v>3.1</v>
      </c>
    </row>
    <row r="126" spans="1:50">
      <c r="A126" t="str">
        <f>'Horsefly Swamp'!A52</f>
        <v>/Users/christophermarjo/Documents/Python/Projects/data/bushfire Raman/Horsefly Swamp/HF 6.5 (5)</v>
      </c>
      <c r="B126" t="str">
        <f t="shared" si="0"/>
        <v>Horsefly Swamp</v>
      </c>
      <c r="C126">
        <v>6.5</v>
      </c>
      <c r="D126" t="str">
        <f>'Horsefly Swamp'!B52</f>
        <v>30.81 counts</v>
      </c>
      <c r="E126">
        <f>'Horsefly Swamp'!C52</f>
        <v>0.980267</v>
      </c>
      <c r="F126">
        <f>'Horsefly Swamp'!D52</f>
        <v>1367</v>
      </c>
      <c r="G126">
        <f>'Horsefly Swamp'!E52</f>
        <v>15739</v>
      </c>
      <c r="H126">
        <f>'Horsefly Swamp'!F52</f>
        <v>348</v>
      </c>
      <c r="I126">
        <f>'Horsefly Swamp'!G52</f>
        <v>5830269</v>
      </c>
      <c r="J126">
        <f>'Horsefly Swamp'!H52</f>
        <v>75.7</v>
      </c>
      <c r="K126">
        <f>'Horsefly Swamp'!I52</f>
        <v>1586</v>
      </c>
      <c r="L126">
        <f>'Horsefly Swamp'!J52</f>
        <v>13501</v>
      </c>
      <c r="M126">
        <f>'Horsefly Swamp'!K52</f>
        <v>106</v>
      </c>
      <c r="N126">
        <f>'Horsefly Swamp'!L52</f>
        <v>1523365</v>
      </c>
      <c r="O126">
        <f>'Horsefly Swamp'!M52</f>
        <v>19.8</v>
      </c>
      <c r="P126">
        <f>'Horsefly Swamp'!N52</f>
        <v>1045</v>
      </c>
      <c r="Q126">
        <f>'Horsefly Swamp'!O52</f>
        <v>543</v>
      </c>
      <c r="R126">
        <f>'Horsefly Swamp'!P52</f>
        <v>43</v>
      </c>
      <c r="S126">
        <f>'Horsefly Swamp'!Q52</f>
        <v>24854</v>
      </c>
      <c r="T126">
        <f>'Horsefly Swamp'!R52</f>
        <v>0.3</v>
      </c>
      <c r="U126">
        <f>'Horsefly Swamp'!S52</f>
        <v>1154</v>
      </c>
      <c r="V126">
        <f>'Horsefly Swamp'!T52</f>
        <v>1</v>
      </c>
      <c r="W126">
        <f>'Horsefly Swamp'!U52</f>
        <v>1</v>
      </c>
      <c r="X126">
        <f>'Horsefly Swamp'!V52</f>
        <v>1</v>
      </c>
      <c r="Y126">
        <f>'Horsefly Swamp'!W52</f>
        <v>0</v>
      </c>
      <c r="Z126">
        <f>'Horsefly Swamp'!X52</f>
        <v>1256</v>
      </c>
      <c r="AA126">
        <f>'Horsefly Swamp'!Y52</f>
        <v>1</v>
      </c>
      <c r="AB126">
        <f>'Horsefly Swamp'!Z52</f>
        <v>1</v>
      </c>
      <c r="AC126">
        <f>'Horsefly Swamp'!AA52</f>
        <v>1</v>
      </c>
      <c r="AD126">
        <f>'Horsefly Swamp'!AB52</f>
        <v>0</v>
      </c>
      <c r="AE126">
        <f>'Horsefly Swamp'!AC52</f>
        <v>1458</v>
      </c>
      <c r="AF126">
        <f>'Horsefly Swamp'!AD52</f>
        <v>115</v>
      </c>
      <c r="AG126">
        <f>'Horsefly Swamp'!AE52</f>
        <v>187</v>
      </c>
      <c r="AH126">
        <f>'Horsefly Swamp'!AF52</f>
        <v>22891</v>
      </c>
      <c r="AI126">
        <f>'Horsefly Swamp'!AG52</f>
        <v>0.3</v>
      </c>
      <c r="AJ126">
        <f>'Horsefly Swamp'!AH52</f>
        <v>1494</v>
      </c>
      <c r="AK126">
        <f>'Horsefly Swamp'!AI52</f>
        <v>595</v>
      </c>
      <c r="AL126">
        <f>'Horsefly Swamp'!AJ52</f>
        <v>33</v>
      </c>
      <c r="AM126">
        <f>'Horsefly Swamp'!AK52</f>
        <v>20901</v>
      </c>
      <c r="AN126">
        <f>'Horsefly Swamp'!AL52</f>
        <v>0.3</v>
      </c>
      <c r="AO126">
        <f>'Horsefly Swamp'!AM52</f>
        <v>1598</v>
      </c>
      <c r="AP126">
        <f>'Horsefly Swamp'!AN52</f>
        <v>771</v>
      </c>
      <c r="AQ126">
        <f>'Horsefly Swamp'!AO52</f>
        <v>17</v>
      </c>
      <c r="AR126">
        <f>'Horsefly Swamp'!AP52</f>
        <v>13952</v>
      </c>
      <c r="AS126">
        <f>'Horsefly Swamp'!AQ52</f>
        <v>0.2</v>
      </c>
      <c r="AT126">
        <f>'Horsefly Swamp'!AR52</f>
        <v>1748</v>
      </c>
      <c r="AU126">
        <f>'Horsefly Swamp'!AS52</f>
        <v>1257</v>
      </c>
      <c r="AV126">
        <f>'Horsefly Swamp'!AT52</f>
        <v>199</v>
      </c>
      <c r="AW126">
        <f>'Horsefly Swamp'!AU52</f>
        <v>266269</v>
      </c>
      <c r="AX126">
        <f>'Horsefly Swamp'!AV52</f>
        <v>3.5</v>
      </c>
    </row>
    <row r="127" spans="1:50">
      <c r="A127" t="str">
        <f>'Horsefly Swamp'!A53</f>
        <v>/Users/christophermarjo/Documents/Python/Projects/data/bushfire Raman/Horsefly Swamp/HF 7 (1)</v>
      </c>
      <c r="B127" t="str">
        <f t="shared" si="0"/>
        <v>Horsefly Swamp</v>
      </c>
      <c r="C127">
        <v>7</v>
      </c>
      <c r="D127" t="str">
        <f>'Horsefly Swamp'!B53</f>
        <v>4.11 counts</v>
      </c>
      <c r="E127">
        <f>'Horsefly Swamp'!C53</f>
        <v>0.97745800000000005</v>
      </c>
      <c r="F127">
        <f>'Horsefly Swamp'!D53</f>
        <v>1369</v>
      </c>
      <c r="G127">
        <f>'Horsefly Swamp'!E53</f>
        <v>1955</v>
      </c>
      <c r="H127">
        <f>'Horsefly Swamp'!F53</f>
        <v>292</v>
      </c>
      <c r="I127">
        <f>'Horsefly Swamp'!G53</f>
        <v>607662</v>
      </c>
      <c r="J127">
        <f>'Horsefly Swamp'!H53</f>
        <v>67.099999999999994</v>
      </c>
      <c r="K127">
        <f>'Horsefly Swamp'!I53</f>
        <v>1598</v>
      </c>
      <c r="L127">
        <f>'Horsefly Swamp'!J53</f>
        <v>2065</v>
      </c>
      <c r="M127">
        <f>'Horsefly Swamp'!K53</f>
        <v>100</v>
      </c>
      <c r="N127">
        <f>'Horsefly Swamp'!L53</f>
        <v>219812</v>
      </c>
      <c r="O127">
        <f>'Horsefly Swamp'!M53</f>
        <v>24.3</v>
      </c>
      <c r="P127">
        <f>'Horsefly Swamp'!N53</f>
        <v>1063</v>
      </c>
      <c r="Q127">
        <f>'Horsefly Swamp'!O53</f>
        <v>225</v>
      </c>
      <c r="R127">
        <f>'Horsefly Swamp'!P53</f>
        <v>147</v>
      </c>
      <c r="S127">
        <f>'Horsefly Swamp'!Q53</f>
        <v>35207</v>
      </c>
      <c r="T127">
        <f>'Horsefly Swamp'!R53</f>
        <v>3.9</v>
      </c>
      <c r="U127">
        <f>'Horsefly Swamp'!S53</f>
        <v>1174</v>
      </c>
      <c r="V127">
        <f>'Horsefly Swamp'!T53</f>
        <v>59</v>
      </c>
      <c r="W127">
        <f>'Horsefly Swamp'!U53</f>
        <v>7</v>
      </c>
      <c r="X127">
        <f>'Horsefly Swamp'!V53</f>
        <v>440</v>
      </c>
      <c r="Y127">
        <f>'Horsefly Swamp'!W53</f>
        <v>0</v>
      </c>
      <c r="Z127">
        <f>'Horsefly Swamp'!X53</f>
        <v>1296</v>
      </c>
      <c r="AA127">
        <f>'Horsefly Swamp'!Y53</f>
        <v>87</v>
      </c>
      <c r="AB127">
        <f>'Horsefly Swamp'!Z53</f>
        <v>3</v>
      </c>
      <c r="AC127">
        <f>'Horsefly Swamp'!AA53</f>
        <v>278</v>
      </c>
      <c r="AD127">
        <f>'Horsefly Swamp'!AB53</f>
        <v>0</v>
      </c>
      <c r="AE127">
        <f>'Horsefly Swamp'!AC53</f>
        <v>1402</v>
      </c>
      <c r="AF127">
        <f>'Horsefly Swamp'!AD53</f>
        <v>71</v>
      </c>
      <c r="AG127">
        <f>'Horsefly Swamp'!AE53</f>
        <v>17</v>
      </c>
      <c r="AH127">
        <f>'Horsefly Swamp'!AF53</f>
        <v>1285</v>
      </c>
      <c r="AI127">
        <f>'Horsefly Swamp'!AG53</f>
        <v>0.1</v>
      </c>
      <c r="AJ127">
        <f>'Horsefly Swamp'!AH53</f>
        <v>1500</v>
      </c>
      <c r="AK127">
        <f>'Horsefly Swamp'!AI53</f>
        <v>79</v>
      </c>
      <c r="AL127">
        <f>'Horsefly Swamp'!AJ53</f>
        <v>1</v>
      </c>
      <c r="AM127">
        <f>'Horsefly Swamp'!AK53</f>
        <v>84</v>
      </c>
      <c r="AN127">
        <f>'Horsefly Swamp'!AL53</f>
        <v>0</v>
      </c>
      <c r="AO127">
        <f>'Horsefly Swamp'!AM53</f>
        <v>1598</v>
      </c>
      <c r="AP127">
        <f>'Horsefly Swamp'!AN53</f>
        <v>275</v>
      </c>
      <c r="AQ127">
        <f>'Horsefly Swamp'!AO53</f>
        <v>21</v>
      </c>
      <c r="AR127">
        <f>'Horsefly Swamp'!AP53</f>
        <v>6147</v>
      </c>
      <c r="AS127">
        <f>'Horsefly Swamp'!AQ53</f>
        <v>0.7</v>
      </c>
      <c r="AT127">
        <f>'Horsefly Swamp'!AR53</f>
        <v>1748</v>
      </c>
      <c r="AU127">
        <f>'Horsefly Swamp'!AS53</f>
        <v>195</v>
      </c>
      <c r="AV127">
        <f>'Horsefly Swamp'!AT53</f>
        <v>167</v>
      </c>
      <c r="AW127">
        <f>'Horsefly Swamp'!AU53</f>
        <v>34664</v>
      </c>
      <c r="AX127">
        <f>'Horsefly Swamp'!AV53</f>
        <v>3.8</v>
      </c>
    </row>
    <row r="128" spans="1:50">
      <c r="A128" t="str">
        <f>'Horsefly Swamp'!A54</f>
        <v>/Users/christophermarjo/Documents/Python/Projects/data/bushfire Raman/Horsefly Swamp/HF 7 (2)</v>
      </c>
      <c r="B128" t="str">
        <f t="shared" si="0"/>
        <v>Horsefly Swamp</v>
      </c>
      <c r="C128">
        <v>7</v>
      </c>
      <c r="D128" t="str">
        <f>'Horsefly Swamp'!B54</f>
        <v>3.85 counts</v>
      </c>
      <c r="E128">
        <f>'Horsefly Swamp'!C54</f>
        <v>0.98129599999999995</v>
      </c>
      <c r="F128">
        <f>'Horsefly Swamp'!D54</f>
        <v>1355</v>
      </c>
      <c r="G128">
        <f>'Horsefly Swamp'!E54</f>
        <v>2081</v>
      </c>
      <c r="H128">
        <f>'Horsefly Swamp'!F54</f>
        <v>282</v>
      </c>
      <c r="I128">
        <f>'Horsefly Swamp'!G54</f>
        <v>624674</v>
      </c>
      <c r="J128">
        <f>'Horsefly Swamp'!H54</f>
        <v>66.8</v>
      </c>
      <c r="K128">
        <f>'Horsefly Swamp'!I54</f>
        <v>1594</v>
      </c>
      <c r="L128">
        <f>'Horsefly Swamp'!J54</f>
        <v>2195</v>
      </c>
      <c r="M128">
        <f>'Horsefly Swamp'!K54</f>
        <v>100</v>
      </c>
      <c r="N128">
        <f>'Horsefly Swamp'!L54</f>
        <v>233651</v>
      </c>
      <c r="O128">
        <f>'Horsefly Swamp'!M54</f>
        <v>25</v>
      </c>
      <c r="P128">
        <f>'Horsefly Swamp'!N54</f>
        <v>1053</v>
      </c>
      <c r="Q128">
        <f>'Horsefly Swamp'!O54</f>
        <v>129</v>
      </c>
      <c r="R128">
        <f>'Horsefly Swamp'!P54</f>
        <v>133</v>
      </c>
      <c r="S128">
        <f>'Horsefly Swamp'!Q54</f>
        <v>18263</v>
      </c>
      <c r="T128">
        <f>'Horsefly Swamp'!R54</f>
        <v>2</v>
      </c>
      <c r="U128">
        <f>'Horsefly Swamp'!S54</f>
        <v>1152</v>
      </c>
      <c r="V128">
        <f>'Horsefly Swamp'!T54</f>
        <v>19</v>
      </c>
      <c r="W128">
        <f>'Horsefly Swamp'!U54</f>
        <v>7</v>
      </c>
      <c r="X128">
        <f>'Horsefly Swamp'!V54</f>
        <v>142</v>
      </c>
      <c r="Y128">
        <f>'Horsefly Swamp'!W54</f>
        <v>0</v>
      </c>
      <c r="Z128">
        <f>'Horsefly Swamp'!X54</f>
        <v>1290</v>
      </c>
      <c r="AA128">
        <f>'Horsefly Swamp'!Y54</f>
        <v>1</v>
      </c>
      <c r="AB128">
        <f>'Horsefly Swamp'!Z54</f>
        <v>1</v>
      </c>
      <c r="AC128">
        <f>'Horsefly Swamp'!AA54</f>
        <v>1</v>
      </c>
      <c r="AD128">
        <f>'Horsefly Swamp'!AB54</f>
        <v>0</v>
      </c>
      <c r="AE128">
        <f>'Horsefly Swamp'!AC54</f>
        <v>1402</v>
      </c>
      <c r="AF128">
        <f>'Horsefly Swamp'!AD54</f>
        <v>5</v>
      </c>
      <c r="AG128">
        <f>'Horsefly Swamp'!AE54</f>
        <v>151</v>
      </c>
      <c r="AH128">
        <f>'Horsefly Swamp'!AF54</f>
        <v>804</v>
      </c>
      <c r="AI128">
        <f>'Horsefly Swamp'!AG54</f>
        <v>0.1</v>
      </c>
      <c r="AJ128">
        <f>'Horsefly Swamp'!AH54</f>
        <v>1528</v>
      </c>
      <c r="AK128">
        <f>'Horsefly Swamp'!AI54</f>
        <v>31</v>
      </c>
      <c r="AL128">
        <f>'Horsefly Swamp'!AJ54</f>
        <v>13</v>
      </c>
      <c r="AM128">
        <f>'Horsefly Swamp'!AK54</f>
        <v>429</v>
      </c>
      <c r="AN128">
        <f>'Horsefly Swamp'!AL54</f>
        <v>0</v>
      </c>
      <c r="AO128">
        <f>'Horsefly Swamp'!AM54</f>
        <v>1598</v>
      </c>
      <c r="AP128">
        <f>'Horsefly Swamp'!AN54</f>
        <v>215</v>
      </c>
      <c r="AQ128">
        <f>'Horsefly Swamp'!AO54</f>
        <v>27</v>
      </c>
      <c r="AR128">
        <f>'Horsefly Swamp'!AP54</f>
        <v>6179</v>
      </c>
      <c r="AS128">
        <f>'Horsefly Swamp'!AQ54</f>
        <v>0.7</v>
      </c>
      <c r="AT128">
        <f>'Horsefly Swamp'!AR54</f>
        <v>1738</v>
      </c>
      <c r="AU128">
        <f>'Horsefly Swamp'!AS54</f>
        <v>255</v>
      </c>
      <c r="AV128">
        <f>'Horsefly Swamp'!AT54</f>
        <v>187</v>
      </c>
      <c r="AW128">
        <f>'Horsefly Swamp'!AU54</f>
        <v>50759</v>
      </c>
      <c r="AX128">
        <f>'Horsefly Swamp'!AV54</f>
        <v>5.4</v>
      </c>
    </row>
    <row r="129" spans="1:50">
      <c r="A129" t="str">
        <f>'Horsefly Swamp'!A55</f>
        <v>/Users/christophermarjo/Documents/Python/Projects/data/bushfire Raman/Horsefly Swamp/HF 7 (3)</v>
      </c>
      <c r="B129" t="str">
        <f t="shared" si="0"/>
        <v>Horsefly Swamp</v>
      </c>
      <c r="C129">
        <v>7</v>
      </c>
      <c r="D129" t="str">
        <f>'Horsefly Swamp'!B55</f>
        <v>6.94 counts</v>
      </c>
      <c r="E129">
        <f>'Horsefly Swamp'!C55</f>
        <v>0.965534</v>
      </c>
      <c r="F129">
        <f>'Horsefly Swamp'!D55</f>
        <v>1369</v>
      </c>
      <c r="G129">
        <f>'Horsefly Swamp'!E55</f>
        <v>2569</v>
      </c>
      <c r="H129">
        <f>'Horsefly Swamp'!F55</f>
        <v>352</v>
      </c>
      <c r="I129">
        <f>'Horsefly Swamp'!G55</f>
        <v>962585</v>
      </c>
      <c r="J129">
        <f>'Horsefly Swamp'!H55</f>
        <v>70.5</v>
      </c>
      <c r="K129">
        <f>'Horsefly Swamp'!I55</f>
        <v>1598</v>
      </c>
      <c r="L129">
        <f>'Horsefly Swamp'!J55</f>
        <v>2363</v>
      </c>
      <c r="M129">
        <f>'Horsefly Swamp'!K55</f>
        <v>100</v>
      </c>
      <c r="N129">
        <f>'Horsefly Swamp'!L55</f>
        <v>251534</v>
      </c>
      <c r="O129">
        <f>'Horsefly Swamp'!M55</f>
        <v>18.399999999999999</v>
      </c>
      <c r="P129">
        <f>'Horsefly Swamp'!N55</f>
        <v>1067</v>
      </c>
      <c r="Q129">
        <f>'Horsefly Swamp'!O55</f>
        <v>257</v>
      </c>
      <c r="R129">
        <f>'Horsefly Swamp'!P55</f>
        <v>105</v>
      </c>
      <c r="S129">
        <f>'Horsefly Swamp'!Q55</f>
        <v>28725</v>
      </c>
      <c r="T129">
        <f>'Horsefly Swamp'!R55</f>
        <v>2.1</v>
      </c>
      <c r="U129">
        <f>'Horsefly Swamp'!S55</f>
        <v>1150</v>
      </c>
      <c r="V129">
        <f>'Horsefly Swamp'!T55</f>
        <v>31</v>
      </c>
      <c r="W129">
        <f>'Horsefly Swamp'!U55</f>
        <v>1</v>
      </c>
      <c r="X129">
        <f>'Horsefly Swamp'!V55</f>
        <v>33</v>
      </c>
      <c r="Y129">
        <f>'Horsefly Swamp'!W55</f>
        <v>0</v>
      </c>
      <c r="Z129">
        <f>'Horsefly Swamp'!X55</f>
        <v>1296</v>
      </c>
      <c r="AA129">
        <f>'Horsefly Swamp'!Y55</f>
        <v>209</v>
      </c>
      <c r="AB129">
        <f>'Horsefly Swamp'!Z55</f>
        <v>31</v>
      </c>
      <c r="AC129">
        <f>'Horsefly Swamp'!AA55</f>
        <v>6897</v>
      </c>
      <c r="AD129">
        <f>'Horsefly Swamp'!AB55</f>
        <v>0.5</v>
      </c>
      <c r="AE129">
        <f>'Horsefly Swamp'!AC55</f>
        <v>1402</v>
      </c>
      <c r="AF129">
        <f>'Horsefly Swamp'!AD55</f>
        <v>265</v>
      </c>
      <c r="AG129">
        <f>'Horsefly Swamp'!AE55</f>
        <v>45</v>
      </c>
      <c r="AH129">
        <f>'Horsefly Swamp'!AF55</f>
        <v>12694</v>
      </c>
      <c r="AI129">
        <f>'Horsefly Swamp'!AG55</f>
        <v>0.9</v>
      </c>
      <c r="AJ129">
        <f>'Horsefly Swamp'!AH55</f>
        <v>1494</v>
      </c>
      <c r="AK129">
        <f>'Horsefly Swamp'!AI55</f>
        <v>13</v>
      </c>
      <c r="AL129">
        <f>'Horsefly Swamp'!AJ55</f>
        <v>1</v>
      </c>
      <c r="AM129">
        <f>'Horsefly Swamp'!AK55</f>
        <v>14</v>
      </c>
      <c r="AN129">
        <f>'Horsefly Swamp'!AL55</f>
        <v>0</v>
      </c>
      <c r="AO129">
        <f>'Horsefly Swamp'!AM55</f>
        <v>1598</v>
      </c>
      <c r="AP129">
        <f>'Horsefly Swamp'!AN55</f>
        <v>515</v>
      </c>
      <c r="AQ129">
        <f>'Horsefly Swamp'!AO55</f>
        <v>31</v>
      </c>
      <c r="AR129">
        <f>'Horsefly Swamp'!AP55</f>
        <v>16994</v>
      </c>
      <c r="AS129">
        <f>'Horsefly Swamp'!AQ55</f>
        <v>1.2</v>
      </c>
      <c r="AT129">
        <f>'Horsefly Swamp'!AR55</f>
        <v>1748</v>
      </c>
      <c r="AU129">
        <f>'Horsefly Swamp'!AS55</f>
        <v>405</v>
      </c>
      <c r="AV129">
        <f>'Horsefly Swamp'!AT55</f>
        <v>199</v>
      </c>
      <c r="AW129">
        <f>'Horsefly Swamp'!AU55</f>
        <v>85791</v>
      </c>
      <c r="AX129">
        <f>'Horsefly Swamp'!AV55</f>
        <v>6.3</v>
      </c>
    </row>
    <row r="130" spans="1:50">
      <c r="A130" t="str">
        <f>'Horsefly Swamp'!A56</f>
        <v>/Users/christophermarjo/Documents/Python/Projects/data/bushfire Raman/Horsefly Swamp/HF 7 (4)</v>
      </c>
      <c r="B130" t="str">
        <f t="shared" si="0"/>
        <v>Horsefly Swamp</v>
      </c>
      <c r="C130">
        <v>7</v>
      </c>
      <c r="D130" t="str">
        <f>'Horsefly Swamp'!B56</f>
        <v>3.13 counts</v>
      </c>
      <c r="E130">
        <f>'Horsefly Swamp'!C56</f>
        <v>0.98390100000000003</v>
      </c>
      <c r="F130">
        <f>'Horsefly Swamp'!D56</f>
        <v>1359</v>
      </c>
      <c r="G130">
        <f>'Horsefly Swamp'!E56</f>
        <v>1819</v>
      </c>
      <c r="H130">
        <f>'Horsefly Swamp'!F56</f>
        <v>266</v>
      </c>
      <c r="I130">
        <f>'Horsefly Swamp'!G56</f>
        <v>515047</v>
      </c>
      <c r="J130">
        <f>'Horsefly Swamp'!H56</f>
        <v>63.7</v>
      </c>
      <c r="K130">
        <f>'Horsefly Swamp'!I56</f>
        <v>1596</v>
      </c>
      <c r="L130">
        <f>'Horsefly Swamp'!J56</f>
        <v>1973</v>
      </c>
      <c r="M130">
        <f>'Horsefly Swamp'!K56</f>
        <v>100</v>
      </c>
      <c r="N130">
        <f>'Horsefly Swamp'!L56</f>
        <v>210019</v>
      </c>
      <c r="O130">
        <f>'Horsefly Swamp'!M56</f>
        <v>26</v>
      </c>
      <c r="P130">
        <f>'Horsefly Swamp'!N56</f>
        <v>1071</v>
      </c>
      <c r="Q130">
        <f>'Horsefly Swamp'!O56</f>
        <v>163</v>
      </c>
      <c r="R130">
        <f>'Horsefly Swamp'!P56</f>
        <v>129</v>
      </c>
      <c r="S130">
        <f>'Horsefly Swamp'!Q56</f>
        <v>22383</v>
      </c>
      <c r="T130">
        <f>'Horsefly Swamp'!R56</f>
        <v>2.8</v>
      </c>
      <c r="U130">
        <f>'Horsefly Swamp'!S56</f>
        <v>1150</v>
      </c>
      <c r="V130">
        <f>'Horsefly Swamp'!T56</f>
        <v>69</v>
      </c>
      <c r="W130">
        <f>'Horsefly Swamp'!U56</f>
        <v>43</v>
      </c>
      <c r="X130">
        <f>'Horsefly Swamp'!V56</f>
        <v>3158</v>
      </c>
      <c r="Y130">
        <f>'Horsefly Swamp'!W56</f>
        <v>0.4</v>
      </c>
      <c r="Z130">
        <f>'Horsefly Swamp'!X56</f>
        <v>1260</v>
      </c>
      <c r="AA130">
        <f>'Horsefly Swamp'!Y56</f>
        <v>1</v>
      </c>
      <c r="AB130">
        <f>'Horsefly Swamp'!Z56</f>
        <v>1</v>
      </c>
      <c r="AC130">
        <f>'Horsefly Swamp'!AA56</f>
        <v>1</v>
      </c>
      <c r="AD130">
        <f>'Horsefly Swamp'!AB56</f>
        <v>0</v>
      </c>
      <c r="AE130">
        <f>'Horsefly Swamp'!AC56</f>
        <v>1402</v>
      </c>
      <c r="AF130">
        <f>'Horsefly Swamp'!AD56</f>
        <v>97</v>
      </c>
      <c r="AG130">
        <f>'Horsefly Swamp'!AE56</f>
        <v>129</v>
      </c>
      <c r="AH130">
        <f>'Horsefly Swamp'!AF56</f>
        <v>13320</v>
      </c>
      <c r="AI130">
        <f>'Horsefly Swamp'!AG56</f>
        <v>1.6</v>
      </c>
      <c r="AJ130">
        <f>'Horsefly Swamp'!AH56</f>
        <v>1494</v>
      </c>
      <c r="AK130">
        <f>'Horsefly Swamp'!AI56</f>
        <v>79</v>
      </c>
      <c r="AL130">
        <f>'Horsefly Swamp'!AJ56</f>
        <v>27</v>
      </c>
      <c r="AM130">
        <f>'Horsefly Swamp'!AK56</f>
        <v>2271</v>
      </c>
      <c r="AN130">
        <f>'Horsefly Swamp'!AL56</f>
        <v>0.3</v>
      </c>
      <c r="AO130">
        <f>'Horsefly Swamp'!AM56</f>
        <v>1594</v>
      </c>
      <c r="AP130">
        <f>'Horsefly Swamp'!AN56</f>
        <v>257</v>
      </c>
      <c r="AQ130">
        <f>'Horsefly Swamp'!AO56</f>
        <v>5</v>
      </c>
      <c r="AR130">
        <f>'Horsefly Swamp'!AP56</f>
        <v>1368</v>
      </c>
      <c r="AS130">
        <f>'Horsefly Swamp'!AQ56</f>
        <v>0.2</v>
      </c>
      <c r="AT130">
        <f>'Horsefly Swamp'!AR56</f>
        <v>1734</v>
      </c>
      <c r="AU130">
        <f>'Horsefly Swamp'!AS56</f>
        <v>215</v>
      </c>
      <c r="AV130">
        <f>'Horsefly Swamp'!AT56</f>
        <v>177</v>
      </c>
      <c r="AW130">
        <f>'Horsefly Swamp'!AU56</f>
        <v>40508</v>
      </c>
      <c r="AX130">
        <f>'Horsefly Swamp'!AV56</f>
        <v>5</v>
      </c>
    </row>
    <row r="131" spans="1:50">
      <c r="A131" t="str">
        <f>'Horsefly Swamp'!A57</f>
        <v>/Users/christophermarjo/Documents/Python/Projects/data/bushfire Raman/Horsefly Swamp/HF 7 (5)</v>
      </c>
      <c r="B131" t="str">
        <f t="shared" si="0"/>
        <v>Horsefly Swamp</v>
      </c>
      <c r="C131">
        <v>7</v>
      </c>
      <c r="D131" t="str">
        <f>'Horsefly Swamp'!B57</f>
        <v>5.10 counts</v>
      </c>
      <c r="E131">
        <f>'Horsefly Swamp'!C57</f>
        <v>0.97917100000000001</v>
      </c>
      <c r="F131">
        <f>'Horsefly Swamp'!D57</f>
        <v>1369</v>
      </c>
      <c r="G131">
        <f>'Horsefly Swamp'!E57</f>
        <v>2421</v>
      </c>
      <c r="H131">
        <f>'Horsefly Swamp'!F57</f>
        <v>306</v>
      </c>
      <c r="I131">
        <f>'Horsefly Swamp'!G57</f>
        <v>788585</v>
      </c>
      <c r="J131">
        <f>'Horsefly Swamp'!H57</f>
        <v>66</v>
      </c>
      <c r="K131">
        <f>'Horsefly Swamp'!I57</f>
        <v>1598</v>
      </c>
      <c r="L131">
        <f>'Horsefly Swamp'!J57</f>
        <v>2549</v>
      </c>
      <c r="M131">
        <f>'Horsefly Swamp'!K57</f>
        <v>100</v>
      </c>
      <c r="N131">
        <f>'Horsefly Swamp'!L57</f>
        <v>271333</v>
      </c>
      <c r="O131">
        <f>'Horsefly Swamp'!M57</f>
        <v>22.7</v>
      </c>
      <c r="P131">
        <f>'Horsefly Swamp'!N57</f>
        <v>1049</v>
      </c>
      <c r="Q131">
        <f>'Horsefly Swamp'!O57</f>
        <v>271</v>
      </c>
      <c r="R131">
        <f>'Horsefly Swamp'!P57</f>
        <v>153</v>
      </c>
      <c r="S131">
        <f>'Horsefly Swamp'!Q57</f>
        <v>44136</v>
      </c>
      <c r="T131">
        <f>'Horsefly Swamp'!R57</f>
        <v>3.7</v>
      </c>
      <c r="U131">
        <f>'Horsefly Swamp'!S57</f>
        <v>1174</v>
      </c>
      <c r="V131">
        <f>'Horsefly Swamp'!T57</f>
        <v>29</v>
      </c>
      <c r="W131">
        <f>'Horsefly Swamp'!U57</f>
        <v>3</v>
      </c>
      <c r="X131">
        <f>'Horsefly Swamp'!V57</f>
        <v>93</v>
      </c>
      <c r="Y131">
        <f>'Horsefly Swamp'!W57</f>
        <v>0</v>
      </c>
      <c r="Z131">
        <f>'Horsefly Swamp'!X57</f>
        <v>1296</v>
      </c>
      <c r="AA131">
        <f>'Horsefly Swamp'!Y57</f>
        <v>69</v>
      </c>
      <c r="AB131">
        <f>'Horsefly Swamp'!Z57</f>
        <v>95</v>
      </c>
      <c r="AC131">
        <f>'Horsefly Swamp'!AA57</f>
        <v>6978</v>
      </c>
      <c r="AD131">
        <f>'Horsefly Swamp'!AB57</f>
        <v>0.6</v>
      </c>
      <c r="AE131">
        <f>'Horsefly Swamp'!AC57</f>
        <v>1402</v>
      </c>
      <c r="AF131">
        <f>'Horsefly Swamp'!AD57</f>
        <v>213</v>
      </c>
      <c r="AG131">
        <f>'Horsefly Swamp'!AE57</f>
        <v>89</v>
      </c>
      <c r="AH131">
        <f>'Horsefly Swamp'!AF57</f>
        <v>20179</v>
      </c>
      <c r="AI131">
        <f>'Horsefly Swamp'!AG57</f>
        <v>1.7</v>
      </c>
      <c r="AJ131">
        <f>'Horsefly Swamp'!AH57</f>
        <v>1516</v>
      </c>
      <c r="AK131">
        <f>'Horsefly Swamp'!AI57</f>
        <v>35</v>
      </c>
      <c r="AL131">
        <f>'Horsefly Swamp'!AJ57</f>
        <v>3</v>
      </c>
      <c r="AM131">
        <f>'Horsefly Swamp'!AK57</f>
        <v>112</v>
      </c>
      <c r="AN131">
        <f>'Horsefly Swamp'!AL57</f>
        <v>0</v>
      </c>
      <c r="AO131">
        <f>'Horsefly Swamp'!AM57</f>
        <v>1598</v>
      </c>
      <c r="AP131">
        <f>'Horsefly Swamp'!AN57</f>
        <v>367</v>
      </c>
      <c r="AQ131">
        <f>'Horsefly Swamp'!AO57</f>
        <v>25</v>
      </c>
      <c r="AR131">
        <f>'Horsefly Swamp'!AP57</f>
        <v>9766</v>
      </c>
      <c r="AS131">
        <f>'Horsefly Swamp'!AQ57</f>
        <v>0.8</v>
      </c>
      <c r="AT131">
        <f>'Horsefly Swamp'!AR57</f>
        <v>1736</v>
      </c>
      <c r="AU131">
        <f>'Horsefly Swamp'!AS57</f>
        <v>353</v>
      </c>
      <c r="AV131">
        <f>'Horsefly Swamp'!AT57</f>
        <v>141</v>
      </c>
      <c r="AW131">
        <f>'Horsefly Swamp'!AU57</f>
        <v>52982</v>
      </c>
      <c r="AX131">
        <f>'Horsefly Swamp'!AV57</f>
        <v>4.4000000000000004</v>
      </c>
    </row>
    <row r="132" spans="1:50">
      <c r="A132" t="str">
        <f>'Horsefly Swamp'!A58</f>
        <v>/Users/christophermarjo/Documents/Python/Projects/data/bushfire Raman/Horsefly Swamp/HF 7.5 (1)</v>
      </c>
      <c r="B132" t="str">
        <f t="shared" si="0"/>
        <v>Horsefly Swamp</v>
      </c>
      <c r="C132">
        <v>7.5</v>
      </c>
      <c r="D132" t="str">
        <f>'Horsefly Swamp'!B58</f>
        <v>14.13 counts</v>
      </c>
      <c r="E132">
        <f>'Horsefly Swamp'!C58</f>
        <v>0.98484400000000005</v>
      </c>
      <c r="F132">
        <f>'Horsefly Swamp'!D58</f>
        <v>1369</v>
      </c>
      <c r="G132">
        <f>'Horsefly Swamp'!E58</f>
        <v>8037</v>
      </c>
      <c r="H132">
        <f>'Horsefly Swamp'!F58</f>
        <v>352</v>
      </c>
      <c r="I132">
        <f>'Horsefly Swamp'!G58</f>
        <v>3011403</v>
      </c>
      <c r="J132">
        <f>'Horsefly Swamp'!H58</f>
        <v>74.7</v>
      </c>
      <c r="K132">
        <f>'Horsefly Swamp'!I58</f>
        <v>1586</v>
      </c>
      <c r="L132">
        <f>'Horsefly Swamp'!J58</f>
        <v>7515</v>
      </c>
      <c r="M132">
        <f>'Horsefly Swamp'!K58</f>
        <v>106</v>
      </c>
      <c r="N132">
        <f>'Horsefly Swamp'!L58</f>
        <v>847944</v>
      </c>
      <c r="O132">
        <f>'Horsefly Swamp'!M58</f>
        <v>21</v>
      </c>
      <c r="P132">
        <f>'Horsefly Swamp'!N58</f>
        <v>1025</v>
      </c>
      <c r="Q132">
        <f>'Horsefly Swamp'!O58</f>
        <v>373</v>
      </c>
      <c r="R132">
        <f>'Horsefly Swamp'!P58</f>
        <v>45</v>
      </c>
      <c r="S132">
        <f>'Horsefly Swamp'!Q58</f>
        <v>17867</v>
      </c>
      <c r="T132">
        <f>'Horsefly Swamp'!R58</f>
        <v>0.4</v>
      </c>
      <c r="U132">
        <f>'Horsefly Swamp'!S58</f>
        <v>1154</v>
      </c>
      <c r="V132">
        <f>'Horsefly Swamp'!T58</f>
        <v>1</v>
      </c>
      <c r="W132">
        <f>'Horsefly Swamp'!U58</f>
        <v>1</v>
      </c>
      <c r="X132">
        <f>'Horsefly Swamp'!V58</f>
        <v>1</v>
      </c>
      <c r="Y132">
        <f>'Horsefly Swamp'!W58</f>
        <v>0</v>
      </c>
      <c r="Z132">
        <f>'Horsefly Swamp'!X58</f>
        <v>1256</v>
      </c>
      <c r="AA132">
        <f>'Horsefly Swamp'!Y58</f>
        <v>1</v>
      </c>
      <c r="AB132">
        <f>'Horsefly Swamp'!Z58</f>
        <v>1</v>
      </c>
      <c r="AC132">
        <f>'Horsefly Swamp'!AA58</f>
        <v>1</v>
      </c>
      <c r="AD132">
        <f>'Horsefly Swamp'!AB58</f>
        <v>0</v>
      </c>
      <c r="AE132">
        <f>'Horsefly Swamp'!AC58</f>
        <v>1402</v>
      </c>
      <c r="AF132">
        <f>'Horsefly Swamp'!AD58</f>
        <v>133</v>
      </c>
      <c r="AG132">
        <f>'Horsefly Swamp'!AE58</f>
        <v>1</v>
      </c>
      <c r="AH132">
        <f>'Horsefly Swamp'!AF58</f>
        <v>142</v>
      </c>
      <c r="AI132">
        <f>'Horsefly Swamp'!AG58</f>
        <v>0</v>
      </c>
      <c r="AJ132">
        <f>'Horsefly Swamp'!AH58</f>
        <v>1498</v>
      </c>
      <c r="AK132">
        <f>'Horsefly Swamp'!AI58</f>
        <v>251</v>
      </c>
      <c r="AL132">
        <f>'Horsefly Swamp'!AJ58</f>
        <v>29</v>
      </c>
      <c r="AM132">
        <f>'Horsefly Swamp'!AK58</f>
        <v>7748</v>
      </c>
      <c r="AN132">
        <f>'Horsefly Swamp'!AL58</f>
        <v>0.2</v>
      </c>
      <c r="AO132">
        <f>'Horsefly Swamp'!AM58</f>
        <v>1598</v>
      </c>
      <c r="AP132">
        <f>'Horsefly Swamp'!AN58</f>
        <v>315</v>
      </c>
      <c r="AQ132">
        <f>'Horsefly Swamp'!AO58</f>
        <v>19</v>
      </c>
      <c r="AR132">
        <f>'Horsefly Swamp'!AP58</f>
        <v>6371</v>
      </c>
      <c r="AS132">
        <f>'Horsefly Swamp'!AQ58</f>
        <v>0.2</v>
      </c>
      <c r="AT132">
        <f>'Horsefly Swamp'!AR58</f>
        <v>1748</v>
      </c>
      <c r="AU132">
        <f>'Horsefly Swamp'!AS58</f>
        <v>663</v>
      </c>
      <c r="AV132">
        <f>'Horsefly Swamp'!AT58</f>
        <v>197</v>
      </c>
      <c r="AW132">
        <f>'Horsefly Swamp'!AU58</f>
        <v>139031</v>
      </c>
      <c r="AX132">
        <f>'Horsefly Swamp'!AV58</f>
        <v>3.4</v>
      </c>
    </row>
    <row r="133" spans="1:50">
      <c r="A133" t="str">
        <f>'Horsefly Swamp'!A59</f>
        <v xml:space="preserve">/Users/christophermarjo/Documents/Python/Projects/data/bushfire Raman/Horsefly Swamp/HF 7.5 (2) </v>
      </c>
      <c r="B133" t="str">
        <f t="shared" si="0"/>
        <v>Horsefly Swamp</v>
      </c>
      <c r="C133">
        <v>7.5</v>
      </c>
      <c r="D133" t="str">
        <f>'Horsefly Swamp'!B59</f>
        <v>706.68 counts</v>
      </c>
      <c r="E133">
        <f>'Horsefly Swamp'!C59</f>
        <v>0.59976600000000002</v>
      </c>
      <c r="F133">
        <f>'Horsefly Swamp'!D59</f>
        <v>1369</v>
      </c>
      <c r="G133">
        <f>'Horsefly Swamp'!E59</f>
        <v>681</v>
      </c>
      <c r="H133">
        <f>'Horsefly Swamp'!F59</f>
        <v>152</v>
      </c>
      <c r="I133">
        <f>'Horsefly Swamp'!G59</f>
        <v>110185</v>
      </c>
      <c r="J133">
        <f>'Horsefly Swamp'!H59</f>
        <v>0.7</v>
      </c>
      <c r="K133">
        <f>'Horsefly Swamp'!I59</f>
        <v>1592</v>
      </c>
      <c r="L133">
        <f>'Horsefly Swamp'!J59</f>
        <v>83049</v>
      </c>
      <c r="M133">
        <f>'Horsefly Swamp'!K59</f>
        <v>110</v>
      </c>
      <c r="N133">
        <f>'Horsefly Swamp'!L59</f>
        <v>9724322</v>
      </c>
      <c r="O133">
        <f>'Horsefly Swamp'!M59</f>
        <v>65.8</v>
      </c>
      <c r="P133">
        <f>'Horsefly Swamp'!N59</f>
        <v>1003</v>
      </c>
      <c r="Q133">
        <f>'Horsefly Swamp'!O59</f>
        <v>1</v>
      </c>
      <c r="R133">
        <f>'Horsefly Swamp'!P59</f>
        <v>1</v>
      </c>
      <c r="S133">
        <f>'Horsefly Swamp'!Q59</f>
        <v>1</v>
      </c>
      <c r="T133">
        <f>'Horsefly Swamp'!R59</f>
        <v>0</v>
      </c>
      <c r="U133">
        <f>'Horsefly Swamp'!S59</f>
        <v>1154</v>
      </c>
      <c r="V133">
        <f>'Horsefly Swamp'!T59</f>
        <v>1</v>
      </c>
      <c r="W133">
        <f>'Horsefly Swamp'!U59</f>
        <v>1</v>
      </c>
      <c r="X133">
        <f>'Horsefly Swamp'!V59</f>
        <v>1</v>
      </c>
      <c r="Y133">
        <f>'Horsefly Swamp'!W59</f>
        <v>0</v>
      </c>
      <c r="Z133">
        <f>'Horsefly Swamp'!X59</f>
        <v>1256</v>
      </c>
      <c r="AA133">
        <f>'Horsefly Swamp'!Y59</f>
        <v>1</v>
      </c>
      <c r="AB133">
        <f>'Horsefly Swamp'!Z59</f>
        <v>1</v>
      </c>
      <c r="AC133">
        <f>'Horsefly Swamp'!AA59</f>
        <v>1</v>
      </c>
      <c r="AD133">
        <f>'Horsefly Swamp'!AB59</f>
        <v>0</v>
      </c>
      <c r="AE133">
        <f>'Horsefly Swamp'!AC59</f>
        <v>1432</v>
      </c>
      <c r="AF133">
        <f>'Horsefly Swamp'!AD59</f>
        <v>9999</v>
      </c>
      <c r="AG133">
        <f>'Horsefly Swamp'!AE59</f>
        <v>145</v>
      </c>
      <c r="AH133">
        <f>'Horsefly Swamp'!AF59</f>
        <v>1543323</v>
      </c>
      <c r="AI133">
        <f>'Horsefly Swamp'!AG59</f>
        <v>10.4</v>
      </c>
      <c r="AJ133">
        <f>'Horsefly Swamp'!AH59</f>
        <v>1480</v>
      </c>
      <c r="AK133">
        <f>'Horsefly Swamp'!AI59</f>
        <v>9999</v>
      </c>
      <c r="AL133">
        <f>'Horsefly Swamp'!AJ59</f>
        <v>147</v>
      </c>
      <c r="AM133">
        <f>'Horsefly Swamp'!AK59</f>
        <v>1564610</v>
      </c>
      <c r="AN133">
        <f>'Horsefly Swamp'!AL59</f>
        <v>10.6</v>
      </c>
      <c r="AO133">
        <f>'Horsefly Swamp'!AM59</f>
        <v>1594</v>
      </c>
      <c r="AP133">
        <f>'Horsefly Swamp'!AN59</f>
        <v>4181</v>
      </c>
      <c r="AQ133">
        <f>'Horsefly Swamp'!AO59</f>
        <v>21</v>
      </c>
      <c r="AR133">
        <f>'Horsefly Swamp'!AP59</f>
        <v>93461</v>
      </c>
      <c r="AS133">
        <f>'Horsefly Swamp'!AQ59</f>
        <v>0.6</v>
      </c>
      <c r="AT133">
        <f>'Horsefly Swamp'!AR59</f>
        <v>1736</v>
      </c>
      <c r="AU133">
        <f>'Horsefly Swamp'!AS59</f>
        <v>9999</v>
      </c>
      <c r="AV133">
        <f>'Horsefly Swamp'!AT59</f>
        <v>163</v>
      </c>
      <c r="AW133">
        <f>'Horsefly Swamp'!AU59</f>
        <v>1734908</v>
      </c>
      <c r="AX133">
        <f>'Horsefly Swamp'!AV59</f>
        <v>11.7</v>
      </c>
    </row>
    <row r="134" spans="1:50">
      <c r="A134" t="str">
        <f>'Horsefly Swamp'!A60</f>
        <v>/Users/christophermarjo/Documents/Python/Projects/data/bushfire Raman/Horsefly Swamp/HF 7.5 (3)</v>
      </c>
      <c r="B134" t="str">
        <f t="shared" si="0"/>
        <v>Horsefly Swamp</v>
      </c>
      <c r="C134">
        <v>7.5</v>
      </c>
      <c r="D134" t="str">
        <f>'Horsefly Swamp'!B60</f>
        <v>1195.97 counts</v>
      </c>
      <c r="E134">
        <f>'Horsefly Swamp'!C60</f>
        <v>-0.52787399999999995</v>
      </c>
      <c r="F134">
        <f>'Horsefly Swamp'!D60</f>
        <v>1335</v>
      </c>
      <c r="G134">
        <f>'Horsefly Swamp'!E60</f>
        <v>1</v>
      </c>
      <c r="H134">
        <f>'Horsefly Swamp'!F60</f>
        <v>100</v>
      </c>
      <c r="I134">
        <f>'Horsefly Swamp'!G60</f>
        <v>106</v>
      </c>
      <c r="J134">
        <f>'Horsefly Swamp'!H60</f>
        <v>0</v>
      </c>
      <c r="K134">
        <f>'Horsefly Swamp'!I60</f>
        <v>1598</v>
      </c>
      <c r="L134">
        <f>'Horsefly Swamp'!J60</f>
        <v>20063</v>
      </c>
      <c r="M134">
        <f>'Horsefly Swamp'!K60</f>
        <v>100</v>
      </c>
      <c r="N134">
        <f>'Horsefly Swamp'!L60</f>
        <v>2135640</v>
      </c>
      <c r="O134">
        <f>'Horsefly Swamp'!M60</f>
        <v>84.4</v>
      </c>
      <c r="P134">
        <f>'Horsefly Swamp'!N60</f>
        <v>1003</v>
      </c>
      <c r="Q134">
        <f>'Horsefly Swamp'!O60</f>
        <v>1</v>
      </c>
      <c r="R134">
        <f>'Horsefly Swamp'!P60</f>
        <v>1</v>
      </c>
      <c r="S134">
        <f>'Horsefly Swamp'!Q60</f>
        <v>1</v>
      </c>
      <c r="T134">
        <f>'Horsefly Swamp'!R60</f>
        <v>0</v>
      </c>
      <c r="U134">
        <f>'Horsefly Swamp'!S60</f>
        <v>1154</v>
      </c>
      <c r="V134">
        <f>'Horsefly Swamp'!T60</f>
        <v>1</v>
      </c>
      <c r="W134">
        <f>'Horsefly Swamp'!U60</f>
        <v>1</v>
      </c>
      <c r="X134">
        <f>'Horsefly Swamp'!V60</f>
        <v>1</v>
      </c>
      <c r="Y134">
        <f>'Horsefly Swamp'!W60</f>
        <v>0</v>
      </c>
      <c r="Z134">
        <f>'Horsefly Swamp'!X60</f>
        <v>1256</v>
      </c>
      <c r="AA134">
        <f>'Horsefly Swamp'!Y60</f>
        <v>1</v>
      </c>
      <c r="AB134">
        <f>'Horsefly Swamp'!Z60</f>
        <v>1</v>
      </c>
      <c r="AC134">
        <f>'Horsefly Swamp'!AA60</f>
        <v>1</v>
      </c>
      <c r="AD134">
        <f>'Horsefly Swamp'!AB60</f>
        <v>0</v>
      </c>
      <c r="AE134">
        <f>'Horsefly Swamp'!AC60</f>
        <v>1416</v>
      </c>
      <c r="AF134">
        <f>'Horsefly Swamp'!AD60</f>
        <v>1</v>
      </c>
      <c r="AG134">
        <f>'Horsefly Swamp'!AE60</f>
        <v>1</v>
      </c>
      <c r="AH134">
        <f>'Horsefly Swamp'!AF60</f>
        <v>1</v>
      </c>
      <c r="AI134">
        <f>'Horsefly Swamp'!AG60</f>
        <v>0</v>
      </c>
      <c r="AJ134">
        <f>'Horsefly Swamp'!AH60</f>
        <v>1492</v>
      </c>
      <c r="AK134">
        <f>'Horsefly Swamp'!AI60</f>
        <v>1</v>
      </c>
      <c r="AL134">
        <f>'Horsefly Swamp'!AJ60</f>
        <v>1</v>
      </c>
      <c r="AM134">
        <f>'Horsefly Swamp'!AK60</f>
        <v>1</v>
      </c>
      <c r="AN134">
        <f>'Horsefly Swamp'!AL60</f>
        <v>0</v>
      </c>
      <c r="AO134">
        <f>'Horsefly Swamp'!AM60</f>
        <v>1592</v>
      </c>
      <c r="AP134">
        <f>'Horsefly Swamp'!AN60</f>
        <v>9999</v>
      </c>
      <c r="AQ134">
        <f>'Horsefly Swamp'!AO60</f>
        <v>37</v>
      </c>
      <c r="AR134">
        <f>'Horsefly Swamp'!AP60</f>
        <v>393813</v>
      </c>
      <c r="AS134">
        <f>'Horsefly Swamp'!AQ60</f>
        <v>15.6</v>
      </c>
      <c r="AT134">
        <f>'Horsefly Swamp'!AR60</f>
        <v>1710</v>
      </c>
      <c r="AU134">
        <f>'Horsefly Swamp'!AS60</f>
        <v>1</v>
      </c>
      <c r="AV134">
        <f>'Horsefly Swamp'!AT60</f>
        <v>1</v>
      </c>
      <c r="AW134">
        <f>'Horsefly Swamp'!AU60</f>
        <v>1</v>
      </c>
      <c r="AX134">
        <f>'Horsefly Swamp'!AV60</f>
        <v>0</v>
      </c>
    </row>
    <row r="135" spans="1:50">
      <c r="A135" t="str">
        <f>'Horsefly Swamp'!A61</f>
        <v>/Users/christophermarjo/Documents/Python/Projects/data/bushfire Raman/Horsefly Swamp/HF 7.5 (4)</v>
      </c>
      <c r="B135" t="str">
        <f t="shared" si="0"/>
        <v>Horsefly Swamp</v>
      </c>
      <c r="C135">
        <v>7.5</v>
      </c>
      <c r="D135" t="str">
        <f>'Horsefly Swamp'!B61</f>
        <v>24.34 counts</v>
      </c>
      <c r="E135">
        <f>'Horsefly Swamp'!C61</f>
        <v>0.98081300000000005</v>
      </c>
      <c r="F135">
        <f>'Horsefly Swamp'!D61</f>
        <v>1369</v>
      </c>
      <c r="G135">
        <f>'Horsefly Swamp'!E61</f>
        <v>11673</v>
      </c>
      <c r="H135">
        <f>'Horsefly Swamp'!F61</f>
        <v>328</v>
      </c>
      <c r="I135">
        <f>'Horsefly Swamp'!G61</f>
        <v>4075572</v>
      </c>
      <c r="J135">
        <f>'Horsefly Swamp'!H61</f>
        <v>68.2</v>
      </c>
      <c r="K135">
        <f>'Horsefly Swamp'!I61</f>
        <v>1588</v>
      </c>
      <c r="L135">
        <f>'Horsefly Swamp'!J61</f>
        <v>12913</v>
      </c>
      <c r="M135">
        <f>'Horsefly Swamp'!K61</f>
        <v>116</v>
      </c>
      <c r="N135">
        <f>'Horsefly Swamp'!L61</f>
        <v>1594474</v>
      </c>
      <c r="O135">
        <f>'Horsefly Swamp'!M61</f>
        <v>26.7</v>
      </c>
      <c r="P135">
        <f>'Horsefly Swamp'!N61</f>
        <v>1035</v>
      </c>
      <c r="Q135">
        <f>'Horsefly Swamp'!O61</f>
        <v>451</v>
      </c>
      <c r="R135">
        <f>'Horsefly Swamp'!P61</f>
        <v>51</v>
      </c>
      <c r="S135">
        <f>'Horsefly Swamp'!Q61</f>
        <v>24484</v>
      </c>
      <c r="T135">
        <f>'Horsefly Swamp'!R61</f>
        <v>0.4</v>
      </c>
      <c r="U135">
        <f>'Horsefly Swamp'!S61</f>
        <v>1154</v>
      </c>
      <c r="V135">
        <f>'Horsefly Swamp'!T61</f>
        <v>1</v>
      </c>
      <c r="W135">
        <f>'Horsefly Swamp'!U61</f>
        <v>1</v>
      </c>
      <c r="X135">
        <f>'Horsefly Swamp'!V61</f>
        <v>1</v>
      </c>
      <c r="Y135">
        <f>'Horsefly Swamp'!W61</f>
        <v>0</v>
      </c>
      <c r="Z135">
        <f>'Horsefly Swamp'!X61</f>
        <v>1256</v>
      </c>
      <c r="AA135">
        <f>'Horsefly Swamp'!Y61</f>
        <v>1</v>
      </c>
      <c r="AB135">
        <f>'Horsefly Swamp'!Z61</f>
        <v>1</v>
      </c>
      <c r="AC135">
        <f>'Horsefly Swamp'!AA61</f>
        <v>1</v>
      </c>
      <c r="AD135">
        <f>'Horsefly Swamp'!AB61</f>
        <v>0</v>
      </c>
      <c r="AE135">
        <f>'Horsefly Swamp'!AC61</f>
        <v>1440</v>
      </c>
      <c r="AF135">
        <f>'Horsefly Swamp'!AD61</f>
        <v>435</v>
      </c>
      <c r="AG135">
        <f>'Horsefly Swamp'!AE61</f>
        <v>117</v>
      </c>
      <c r="AH135">
        <f>'Horsefly Swamp'!AF61</f>
        <v>54176</v>
      </c>
      <c r="AI135">
        <f>'Horsefly Swamp'!AG61</f>
        <v>0.9</v>
      </c>
      <c r="AJ135">
        <f>'Horsefly Swamp'!AH61</f>
        <v>1490</v>
      </c>
      <c r="AK135">
        <f>'Horsefly Swamp'!AI61</f>
        <v>817</v>
      </c>
      <c r="AL135">
        <f>'Horsefly Swamp'!AJ61</f>
        <v>41</v>
      </c>
      <c r="AM135">
        <f>'Horsefly Swamp'!AK61</f>
        <v>35656</v>
      </c>
      <c r="AN135">
        <f>'Horsefly Swamp'!AL61</f>
        <v>0.6</v>
      </c>
      <c r="AO135">
        <f>'Horsefly Swamp'!AM61</f>
        <v>1594</v>
      </c>
      <c r="AP135">
        <f>'Horsefly Swamp'!AN61</f>
        <v>333</v>
      </c>
      <c r="AQ135">
        <f>'Horsefly Swamp'!AO61</f>
        <v>21</v>
      </c>
      <c r="AR135">
        <f>'Horsefly Swamp'!AP61</f>
        <v>7444</v>
      </c>
      <c r="AS135">
        <f>'Horsefly Swamp'!AQ61</f>
        <v>0.1</v>
      </c>
      <c r="AT135">
        <f>'Horsefly Swamp'!AR61</f>
        <v>1738</v>
      </c>
      <c r="AU135">
        <f>'Horsefly Swamp'!AS61</f>
        <v>1613</v>
      </c>
      <c r="AV135">
        <f>'Horsefly Swamp'!AT61</f>
        <v>109</v>
      </c>
      <c r="AW135">
        <f>'Horsefly Swamp'!AU61</f>
        <v>187151</v>
      </c>
      <c r="AX135">
        <f>'Horsefly Swamp'!AV61</f>
        <v>3.1</v>
      </c>
    </row>
    <row r="136" spans="1:50">
      <c r="A136" t="str">
        <f>'Horsefly Swamp'!A62</f>
        <v>/Users/christophermarjo/Documents/Python/Projects/data/bushfire Raman/Horsefly Swamp/HF 7.5 (5)</v>
      </c>
      <c r="B136" t="str">
        <f t="shared" si="0"/>
        <v>Horsefly Swamp</v>
      </c>
      <c r="C136">
        <v>7.5</v>
      </c>
      <c r="D136" t="str">
        <f>'Horsefly Swamp'!B62</f>
        <v>15.32 counts</v>
      </c>
      <c r="E136">
        <f>'Horsefly Swamp'!C62</f>
        <v>0.98241299999999998</v>
      </c>
      <c r="F136">
        <f>'Horsefly Swamp'!D62</f>
        <v>1367</v>
      </c>
      <c r="G136">
        <f>'Horsefly Swamp'!E62</f>
        <v>8397</v>
      </c>
      <c r="H136">
        <f>'Horsefly Swamp'!F62</f>
        <v>352</v>
      </c>
      <c r="I136">
        <f>'Horsefly Swamp'!G62</f>
        <v>3146292</v>
      </c>
      <c r="J136">
        <f>'Horsefly Swamp'!H62</f>
        <v>77.3</v>
      </c>
      <c r="K136">
        <f>'Horsefly Swamp'!I62</f>
        <v>1584</v>
      </c>
      <c r="L136">
        <f>'Horsefly Swamp'!J62</f>
        <v>6421</v>
      </c>
      <c r="M136">
        <f>'Horsefly Swamp'!K62</f>
        <v>114</v>
      </c>
      <c r="N136">
        <f>'Horsefly Swamp'!L62</f>
        <v>779183</v>
      </c>
      <c r="O136">
        <f>'Horsefly Swamp'!M62</f>
        <v>19.100000000000001</v>
      </c>
      <c r="P136">
        <f>'Horsefly Swamp'!N62</f>
        <v>1047</v>
      </c>
      <c r="Q136">
        <f>'Horsefly Swamp'!O62</f>
        <v>213</v>
      </c>
      <c r="R136">
        <f>'Horsefly Swamp'!P62</f>
        <v>61</v>
      </c>
      <c r="S136">
        <f>'Horsefly Swamp'!Q62</f>
        <v>13831</v>
      </c>
      <c r="T136">
        <f>'Horsefly Swamp'!R62</f>
        <v>0.3</v>
      </c>
      <c r="U136">
        <f>'Horsefly Swamp'!S62</f>
        <v>1154</v>
      </c>
      <c r="V136">
        <f>'Horsefly Swamp'!T62</f>
        <v>1</v>
      </c>
      <c r="W136">
        <f>'Horsefly Swamp'!U62</f>
        <v>1</v>
      </c>
      <c r="X136">
        <f>'Horsefly Swamp'!V62</f>
        <v>1</v>
      </c>
      <c r="Y136">
        <f>'Horsefly Swamp'!W62</f>
        <v>0</v>
      </c>
      <c r="Z136">
        <f>'Horsefly Swamp'!X62</f>
        <v>1256</v>
      </c>
      <c r="AA136">
        <f>'Horsefly Swamp'!Y62</f>
        <v>1</v>
      </c>
      <c r="AB136">
        <f>'Horsefly Swamp'!Z62</f>
        <v>1</v>
      </c>
      <c r="AC136">
        <f>'Horsefly Swamp'!AA62</f>
        <v>1</v>
      </c>
      <c r="AD136">
        <f>'Horsefly Swamp'!AB62</f>
        <v>0</v>
      </c>
      <c r="AE136">
        <f>'Horsefly Swamp'!AC62</f>
        <v>1456</v>
      </c>
      <c r="AF136">
        <f>'Horsefly Swamp'!AD62</f>
        <v>129</v>
      </c>
      <c r="AG136">
        <f>'Horsefly Swamp'!AE62</f>
        <v>1</v>
      </c>
      <c r="AH136">
        <f>'Horsefly Swamp'!AF62</f>
        <v>137</v>
      </c>
      <c r="AI136">
        <f>'Horsefly Swamp'!AG62</f>
        <v>0</v>
      </c>
      <c r="AJ136">
        <f>'Horsefly Swamp'!AH62</f>
        <v>1488</v>
      </c>
      <c r="AK136">
        <f>'Horsefly Swamp'!AI62</f>
        <v>339</v>
      </c>
      <c r="AL136">
        <f>'Horsefly Swamp'!AJ62</f>
        <v>19</v>
      </c>
      <c r="AM136">
        <f>'Horsefly Swamp'!AK62</f>
        <v>6856</v>
      </c>
      <c r="AN136">
        <f>'Horsefly Swamp'!AL62</f>
        <v>0.2</v>
      </c>
      <c r="AO136">
        <f>'Horsefly Swamp'!AM62</f>
        <v>1594</v>
      </c>
      <c r="AP136">
        <f>'Horsefly Swamp'!AN62</f>
        <v>355</v>
      </c>
      <c r="AQ136">
        <f>'Horsefly Swamp'!AO62</f>
        <v>19</v>
      </c>
      <c r="AR136">
        <f>'Horsefly Swamp'!AP62</f>
        <v>7180</v>
      </c>
      <c r="AS136">
        <f>'Horsefly Swamp'!AQ62</f>
        <v>0.2</v>
      </c>
      <c r="AT136">
        <f>'Horsefly Swamp'!AR62</f>
        <v>1748</v>
      </c>
      <c r="AU136">
        <f>'Horsefly Swamp'!AS62</f>
        <v>563</v>
      </c>
      <c r="AV136">
        <f>'Horsefly Swamp'!AT62</f>
        <v>199</v>
      </c>
      <c r="AW136">
        <f>'Horsefly Swamp'!AU62</f>
        <v>119260</v>
      </c>
      <c r="AX136">
        <f>'Horsefly Swamp'!AV62</f>
        <v>2.9</v>
      </c>
    </row>
    <row r="137" spans="1:50">
      <c r="A137" t="str">
        <f>'Horsefly Swamp'!A63</f>
        <v>/Users/christophermarjo/Documents/Python/Projects/data/bushfire Raman/Horsefly Swamp/HF 8 (1)</v>
      </c>
      <c r="B137" t="str">
        <f t="shared" si="0"/>
        <v>Horsefly Swamp</v>
      </c>
      <c r="C137">
        <v>8</v>
      </c>
      <c r="D137" t="str">
        <f>'Horsefly Swamp'!B63</f>
        <v>24.39 counts</v>
      </c>
      <c r="E137">
        <f>'Horsefly Swamp'!C63</f>
        <v>0.97968699999999997</v>
      </c>
      <c r="F137">
        <f>'Horsefly Swamp'!D63</f>
        <v>1367</v>
      </c>
      <c r="G137">
        <f>'Horsefly Swamp'!E63</f>
        <v>11681</v>
      </c>
      <c r="H137">
        <f>'Horsefly Swamp'!F63</f>
        <v>310</v>
      </c>
      <c r="I137">
        <f>'Horsefly Swamp'!G63</f>
        <v>3854552</v>
      </c>
      <c r="J137">
        <f>'Horsefly Swamp'!H63</f>
        <v>63.6</v>
      </c>
      <c r="K137">
        <f>'Horsefly Swamp'!I63</f>
        <v>1590</v>
      </c>
      <c r="L137">
        <f>'Horsefly Swamp'!J63</f>
        <v>13725</v>
      </c>
      <c r="M137">
        <f>'Horsefly Swamp'!K63</f>
        <v>112</v>
      </c>
      <c r="N137">
        <f>'Horsefly Swamp'!L63</f>
        <v>1636299</v>
      </c>
      <c r="O137">
        <f>'Horsefly Swamp'!M63</f>
        <v>27</v>
      </c>
      <c r="P137">
        <f>'Horsefly Swamp'!N63</f>
        <v>1033</v>
      </c>
      <c r="Q137">
        <f>'Horsefly Swamp'!O63</f>
        <v>441</v>
      </c>
      <c r="R137">
        <f>'Horsefly Swamp'!P63</f>
        <v>29</v>
      </c>
      <c r="S137">
        <f>'Horsefly Swamp'!Q63</f>
        <v>13613</v>
      </c>
      <c r="T137">
        <f>'Horsefly Swamp'!R63</f>
        <v>0.2</v>
      </c>
      <c r="U137">
        <f>'Horsefly Swamp'!S63</f>
        <v>1156</v>
      </c>
      <c r="V137">
        <f>'Horsefly Swamp'!T63</f>
        <v>247</v>
      </c>
      <c r="W137">
        <f>'Horsefly Swamp'!U63</f>
        <v>11</v>
      </c>
      <c r="X137">
        <f>'Horsefly Swamp'!V63</f>
        <v>2892</v>
      </c>
      <c r="Y137">
        <f>'Horsefly Swamp'!W63</f>
        <v>0</v>
      </c>
      <c r="Z137">
        <f>'Horsefly Swamp'!X63</f>
        <v>1260</v>
      </c>
      <c r="AA137">
        <f>'Horsefly Swamp'!Y63</f>
        <v>1</v>
      </c>
      <c r="AB137">
        <f>'Horsefly Swamp'!Z63</f>
        <v>1</v>
      </c>
      <c r="AC137">
        <f>'Horsefly Swamp'!AA63</f>
        <v>1</v>
      </c>
      <c r="AD137">
        <f>'Horsefly Swamp'!AB63</f>
        <v>0</v>
      </c>
      <c r="AE137">
        <f>'Horsefly Swamp'!AC63</f>
        <v>1434</v>
      </c>
      <c r="AF137">
        <f>'Horsefly Swamp'!AD63</f>
        <v>717</v>
      </c>
      <c r="AG137">
        <f>'Horsefly Swamp'!AE63</f>
        <v>91</v>
      </c>
      <c r="AH137">
        <f>'Horsefly Swamp'!AF63</f>
        <v>69453</v>
      </c>
      <c r="AI137">
        <f>'Horsefly Swamp'!AG63</f>
        <v>1.1000000000000001</v>
      </c>
      <c r="AJ137">
        <f>'Horsefly Swamp'!AH63</f>
        <v>1494</v>
      </c>
      <c r="AK137">
        <f>'Horsefly Swamp'!AI63</f>
        <v>593</v>
      </c>
      <c r="AL137">
        <f>'Horsefly Swamp'!AJ63</f>
        <v>43</v>
      </c>
      <c r="AM137">
        <f>'Horsefly Swamp'!AK63</f>
        <v>27143</v>
      </c>
      <c r="AN137">
        <f>'Horsefly Swamp'!AL63</f>
        <v>0.4</v>
      </c>
      <c r="AO137">
        <f>'Horsefly Swamp'!AM63</f>
        <v>1592</v>
      </c>
      <c r="AP137">
        <f>'Horsefly Swamp'!AN63</f>
        <v>199</v>
      </c>
      <c r="AQ137">
        <f>'Horsefly Swamp'!AO63</f>
        <v>29</v>
      </c>
      <c r="AR137">
        <f>'Horsefly Swamp'!AP63</f>
        <v>6143</v>
      </c>
      <c r="AS137">
        <f>'Horsefly Swamp'!AQ63</f>
        <v>0.1</v>
      </c>
      <c r="AT137">
        <f>'Horsefly Swamp'!AR63</f>
        <v>1748</v>
      </c>
      <c r="AU137">
        <f>'Horsefly Swamp'!AS63</f>
        <v>2133</v>
      </c>
      <c r="AV137">
        <f>'Horsefly Swamp'!AT63</f>
        <v>199</v>
      </c>
      <c r="AW137">
        <f>'Horsefly Swamp'!AU63</f>
        <v>451831</v>
      </c>
      <c r="AX137">
        <f>'Horsefly Swamp'!AV63</f>
        <v>7.5</v>
      </c>
    </row>
    <row r="138" spans="1:50">
      <c r="A138" t="str">
        <f>'Horsefly Swamp'!A64</f>
        <v>/Users/christophermarjo/Documents/Python/Projects/data/bushfire Raman/Horsefly Swamp/HF 8 (2)</v>
      </c>
      <c r="B138" t="str">
        <f t="shared" si="0"/>
        <v>Horsefly Swamp</v>
      </c>
      <c r="C138">
        <v>8</v>
      </c>
      <c r="D138" t="str">
        <f>'Horsefly Swamp'!B64</f>
        <v>16.23 counts</v>
      </c>
      <c r="E138">
        <f>'Horsefly Swamp'!C64</f>
        <v>0.98729299999999998</v>
      </c>
      <c r="F138">
        <f>'Horsefly Swamp'!D64</f>
        <v>1367</v>
      </c>
      <c r="G138">
        <f>'Horsefly Swamp'!E64</f>
        <v>9931</v>
      </c>
      <c r="H138">
        <f>'Horsefly Swamp'!F64</f>
        <v>334</v>
      </c>
      <c r="I138">
        <f>'Horsefly Swamp'!G64</f>
        <v>3530788</v>
      </c>
      <c r="J138">
        <f>'Horsefly Swamp'!H64</f>
        <v>71</v>
      </c>
      <c r="K138">
        <f>'Horsefly Swamp'!I64</f>
        <v>1590</v>
      </c>
      <c r="L138">
        <f>'Horsefly Swamp'!J64</f>
        <v>10703</v>
      </c>
      <c r="M138">
        <f>'Horsefly Swamp'!K64</f>
        <v>104</v>
      </c>
      <c r="N138">
        <f>'Horsefly Swamp'!L64</f>
        <v>1184871</v>
      </c>
      <c r="O138">
        <f>'Horsefly Swamp'!M64</f>
        <v>23.8</v>
      </c>
      <c r="P138">
        <f>'Horsefly Swamp'!N64</f>
        <v>1033</v>
      </c>
      <c r="Q138">
        <f>'Horsefly Swamp'!O64</f>
        <v>333</v>
      </c>
      <c r="R138">
        <f>'Horsefly Swamp'!P64</f>
        <v>69</v>
      </c>
      <c r="S138">
        <f>'Horsefly Swamp'!Q64</f>
        <v>24458</v>
      </c>
      <c r="T138">
        <f>'Horsefly Swamp'!R64</f>
        <v>0.5</v>
      </c>
      <c r="U138">
        <f>'Horsefly Swamp'!S64</f>
        <v>1158</v>
      </c>
      <c r="V138">
        <f>'Horsefly Swamp'!T64</f>
        <v>1</v>
      </c>
      <c r="W138">
        <f>'Horsefly Swamp'!U64</f>
        <v>1</v>
      </c>
      <c r="X138">
        <f>'Horsefly Swamp'!V64</f>
        <v>1</v>
      </c>
      <c r="Y138">
        <f>'Horsefly Swamp'!W64</f>
        <v>0</v>
      </c>
      <c r="Z138">
        <f>'Horsefly Swamp'!X64</f>
        <v>1260</v>
      </c>
      <c r="AA138">
        <f>'Horsefly Swamp'!Y64</f>
        <v>1</v>
      </c>
      <c r="AB138">
        <f>'Horsefly Swamp'!Z64</f>
        <v>1</v>
      </c>
      <c r="AC138">
        <f>'Horsefly Swamp'!AA64</f>
        <v>1</v>
      </c>
      <c r="AD138">
        <f>'Horsefly Swamp'!AB64</f>
        <v>0</v>
      </c>
      <c r="AE138">
        <f>'Horsefly Swamp'!AC64</f>
        <v>1456</v>
      </c>
      <c r="AF138">
        <f>'Horsefly Swamp'!AD64</f>
        <v>93</v>
      </c>
      <c r="AG138">
        <f>'Horsefly Swamp'!AE64</f>
        <v>105</v>
      </c>
      <c r="AH138">
        <f>'Horsefly Swamp'!AF64</f>
        <v>10395</v>
      </c>
      <c r="AI138">
        <f>'Horsefly Swamp'!AG64</f>
        <v>0.2</v>
      </c>
      <c r="AJ138">
        <f>'Horsefly Swamp'!AH64</f>
        <v>1494</v>
      </c>
      <c r="AK138">
        <f>'Horsefly Swamp'!AI64</f>
        <v>419</v>
      </c>
      <c r="AL138">
        <f>'Horsefly Swamp'!AJ64</f>
        <v>33</v>
      </c>
      <c r="AM138">
        <f>'Horsefly Swamp'!AK64</f>
        <v>14718</v>
      </c>
      <c r="AN138">
        <f>'Horsefly Swamp'!AL64</f>
        <v>0.3</v>
      </c>
      <c r="AO138">
        <f>'Horsefly Swamp'!AM64</f>
        <v>1596</v>
      </c>
      <c r="AP138">
        <f>'Horsefly Swamp'!AN64</f>
        <v>483</v>
      </c>
      <c r="AQ138">
        <f>'Horsefly Swamp'!AO64</f>
        <v>23</v>
      </c>
      <c r="AR138">
        <f>'Horsefly Swamp'!AP64</f>
        <v>11825</v>
      </c>
      <c r="AS138">
        <f>'Horsefly Swamp'!AQ64</f>
        <v>0.2</v>
      </c>
      <c r="AT138">
        <f>'Horsefly Swamp'!AR64</f>
        <v>1742</v>
      </c>
      <c r="AU138">
        <f>'Horsefly Swamp'!AS64</f>
        <v>985</v>
      </c>
      <c r="AV138">
        <f>'Horsefly Swamp'!AT64</f>
        <v>187</v>
      </c>
      <c r="AW138">
        <f>'Horsefly Swamp'!AU64</f>
        <v>196070</v>
      </c>
      <c r="AX138">
        <f>'Horsefly Swamp'!AV64</f>
        <v>3.9</v>
      </c>
    </row>
    <row r="139" spans="1:50">
      <c r="A139" t="str">
        <f>'Horsefly Swamp'!A65</f>
        <v>/Users/christophermarjo/Documents/Python/Projects/data/bushfire Raman/Horsefly Swamp/HF 8 (3)</v>
      </c>
      <c r="B139" t="str">
        <f t="shared" si="0"/>
        <v>Horsefly Swamp</v>
      </c>
      <c r="C139">
        <v>8</v>
      </c>
      <c r="D139" t="str">
        <f>'Horsefly Swamp'!B65</f>
        <v>19.15 counts</v>
      </c>
      <c r="E139">
        <f>'Horsefly Swamp'!C65</f>
        <v>0.99138300000000001</v>
      </c>
      <c r="F139">
        <f>'Horsefly Swamp'!D65</f>
        <v>1369</v>
      </c>
      <c r="G139">
        <f>'Horsefly Swamp'!E65</f>
        <v>13869</v>
      </c>
      <c r="H139">
        <f>'Horsefly Swamp'!F65</f>
        <v>316</v>
      </c>
      <c r="I139">
        <f>'Horsefly Swamp'!G65</f>
        <v>4665138</v>
      </c>
      <c r="J139">
        <f>'Horsefly Swamp'!H65</f>
        <v>68.3</v>
      </c>
      <c r="K139">
        <f>'Horsefly Swamp'!I65</f>
        <v>1592</v>
      </c>
      <c r="L139">
        <f>'Horsefly Swamp'!J65</f>
        <v>16411</v>
      </c>
      <c r="M139">
        <f>'Horsefly Swamp'!K65</f>
        <v>100</v>
      </c>
      <c r="N139">
        <f>'Horsefly Swamp'!L65</f>
        <v>1746897</v>
      </c>
      <c r="O139">
        <f>'Horsefly Swamp'!M65</f>
        <v>25.6</v>
      </c>
      <c r="P139">
        <f>'Horsefly Swamp'!N65</f>
        <v>1053</v>
      </c>
      <c r="Q139">
        <f>'Horsefly Swamp'!O65</f>
        <v>525</v>
      </c>
      <c r="R139">
        <f>'Horsefly Swamp'!P65</f>
        <v>83</v>
      </c>
      <c r="S139">
        <f>'Horsefly Swamp'!Q65</f>
        <v>46384</v>
      </c>
      <c r="T139">
        <f>'Horsefly Swamp'!R65</f>
        <v>0.7</v>
      </c>
      <c r="U139">
        <f>'Horsefly Swamp'!S65</f>
        <v>1160</v>
      </c>
      <c r="V139">
        <f>'Horsefly Swamp'!T65</f>
        <v>83</v>
      </c>
      <c r="W139">
        <f>'Horsefly Swamp'!U65</f>
        <v>3</v>
      </c>
      <c r="X139">
        <f>'Horsefly Swamp'!V65</f>
        <v>265</v>
      </c>
      <c r="Y139">
        <f>'Horsefly Swamp'!W65</f>
        <v>0</v>
      </c>
      <c r="Z139">
        <f>'Horsefly Swamp'!X65</f>
        <v>1260</v>
      </c>
      <c r="AA139">
        <f>'Horsefly Swamp'!Y65</f>
        <v>1</v>
      </c>
      <c r="AB139">
        <f>'Horsefly Swamp'!Z65</f>
        <v>1</v>
      </c>
      <c r="AC139">
        <f>'Horsefly Swamp'!AA65</f>
        <v>1</v>
      </c>
      <c r="AD139">
        <f>'Horsefly Swamp'!AB65</f>
        <v>0</v>
      </c>
      <c r="AE139">
        <f>'Horsefly Swamp'!AC65</f>
        <v>1402</v>
      </c>
      <c r="AF139">
        <f>'Horsefly Swamp'!AD65</f>
        <v>29</v>
      </c>
      <c r="AG139">
        <f>'Horsefly Swamp'!AE65</f>
        <v>105</v>
      </c>
      <c r="AH139">
        <f>'Horsefly Swamp'!AF65</f>
        <v>3241</v>
      </c>
      <c r="AI139">
        <f>'Horsefly Swamp'!AG65</f>
        <v>0</v>
      </c>
      <c r="AJ139">
        <f>'Horsefly Swamp'!AH65</f>
        <v>1494</v>
      </c>
      <c r="AK139">
        <f>'Horsefly Swamp'!AI65</f>
        <v>507</v>
      </c>
      <c r="AL139">
        <f>'Horsefly Swamp'!AJ65</f>
        <v>27</v>
      </c>
      <c r="AM139">
        <f>'Horsefly Swamp'!AK65</f>
        <v>14571</v>
      </c>
      <c r="AN139">
        <f>'Horsefly Swamp'!AL65</f>
        <v>0.2</v>
      </c>
      <c r="AO139">
        <f>'Horsefly Swamp'!AM65</f>
        <v>1596</v>
      </c>
      <c r="AP139">
        <f>'Horsefly Swamp'!AN65</f>
        <v>1533</v>
      </c>
      <c r="AQ139">
        <f>'Horsefly Swamp'!AO65</f>
        <v>29</v>
      </c>
      <c r="AR139">
        <f>'Horsefly Swamp'!AP65</f>
        <v>47323</v>
      </c>
      <c r="AS139">
        <f>'Horsefly Swamp'!AQ65</f>
        <v>0.7</v>
      </c>
      <c r="AT139">
        <f>'Horsefly Swamp'!AR65</f>
        <v>1732</v>
      </c>
      <c r="AU139">
        <f>'Horsefly Swamp'!AS65</f>
        <v>1603</v>
      </c>
      <c r="AV139">
        <f>'Horsefly Swamp'!AT65</f>
        <v>179</v>
      </c>
      <c r="AW139">
        <f>'Horsefly Swamp'!AU65</f>
        <v>305435</v>
      </c>
      <c r="AX139">
        <f>'Horsefly Swamp'!AV65</f>
        <v>4.5</v>
      </c>
    </row>
    <row r="140" spans="1:50">
      <c r="A140" t="str">
        <f>'Horsefly Swamp'!A66</f>
        <v>/Users/christophermarjo/Documents/Python/Projects/data/bushfire Raman/Horsefly Swamp/HF 8 (4)</v>
      </c>
      <c r="B140" t="str">
        <f t="shared" si="0"/>
        <v>Horsefly Swamp</v>
      </c>
      <c r="C140">
        <v>8</v>
      </c>
      <c r="D140" t="str">
        <f>'Horsefly Swamp'!B66</f>
        <v>18.02 counts</v>
      </c>
      <c r="E140">
        <f>'Horsefly Swamp'!C66</f>
        <v>0.99070000000000003</v>
      </c>
      <c r="F140">
        <f>'Horsefly Swamp'!D66</f>
        <v>1369</v>
      </c>
      <c r="G140">
        <f>'Horsefly Swamp'!E66</f>
        <v>12833</v>
      </c>
      <c r="H140">
        <f>'Horsefly Swamp'!F66</f>
        <v>326</v>
      </c>
      <c r="I140">
        <f>'Horsefly Swamp'!G66</f>
        <v>4453260</v>
      </c>
      <c r="J140">
        <f>'Horsefly Swamp'!H66</f>
        <v>70.8</v>
      </c>
      <c r="K140">
        <f>'Horsefly Swamp'!I66</f>
        <v>1590</v>
      </c>
      <c r="L140">
        <f>'Horsefly Swamp'!J66</f>
        <v>14087</v>
      </c>
      <c r="M140">
        <f>'Horsefly Swamp'!K66</f>
        <v>102</v>
      </c>
      <c r="N140">
        <f>'Horsefly Swamp'!L66</f>
        <v>1529505</v>
      </c>
      <c r="O140">
        <f>'Horsefly Swamp'!M66</f>
        <v>24.3</v>
      </c>
      <c r="P140">
        <f>'Horsefly Swamp'!N66</f>
        <v>1041</v>
      </c>
      <c r="Q140">
        <f>'Horsefly Swamp'!O66</f>
        <v>401</v>
      </c>
      <c r="R140">
        <f>'Horsefly Swamp'!P66</f>
        <v>61</v>
      </c>
      <c r="S140">
        <f>'Horsefly Swamp'!Q66</f>
        <v>26038</v>
      </c>
      <c r="T140">
        <f>'Horsefly Swamp'!R66</f>
        <v>0.4</v>
      </c>
      <c r="U140">
        <f>'Horsefly Swamp'!S66</f>
        <v>1158</v>
      </c>
      <c r="V140">
        <f>'Horsefly Swamp'!T66</f>
        <v>1</v>
      </c>
      <c r="W140">
        <f>'Horsefly Swamp'!U66</f>
        <v>1</v>
      </c>
      <c r="X140">
        <f>'Horsefly Swamp'!V66</f>
        <v>1</v>
      </c>
      <c r="Y140">
        <f>'Horsefly Swamp'!W66</f>
        <v>0</v>
      </c>
      <c r="Z140">
        <f>'Horsefly Swamp'!X66</f>
        <v>1260</v>
      </c>
      <c r="AA140">
        <f>'Horsefly Swamp'!Y66</f>
        <v>1</v>
      </c>
      <c r="AB140">
        <f>'Horsefly Swamp'!Z66</f>
        <v>1</v>
      </c>
      <c r="AC140">
        <f>'Horsefly Swamp'!AA66</f>
        <v>1</v>
      </c>
      <c r="AD140">
        <f>'Horsefly Swamp'!AB66</f>
        <v>0</v>
      </c>
      <c r="AE140">
        <f>'Horsefly Swamp'!AC66</f>
        <v>1456</v>
      </c>
      <c r="AF140">
        <f>'Horsefly Swamp'!AD66</f>
        <v>283</v>
      </c>
      <c r="AG140">
        <f>'Horsefly Swamp'!AE66</f>
        <v>5</v>
      </c>
      <c r="AH140">
        <f>'Horsefly Swamp'!AF66</f>
        <v>1506</v>
      </c>
      <c r="AI140">
        <f>'Horsefly Swamp'!AG66</f>
        <v>0</v>
      </c>
      <c r="AJ140">
        <f>'Horsefly Swamp'!AH66</f>
        <v>1494</v>
      </c>
      <c r="AK140">
        <f>'Horsefly Swamp'!AI66</f>
        <v>509</v>
      </c>
      <c r="AL140">
        <f>'Horsefly Swamp'!AJ66</f>
        <v>39</v>
      </c>
      <c r="AM140">
        <f>'Horsefly Swamp'!AK66</f>
        <v>21131</v>
      </c>
      <c r="AN140">
        <f>'Horsefly Swamp'!AL66</f>
        <v>0.3</v>
      </c>
      <c r="AO140">
        <f>'Horsefly Swamp'!AM66</f>
        <v>1598</v>
      </c>
      <c r="AP140">
        <f>'Horsefly Swamp'!AN66</f>
        <v>1093</v>
      </c>
      <c r="AQ140">
        <f>'Horsefly Swamp'!AO66</f>
        <v>21</v>
      </c>
      <c r="AR140">
        <f>'Horsefly Swamp'!AP66</f>
        <v>24433</v>
      </c>
      <c r="AS140">
        <f>'Horsefly Swamp'!AQ66</f>
        <v>0.4</v>
      </c>
      <c r="AT140">
        <f>'Horsefly Swamp'!AR66</f>
        <v>1736</v>
      </c>
      <c r="AU140">
        <f>'Horsefly Swamp'!AS66</f>
        <v>1301</v>
      </c>
      <c r="AV140">
        <f>'Horsefly Swamp'!AT66</f>
        <v>171</v>
      </c>
      <c r="AW140">
        <f>'Horsefly Swamp'!AU66</f>
        <v>236813</v>
      </c>
      <c r="AX140">
        <f>'Horsefly Swamp'!AV66</f>
        <v>3.8</v>
      </c>
    </row>
    <row r="141" spans="1:50">
      <c r="A141" t="str">
        <f>'Horsefly Swamp'!A67</f>
        <v>/Users/christophermarjo/Documents/Python/Projects/data/bushfire Raman/Horsefly Swamp/HF 8 (5)</v>
      </c>
      <c r="B141" t="str">
        <f t="shared" ref="B141:B146" si="1">MID(A141,71,14)</f>
        <v>Horsefly Swamp</v>
      </c>
      <c r="C141">
        <v>8</v>
      </c>
      <c r="D141" t="str">
        <f>'Horsefly Swamp'!B67</f>
        <v>58.03 counts</v>
      </c>
      <c r="E141">
        <f>'Horsefly Swamp'!C67</f>
        <v>0.97318899999999997</v>
      </c>
      <c r="F141">
        <f>'Horsefly Swamp'!D67</f>
        <v>1367</v>
      </c>
      <c r="G141">
        <f>'Horsefly Swamp'!E67</f>
        <v>22001</v>
      </c>
      <c r="H141">
        <f>'Horsefly Swamp'!F67</f>
        <v>258</v>
      </c>
      <c r="I141">
        <f>'Horsefly Swamp'!G67</f>
        <v>6042190</v>
      </c>
      <c r="J141">
        <f>'Horsefly Swamp'!H67</f>
        <v>61</v>
      </c>
      <c r="K141">
        <f>'Horsefly Swamp'!I67</f>
        <v>1592</v>
      </c>
      <c r="L141">
        <f>'Horsefly Swamp'!J67</f>
        <v>30137</v>
      </c>
      <c r="M141">
        <f>'Horsefly Swamp'!K67</f>
        <v>100</v>
      </c>
      <c r="N141">
        <f>'Horsefly Swamp'!L67</f>
        <v>3207984</v>
      </c>
      <c r="O141">
        <f>'Horsefly Swamp'!M67</f>
        <v>32.4</v>
      </c>
      <c r="P141">
        <f>'Horsefly Swamp'!N67</f>
        <v>1025</v>
      </c>
      <c r="Q141">
        <f>'Horsefly Swamp'!O67</f>
        <v>809</v>
      </c>
      <c r="R141">
        <f>'Horsefly Swamp'!P67</f>
        <v>1</v>
      </c>
      <c r="S141">
        <f>'Horsefly Swamp'!Q67</f>
        <v>861</v>
      </c>
      <c r="T141">
        <f>'Horsefly Swamp'!R67</f>
        <v>0</v>
      </c>
      <c r="U141">
        <f>'Horsefly Swamp'!S67</f>
        <v>1160</v>
      </c>
      <c r="V141">
        <f>'Horsefly Swamp'!T67</f>
        <v>2553</v>
      </c>
      <c r="W141">
        <f>'Horsefly Swamp'!U67</f>
        <v>33</v>
      </c>
      <c r="X141">
        <f>'Horsefly Swamp'!V67</f>
        <v>89680</v>
      </c>
      <c r="Y141">
        <f>'Horsefly Swamp'!W67</f>
        <v>0.9</v>
      </c>
      <c r="Z141">
        <f>'Horsefly Swamp'!X67</f>
        <v>1260</v>
      </c>
      <c r="AA141">
        <f>'Horsefly Swamp'!Y67</f>
        <v>1</v>
      </c>
      <c r="AB141">
        <f>'Horsefly Swamp'!Z67</f>
        <v>1</v>
      </c>
      <c r="AC141">
        <f>'Horsefly Swamp'!AA67</f>
        <v>1</v>
      </c>
      <c r="AD141">
        <f>'Horsefly Swamp'!AB67</f>
        <v>0</v>
      </c>
      <c r="AE141">
        <f>'Horsefly Swamp'!AC67</f>
        <v>1450</v>
      </c>
      <c r="AF141">
        <f>'Horsefly Swamp'!AD67</f>
        <v>401</v>
      </c>
      <c r="AG141">
        <f>'Horsefly Swamp'!AE67</f>
        <v>173</v>
      </c>
      <c r="AH141">
        <f>'Horsefly Swamp'!AF67</f>
        <v>73845</v>
      </c>
      <c r="AI141">
        <f>'Horsefly Swamp'!AG67</f>
        <v>0.7</v>
      </c>
      <c r="AJ141">
        <f>'Horsefly Swamp'!AH67</f>
        <v>1486</v>
      </c>
      <c r="AK141">
        <f>'Horsefly Swamp'!AI67</f>
        <v>2965</v>
      </c>
      <c r="AL141">
        <f>'Horsefly Swamp'!AJ67</f>
        <v>43</v>
      </c>
      <c r="AM141">
        <f>'Horsefly Swamp'!AK67</f>
        <v>135714</v>
      </c>
      <c r="AN141">
        <f>'Horsefly Swamp'!AL67</f>
        <v>1.4</v>
      </c>
      <c r="AO141">
        <f>'Horsefly Swamp'!AM67</f>
        <v>1592</v>
      </c>
      <c r="AP141">
        <f>'Horsefly Swamp'!AN67</f>
        <v>6609</v>
      </c>
      <c r="AQ141">
        <f>'Horsefly Swamp'!AO67</f>
        <v>31</v>
      </c>
      <c r="AR141">
        <f>'Horsefly Swamp'!AP67</f>
        <v>218087</v>
      </c>
      <c r="AS141">
        <f>'Horsefly Swamp'!AQ67</f>
        <v>2.2000000000000002</v>
      </c>
      <c r="AT141">
        <f>'Horsefly Swamp'!AR67</f>
        <v>1716</v>
      </c>
      <c r="AU141">
        <f>'Horsefly Swamp'!AS67</f>
        <v>2023</v>
      </c>
      <c r="AV141">
        <f>'Horsefly Swamp'!AT67</f>
        <v>67</v>
      </c>
      <c r="AW141">
        <f>'Horsefly Swamp'!AU67</f>
        <v>144279</v>
      </c>
      <c r="AX141">
        <f>'Horsefly Swamp'!AV67</f>
        <v>1.5</v>
      </c>
    </row>
    <row r="142" spans="1:50">
      <c r="A142" t="str">
        <f>'Horsefly Swamp'!A68</f>
        <v>/Users/christophermarjo/Documents/Python/Projects/data/bushfire Raman/Horsefly Swamp/HF 9 (1)</v>
      </c>
      <c r="B142" t="str">
        <f t="shared" si="1"/>
        <v>Horsefly Swamp</v>
      </c>
      <c r="C142">
        <v>9</v>
      </c>
      <c r="D142" t="str">
        <f>'Horsefly Swamp'!B68</f>
        <v>10.84 counts</v>
      </c>
      <c r="E142">
        <f>'Horsefly Swamp'!C68</f>
        <v>0.99200699999999997</v>
      </c>
      <c r="F142">
        <f>'Horsefly Swamp'!D68</f>
        <v>1369</v>
      </c>
      <c r="G142">
        <f>'Horsefly Swamp'!E68</f>
        <v>8507</v>
      </c>
      <c r="H142">
        <f>'Horsefly Swamp'!F68</f>
        <v>332</v>
      </c>
      <c r="I142">
        <f>'Horsefly Swamp'!G68</f>
        <v>3006400</v>
      </c>
      <c r="J142">
        <f>'Horsefly Swamp'!H68</f>
        <v>71.7</v>
      </c>
      <c r="K142">
        <f>'Horsefly Swamp'!I68</f>
        <v>1586</v>
      </c>
      <c r="L142">
        <f>'Horsefly Swamp'!J68</f>
        <v>8421</v>
      </c>
      <c r="M142">
        <f>'Horsefly Swamp'!K68</f>
        <v>108</v>
      </c>
      <c r="N142">
        <f>'Horsefly Swamp'!L68</f>
        <v>968099</v>
      </c>
      <c r="O142">
        <f>'Horsefly Swamp'!M68</f>
        <v>23.1</v>
      </c>
      <c r="P142">
        <f>'Horsefly Swamp'!N68</f>
        <v>1043</v>
      </c>
      <c r="Q142">
        <f>'Horsefly Swamp'!O68</f>
        <v>377</v>
      </c>
      <c r="R142">
        <f>'Horsefly Swamp'!P68</f>
        <v>59</v>
      </c>
      <c r="S142">
        <f>'Horsefly Swamp'!Q68</f>
        <v>23677</v>
      </c>
      <c r="T142">
        <f>'Horsefly Swamp'!R68</f>
        <v>0.6</v>
      </c>
      <c r="U142">
        <f>'Horsefly Swamp'!S68</f>
        <v>1156</v>
      </c>
      <c r="V142">
        <f>'Horsefly Swamp'!T68</f>
        <v>1</v>
      </c>
      <c r="W142">
        <f>'Horsefly Swamp'!U68</f>
        <v>1</v>
      </c>
      <c r="X142">
        <f>'Horsefly Swamp'!V68</f>
        <v>1</v>
      </c>
      <c r="Y142">
        <f>'Horsefly Swamp'!W68</f>
        <v>0</v>
      </c>
      <c r="Z142">
        <f>'Horsefly Swamp'!X68</f>
        <v>1260</v>
      </c>
      <c r="AA142">
        <f>'Horsefly Swamp'!Y68</f>
        <v>1</v>
      </c>
      <c r="AB142">
        <f>'Horsefly Swamp'!Z68</f>
        <v>1</v>
      </c>
      <c r="AC142">
        <f>'Horsefly Swamp'!AA68</f>
        <v>1</v>
      </c>
      <c r="AD142">
        <f>'Horsefly Swamp'!AB68</f>
        <v>0</v>
      </c>
      <c r="AE142">
        <f>'Horsefly Swamp'!AC68</f>
        <v>1456</v>
      </c>
      <c r="AF142">
        <f>'Horsefly Swamp'!AD68</f>
        <v>47</v>
      </c>
      <c r="AG142">
        <f>'Horsefly Swamp'!AE68</f>
        <v>51</v>
      </c>
      <c r="AH142">
        <f>'Horsefly Swamp'!AF68</f>
        <v>2552</v>
      </c>
      <c r="AI142">
        <f>'Horsefly Swamp'!AG68</f>
        <v>0.1</v>
      </c>
      <c r="AJ142">
        <f>'Horsefly Swamp'!AH68</f>
        <v>1492</v>
      </c>
      <c r="AK142">
        <f>'Horsefly Swamp'!AI68</f>
        <v>279</v>
      </c>
      <c r="AL142">
        <f>'Horsefly Swamp'!AJ68</f>
        <v>41</v>
      </c>
      <c r="AM142">
        <f>'Horsefly Swamp'!AK68</f>
        <v>12176</v>
      </c>
      <c r="AN142">
        <f>'Horsefly Swamp'!AL68</f>
        <v>0.3</v>
      </c>
      <c r="AO142">
        <f>'Horsefly Swamp'!AM68</f>
        <v>1598</v>
      </c>
      <c r="AP142">
        <f>'Horsefly Swamp'!AN68</f>
        <v>377</v>
      </c>
      <c r="AQ142">
        <f>'Horsefly Swamp'!AO68</f>
        <v>13</v>
      </c>
      <c r="AR142">
        <f>'Horsefly Swamp'!AP68</f>
        <v>5217</v>
      </c>
      <c r="AS142">
        <f>'Horsefly Swamp'!AQ68</f>
        <v>0.1</v>
      </c>
      <c r="AT142">
        <f>'Horsefly Swamp'!AR68</f>
        <v>1748</v>
      </c>
      <c r="AU142">
        <f>'Horsefly Swamp'!AS68</f>
        <v>819</v>
      </c>
      <c r="AV142">
        <f>'Horsefly Swamp'!AT68</f>
        <v>199</v>
      </c>
      <c r="AW142">
        <f>'Horsefly Swamp'!AU68</f>
        <v>173488</v>
      </c>
      <c r="AX142">
        <f>'Horsefly Swamp'!AV68</f>
        <v>4.0999999999999996</v>
      </c>
    </row>
    <row r="143" spans="1:50">
      <c r="A143" t="str">
        <f>'Horsefly Swamp'!A69</f>
        <v>/Users/christophermarjo/Documents/Python/Projects/data/bushfire Raman/Horsefly Swamp/HF 9 (2)</v>
      </c>
      <c r="B143" t="str">
        <f t="shared" si="1"/>
        <v>Horsefly Swamp</v>
      </c>
      <c r="C143">
        <v>9</v>
      </c>
      <c r="D143" t="str">
        <f>'Horsefly Swamp'!B69</f>
        <v>11.19 counts</v>
      </c>
      <c r="E143">
        <f>'Horsefly Swamp'!C69</f>
        <v>0.99178200000000005</v>
      </c>
      <c r="F143">
        <f>'Horsefly Swamp'!D69</f>
        <v>1369</v>
      </c>
      <c r="G143">
        <f>'Horsefly Swamp'!E69</f>
        <v>8449</v>
      </c>
      <c r="H143">
        <f>'Horsefly Swamp'!F69</f>
        <v>344</v>
      </c>
      <c r="I143">
        <f>'Horsefly Swamp'!G69</f>
        <v>3093827</v>
      </c>
      <c r="J143">
        <f>'Horsefly Swamp'!H69</f>
        <v>74.7</v>
      </c>
      <c r="K143">
        <f>'Horsefly Swamp'!I69</f>
        <v>1588</v>
      </c>
      <c r="L143">
        <f>'Horsefly Swamp'!J69</f>
        <v>8355</v>
      </c>
      <c r="M143">
        <f>'Horsefly Swamp'!K69</f>
        <v>106</v>
      </c>
      <c r="N143">
        <f>'Horsefly Swamp'!L69</f>
        <v>942724</v>
      </c>
      <c r="O143">
        <f>'Horsefly Swamp'!M69</f>
        <v>22.7</v>
      </c>
      <c r="P143">
        <f>'Horsefly Swamp'!N69</f>
        <v>1027</v>
      </c>
      <c r="Q143">
        <f>'Horsefly Swamp'!O69</f>
        <v>271</v>
      </c>
      <c r="R143">
        <f>'Horsefly Swamp'!P69</f>
        <v>53</v>
      </c>
      <c r="S143">
        <f>'Horsefly Swamp'!Q69</f>
        <v>15289</v>
      </c>
      <c r="T143">
        <f>'Horsefly Swamp'!R69</f>
        <v>0.4</v>
      </c>
      <c r="U143">
        <f>'Horsefly Swamp'!S69</f>
        <v>1158</v>
      </c>
      <c r="V143">
        <f>'Horsefly Swamp'!T69</f>
        <v>1</v>
      </c>
      <c r="W143">
        <f>'Horsefly Swamp'!U69</f>
        <v>1</v>
      </c>
      <c r="X143">
        <f>'Horsefly Swamp'!V69</f>
        <v>1</v>
      </c>
      <c r="Y143">
        <f>'Horsefly Swamp'!W69</f>
        <v>0</v>
      </c>
      <c r="Z143">
        <f>'Horsefly Swamp'!X69</f>
        <v>1260</v>
      </c>
      <c r="AA143">
        <f>'Horsefly Swamp'!Y69</f>
        <v>1</v>
      </c>
      <c r="AB143">
        <f>'Horsefly Swamp'!Z69</f>
        <v>1</v>
      </c>
      <c r="AC143">
        <f>'Horsefly Swamp'!AA69</f>
        <v>1</v>
      </c>
      <c r="AD143">
        <f>'Horsefly Swamp'!AB69</f>
        <v>0</v>
      </c>
      <c r="AE143">
        <f>'Horsefly Swamp'!AC69</f>
        <v>1402</v>
      </c>
      <c r="AF143">
        <f>'Horsefly Swamp'!AD69</f>
        <v>71</v>
      </c>
      <c r="AG143">
        <f>'Horsefly Swamp'!AE69</f>
        <v>1</v>
      </c>
      <c r="AH143">
        <f>'Horsefly Swamp'!AF69</f>
        <v>76</v>
      </c>
      <c r="AI143">
        <f>'Horsefly Swamp'!AG69</f>
        <v>0</v>
      </c>
      <c r="AJ143">
        <f>'Horsefly Swamp'!AH69</f>
        <v>1490</v>
      </c>
      <c r="AK143">
        <f>'Horsefly Swamp'!AI69</f>
        <v>285</v>
      </c>
      <c r="AL143">
        <f>'Horsefly Swamp'!AJ69</f>
        <v>31</v>
      </c>
      <c r="AM143">
        <f>'Horsefly Swamp'!AK69</f>
        <v>9405</v>
      </c>
      <c r="AN143">
        <f>'Horsefly Swamp'!AL69</f>
        <v>0.2</v>
      </c>
      <c r="AO143">
        <f>'Horsefly Swamp'!AM69</f>
        <v>1596</v>
      </c>
      <c r="AP143">
        <f>'Horsefly Swamp'!AN69</f>
        <v>169</v>
      </c>
      <c r="AQ143">
        <f>'Horsefly Swamp'!AO69</f>
        <v>23</v>
      </c>
      <c r="AR143">
        <f>'Horsefly Swamp'!AP69</f>
        <v>4138</v>
      </c>
      <c r="AS143">
        <f>'Horsefly Swamp'!AQ69</f>
        <v>0.1</v>
      </c>
      <c r="AT143">
        <f>'Horsefly Swamp'!AR69</f>
        <v>1732</v>
      </c>
      <c r="AU143">
        <f>'Horsefly Swamp'!AS69</f>
        <v>575</v>
      </c>
      <c r="AV143">
        <f>'Horsefly Swamp'!AT69</f>
        <v>129</v>
      </c>
      <c r="AW143">
        <f>'Horsefly Swamp'!AU69</f>
        <v>78957</v>
      </c>
      <c r="AX143">
        <f>'Horsefly Swamp'!AV69</f>
        <v>1.9</v>
      </c>
    </row>
    <row r="144" spans="1:50">
      <c r="A144" t="str">
        <f>'Horsefly Swamp'!A70</f>
        <v>/Users/christophermarjo/Documents/Python/Projects/data/bushfire Raman/Horsefly Swamp/HF 9 (3)</v>
      </c>
      <c r="B144" t="str">
        <f t="shared" si="1"/>
        <v>Horsefly Swamp</v>
      </c>
      <c r="C144">
        <v>9</v>
      </c>
      <c r="D144" t="str">
        <f>'Horsefly Swamp'!B70</f>
        <v>10.95 counts</v>
      </c>
      <c r="E144">
        <f>'Horsefly Swamp'!C70</f>
        <v>0.99213499999999999</v>
      </c>
      <c r="F144">
        <f>'Horsefly Swamp'!D70</f>
        <v>1369</v>
      </c>
      <c r="G144">
        <f>'Horsefly Swamp'!E70</f>
        <v>8603</v>
      </c>
      <c r="H144">
        <f>'Horsefly Swamp'!F70</f>
        <v>336</v>
      </c>
      <c r="I144">
        <f>'Horsefly Swamp'!G70</f>
        <v>3076957</v>
      </c>
      <c r="J144">
        <f>'Horsefly Swamp'!H70</f>
        <v>73.5</v>
      </c>
      <c r="K144">
        <f>'Horsefly Swamp'!I70</f>
        <v>1586</v>
      </c>
      <c r="L144">
        <f>'Horsefly Swamp'!J70</f>
        <v>8467</v>
      </c>
      <c r="M144">
        <f>'Horsefly Swamp'!K70</f>
        <v>106</v>
      </c>
      <c r="N144">
        <f>'Horsefly Swamp'!L70</f>
        <v>955361</v>
      </c>
      <c r="O144">
        <f>'Horsefly Swamp'!M70</f>
        <v>22.8</v>
      </c>
      <c r="P144">
        <f>'Horsefly Swamp'!N70</f>
        <v>1051</v>
      </c>
      <c r="Q144">
        <f>'Horsefly Swamp'!O70</f>
        <v>399</v>
      </c>
      <c r="R144">
        <f>'Horsefly Swamp'!P70</f>
        <v>35</v>
      </c>
      <c r="S144">
        <f>'Horsefly Swamp'!Q70</f>
        <v>14865</v>
      </c>
      <c r="T144">
        <f>'Horsefly Swamp'!R70</f>
        <v>0.4</v>
      </c>
      <c r="U144">
        <f>'Horsefly Swamp'!S70</f>
        <v>1158</v>
      </c>
      <c r="V144">
        <f>'Horsefly Swamp'!T70</f>
        <v>1</v>
      </c>
      <c r="W144">
        <f>'Horsefly Swamp'!U70</f>
        <v>1</v>
      </c>
      <c r="X144">
        <f>'Horsefly Swamp'!V70</f>
        <v>1</v>
      </c>
      <c r="Y144">
        <f>'Horsefly Swamp'!W70</f>
        <v>0</v>
      </c>
      <c r="Z144">
        <f>'Horsefly Swamp'!X70</f>
        <v>1260</v>
      </c>
      <c r="AA144">
        <f>'Horsefly Swamp'!Y70</f>
        <v>1</v>
      </c>
      <c r="AB144">
        <f>'Horsefly Swamp'!Z70</f>
        <v>1</v>
      </c>
      <c r="AC144">
        <f>'Horsefly Swamp'!AA70</f>
        <v>1</v>
      </c>
      <c r="AD144">
        <f>'Horsefly Swamp'!AB70</f>
        <v>0</v>
      </c>
      <c r="AE144">
        <f>'Horsefly Swamp'!AC70</f>
        <v>1450</v>
      </c>
      <c r="AF144">
        <f>'Horsefly Swamp'!AD70</f>
        <v>25</v>
      </c>
      <c r="AG144">
        <f>'Horsefly Swamp'!AE70</f>
        <v>1</v>
      </c>
      <c r="AH144">
        <f>'Horsefly Swamp'!AF70</f>
        <v>27</v>
      </c>
      <c r="AI144">
        <f>'Horsefly Swamp'!AG70</f>
        <v>0</v>
      </c>
      <c r="AJ144">
        <f>'Horsefly Swamp'!AH70</f>
        <v>1488</v>
      </c>
      <c r="AK144">
        <f>'Horsefly Swamp'!AI70</f>
        <v>249</v>
      </c>
      <c r="AL144">
        <f>'Horsefly Swamp'!AJ70</f>
        <v>35</v>
      </c>
      <c r="AM144">
        <f>'Horsefly Swamp'!AK70</f>
        <v>9277</v>
      </c>
      <c r="AN144">
        <f>'Horsefly Swamp'!AL70</f>
        <v>0.2</v>
      </c>
      <c r="AO144">
        <f>'Horsefly Swamp'!AM70</f>
        <v>1592</v>
      </c>
      <c r="AP144">
        <f>'Horsefly Swamp'!AN70</f>
        <v>249</v>
      </c>
      <c r="AQ144">
        <f>'Horsefly Swamp'!AO70</f>
        <v>15</v>
      </c>
      <c r="AR144">
        <f>'Horsefly Swamp'!AP70</f>
        <v>3976</v>
      </c>
      <c r="AS144">
        <f>'Horsefly Swamp'!AQ70</f>
        <v>0.1</v>
      </c>
      <c r="AT144">
        <f>'Horsefly Swamp'!AR70</f>
        <v>1748</v>
      </c>
      <c r="AU144">
        <f>'Horsefly Swamp'!AS70</f>
        <v>623</v>
      </c>
      <c r="AV144">
        <f>'Horsefly Swamp'!AT70</f>
        <v>187</v>
      </c>
      <c r="AW144">
        <f>'Horsefly Swamp'!AU70</f>
        <v>124011</v>
      </c>
      <c r="AX144">
        <f>'Horsefly Swamp'!AV70</f>
        <v>3</v>
      </c>
    </row>
    <row r="145" spans="1:50">
      <c r="A145" t="str">
        <f>'Horsefly Swamp'!A71</f>
        <v>/Users/christophermarjo/Documents/Python/Projects/data/bushfire Raman/Horsefly Swamp/HF 9 (4)</v>
      </c>
      <c r="B145" t="str">
        <f t="shared" si="1"/>
        <v>Horsefly Swamp</v>
      </c>
      <c r="C145">
        <v>9</v>
      </c>
      <c r="D145" t="str">
        <f>'Horsefly Swamp'!B71</f>
        <v>11.93 counts</v>
      </c>
      <c r="E145">
        <f>'Horsefly Swamp'!C71</f>
        <v>0.98189400000000004</v>
      </c>
      <c r="F145">
        <f>'Horsefly Swamp'!D71</f>
        <v>1369</v>
      </c>
      <c r="G145">
        <f>'Horsefly Swamp'!E71</f>
        <v>6191</v>
      </c>
      <c r="H145">
        <f>'Horsefly Swamp'!F71</f>
        <v>284</v>
      </c>
      <c r="I145">
        <f>'Horsefly Swamp'!G71</f>
        <v>1871593</v>
      </c>
      <c r="J145">
        <f>'Horsefly Swamp'!H71</f>
        <v>67</v>
      </c>
      <c r="K145">
        <f>'Horsefly Swamp'!I71</f>
        <v>1590</v>
      </c>
      <c r="L145">
        <f>'Horsefly Swamp'!J71</f>
        <v>6665</v>
      </c>
      <c r="M145">
        <f>'Horsefly Swamp'!K71</f>
        <v>116</v>
      </c>
      <c r="N145">
        <f>'Horsefly Swamp'!L71</f>
        <v>822982</v>
      </c>
      <c r="O145">
        <f>'Horsefly Swamp'!M71</f>
        <v>29.5</v>
      </c>
      <c r="P145">
        <f>'Horsefly Swamp'!N71</f>
        <v>1055</v>
      </c>
      <c r="Q145">
        <f>'Horsefly Swamp'!O71</f>
        <v>251</v>
      </c>
      <c r="R145">
        <f>'Horsefly Swamp'!P71</f>
        <v>53</v>
      </c>
      <c r="S145">
        <f>'Horsefly Swamp'!Q71</f>
        <v>14161</v>
      </c>
      <c r="T145">
        <f>'Horsefly Swamp'!R71</f>
        <v>0.5</v>
      </c>
      <c r="U145">
        <f>'Horsefly Swamp'!S71</f>
        <v>1174</v>
      </c>
      <c r="V145">
        <f>'Horsefly Swamp'!T71</f>
        <v>77</v>
      </c>
      <c r="W145">
        <f>'Horsefly Swamp'!U71</f>
        <v>7</v>
      </c>
      <c r="X145">
        <f>'Horsefly Swamp'!V71</f>
        <v>574</v>
      </c>
      <c r="Y145">
        <f>'Horsefly Swamp'!W71</f>
        <v>0</v>
      </c>
      <c r="Z145">
        <f>'Horsefly Swamp'!X71</f>
        <v>1260</v>
      </c>
      <c r="AA145">
        <f>'Horsefly Swamp'!Y71</f>
        <v>1</v>
      </c>
      <c r="AB145">
        <f>'Horsefly Swamp'!Z71</f>
        <v>1</v>
      </c>
      <c r="AC145">
        <f>'Horsefly Swamp'!AA71</f>
        <v>1</v>
      </c>
      <c r="AD145">
        <f>'Horsefly Swamp'!AB71</f>
        <v>0</v>
      </c>
      <c r="AE145">
        <f>'Horsefly Swamp'!AC71</f>
        <v>1452</v>
      </c>
      <c r="AF145">
        <f>'Horsefly Swamp'!AD71</f>
        <v>221</v>
      </c>
      <c r="AG145">
        <f>'Horsefly Swamp'!AE71</f>
        <v>1</v>
      </c>
      <c r="AH145">
        <f>'Horsefly Swamp'!AF71</f>
        <v>235</v>
      </c>
      <c r="AI145">
        <f>'Horsefly Swamp'!AG71</f>
        <v>0</v>
      </c>
      <c r="AJ145">
        <f>'Horsefly Swamp'!AH71</f>
        <v>1488</v>
      </c>
      <c r="AK145">
        <f>'Horsefly Swamp'!AI71</f>
        <v>315</v>
      </c>
      <c r="AL145">
        <f>'Horsefly Swamp'!AJ71</f>
        <v>41</v>
      </c>
      <c r="AM145">
        <f>'Horsefly Swamp'!AK71</f>
        <v>13748</v>
      </c>
      <c r="AN145">
        <f>'Horsefly Swamp'!AL71</f>
        <v>0.5</v>
      </c>
      <c r="AO145">
        <f>'Horsefly Swamp'!AM71</f>
        <v>1596</v>
      </c>
      <c r="AP145">
        <f>'Horsefly Swamp'!AN71</f>
        <v>295</v>
      </c>
      <c r="AQ145">
        <f>'Horsefly Swamp'!AO71</f>
        <v>19</v>
      </c>
      <c r="AR145">
        <f>'Horsefly Swamp'!AP71</f>
        <v>5966</v>
      </c>
      <c r="AS145">
        <f>'Horsefly Swamp'!AQ71</f>
        <v>0.2</v>
      </c>
      <c r="AT145">
        <f>'Horsefly Swamp'!AR71</f>
        <v>1734</v>
      </c>
      <c r="AU145">
        <f>'Horsefly Swamp'!AS71</f>
        <v>641</v>
      </c>
      <c r="AV145">
        <f>'Horsefly Swamp'!AT71</f>
        <v>95</v>
      </c>
      <c r="AW145">
        <f>'Horsefly Swamp'!AU71</f>
        <v>64821</v>
      </c>
      <c r="AX145">
        <f>'Horsefly Swamp'!AV71</f>
        <v>2.2999999999999998</v>
      </c>
    </row>
    <row r="146" spans="1:50">
      <c r="A146" t="str">
        <f>'Horsefly Swamp'!A72</f>
        <v>/Users/christophermarjo/Documents/Python/Projects/data/bushfire Raman/Horsefly Swamp/HF 9 (5)</v>
      </c>
      <c r="B146" t="str">
        <f t="shared" si="1"/>
        <v>Horsefly Swamp</v>
      </c>
      <c r="C146">
        <v>9</v>
      </c>
      <c r="D146" t="str">
        <f>'Horsefly Swamp'!B72</f>
        <v>12.65 counts</v>
      </c>
      <c r="E146">
        <f>'Horsefly Swamp'!C72</f>
        <v>0.98562399999999994</v>
      </c>
      <c r="F146">
        <f>'Horsefly Swamp'!D72</f>
        <v>1369</v>
      </c>
      <c r="G146">
        <f>'Horsefly Swamp'!E72</f>
        <v>7001</v>
      </c>
      <c r="H146">
        <f>'Horsefly Swamp'!F72</f>
        <v>336</v>
      </c>
      <c r="I146">
        <f>'Horsefly Swamp'!G72</f>
        <v>2503984</v>
      </c>
      <c r="J146">
        <f>'Horsefly Swamp'!H72</f>
        <v>70.8</v>
      </c>
      <c r="K146">
        <f>'Horsefly Swamp'!I72</f>
        <v>1588</v>
      </c>
      <c r="L146">
        <f>'Horsefly Swamp'!J72</f>
        <v>7795</v>
      </c>
      <c r="M146">
        <f>'Horsefly Swamp'!K72</f>
        <v>106</v>
      </c>
      <c r="N146">
        <f>'Horsefly Swamp'!L72</f>
        <v>879537</v>
      </c>
      <c r="O146">
        <f>'Horsefly Swamp'!M72</f>
        <v>24.9</v>
      </c>
      <c r="P146">
        <f>'Horsefly Swamp'!N72</f>
        <v>1035</v>
      </c>
      <c r="Q146">
        <f>'Horsefly Swamp'!O72</f>
        <v>269</v>
      </c>
      <c r="R146">
        <f>'Horsefly Swamp'!P72</f>
        <v>57</v>
      </c>
      <c r="S146">
        <f>'Horsefly Swamp'!Q72</f>
        <v>16321</v>
      </c>
      <c r="T146">
        <f>'Horsefly Swamp'!R72</f>
        <v>0.5</v>
      </c>
      <c r="U146">
        <f>'Horsefly Swamp'!S72</f>
        <v>1150</v>
      </c>
      <c r="V146">
        <f>'Horsefly Swamp'!T72</f>
        <v>149</v>
      </c>
      <c r="W146">
        <f>'Horsefly Swamp'!U72</f>
        <v>1</v>
      </c>
      <c r="X146">
        <f>'Horsefly Swamp'!V72</f>
        <v>159</v>
      </c>
      <c r="Y146">
        <f>'Horsefly Swamp'!W72</f>
        <v>0</v>
      </c>
      <c r="Z146">
        <f>'Horsefly Swamp'!X72</f>
        <v>1260</v>
      </c>
      <c r="AA146">
        <f>'Horsefly Swamp'!Y72</f>
        <v>1</v>
      </c>
      <c r="AB146">
        <f>'Horsefly Swamp'!Z72</f>
        <v>1</v>
      </c>
      <c r="AC146">
        <f>'Horsefly Swamp'!AA72</f>
        <v>1</v>
      </c>
      <c r="AD146">
        <f>'Horsefly Swamp'!AB72</f>
        <v>0</v>
      </c>
      <c r="AE146">
        <f>'Horsefly Swamp'!AC72</f>
        <v>1456</v>
      </c>
      <c r="AF146">
        <f>'Horsefly Swamp'!AD72</f>
        <v>197</v>
      </c>
      <c r="AG146">
        <f>'Horsefly Swamp'!AE72</f>
        <v>101</v>
      </c>
      <c r="AH146">
        <f>'Horsefly Swamp'!AF72</f>
        <v>21180</v>
      </c>
      <c r="AI146">
        <f>'Horsefly Swamp'!AG72</f>
        <v>0.6</v>
      </c>
      <c r="AJ146">
        <f>'Horsefly Swamp'!AH72</f>
        <v>1502</v>
      </c>
      <c r="AK146">
        <f>'Horsefly Swamp'!AI72</f>
        <v>411</v>
      </c>
      <c r="AL146">
        <f>'Horsefly Swamp'!AJ72</f>
        <v>45</v>
      </c>
      <c r="AM146">
        <f>'Horsefly Swamp'!AK72</f>
        <v>19687</v>
      </c>
      <c r="AN146">
        <f>'Horsefly Swamp'!AL72</f>
        <v>0.6</v>
      </c>
      <c r="AO146">
        <f>'Horsefly Swamp'!AM72</f>
        <v>1598</v>
      </c>
      <c r="AP146">
        <f>'Horsefly Swamp'!AN72</f>
        <v>269</v>
      </c>
      <c r="AQ146">
        <f>'Horsefly Swamp'!AO72</f>
        <v>17</v>
      </c>
      <c r="AR146">
        <f>'Horsefly Swamp'!AP72</f>
        <v>4868</v>
      </c>
      <c r="AS146">
        <f>'Horsefly Swamp'!AQ72</f>
        <v>0.1</v>
      </c>
      <c r="AT146">
        <f>'Horsefly Swamp'!AR72</f>
        <v>1732</v>
      </c>
      <c r="AU146">
        <f>'Horsefly Swamp'!AS72</f>
        <v>803</v>
      </c>
      <c r="AV146">
        <f>'Horsefly Swamp'!AT72</f>
        <v>105</v>
      </c>
      <c r="AW146">
        <f>'Horsefly Swamp'!AU72</f>
        <v>89751</v>
      </c>
      <c r="AX146">
        <f>'Horsefly Swamp'!AV72</f>
        <v>2.5</v>
      </c>
    </row>
    <row r="147" spans="1:50">
      <c r="A147" t="str">
        <f>'Waterfall Creek'!A2</f>
        <v>/Users/christophermarjo/Documents/Python/Projects/data/bushfire Raman/Waterfall Creek/WFC 0 (1)</v>
      </c>
      <c r="B147" t="str">
        <f>MID(A147,71,15)</f>
        <v>Waterfall Creek</v>
      </c>
      <c r="C147">
        <v>0</v>
      </c>
      <c r="D147" t="str">
        <f>'Waterfall Creek'!B2</f>
        <v>10.86 counts</v>
      </c>
      <c r="E147">
        <f>'Waterfall Creek'!C2</f>
        <v>0.98637600000000003</v>
      </c>
      <c r="F147">
        <f>'Waterfall Creek'!D2</f>
        <v>1369</v>
      </c>
      <c r="G147">
        <f>'Waterfall Creek'!E2</f>
        <v>6677</v>
      </c>
      <c r="H147">
        <f>'Waterfall Creek'!F2</f>
        <v>332</v>
      </c>
      <c r="I147">
        <f>'Waterfall Creek'!G2</f>
        <v>2359672</v>
      </c>
      <c r="J147">
        <f>'Waterfall Creek'!H2</f>
        <v>75.7</v>
      </c>
      <c r="K147">
        <f>'Waterfall Creek'!I2</f>
        <v>1588</v>
      </c>
      <c r="L147">
        <f>'Waterfall Creek'!J2</f>
        <v>5957</v>
      </c>
      <c r="M147">
        <f>'Waterfall Creek'!K2</f>
        <v>106</v>
      </c>
      <c r="N147">
        <f>'Waterfall Creek'!L2</f>
        <v>672149</v>
      </c>
      <c r="O147">
        <f>'Waterfall Creek'!M2</f>
        <v>21.6</v>
      </c>
      <c r="P147">
        <f>'Waterfall Creek'!N2</f>
        <v>1027</v>
      </c>
      <c r="Q147">
        <f>'Waterfall Creek'!O2</f>
        <v>239</v>
      </c>
      <c r="R147">
        <f>'Waterfall Creek'!P2</f>
        <v>63</v>
      </c>
      <c r="S147">
        <f>'Waterfall Creek'!Q2</f>
        <v>16028</v>
      </c>
      <c r="T147">
        <f>'Waterfall Creek'!R2</f>
        <v>0.5</v>
      </c>
      <c r="U147">
        <f>'Waterfall Creek'!S2</f>
        <v>1154</v>
      </c>
      <c r="V147">
        <f>'Waterfall Creek'!T2</f>
        <v>1</v>
      </c>
      <c r="W147">
        <f>'Waterfall Creek'!U2</f>
        <v>1</v>
      </c>
      <c r="X147">
        <f>'Waterfall Creek'!V2</f>
        <v>1</v>
      </c>
      <c r="Y147">
        <f>'Waterfall Creek'!W2</f>
        <v>0</v>
      </c>
      <c r="Z147">
        <f>'Waterfall Creek'!X2</f>
        <v>1298</v>
      </c>
      <c r="AA147">
        <f>'Waterfall Creek'!Y2</f>
        <v>67</v>
      </c>
      <c r="AB147">
        <f>'Waterfall Creek'!Z2</f>
        <v>1</v>
      </c>
      <c r="AC147">
        <f>'Waterfall Creek'!AA2</f>
        <v>71</v>
      </c>
      <c r="AD147">
        <f>'Waterfall Creek'!AB2</f>
        <v>0</v>
      </c>
      <c r="AE147">
        <f>'Waterfall Creek'!AC2</f>
        <v>1400</v>
      </c>
      <c r="AF147">
        <f>'Waterfall Creek'!AD2</f>
        <v>1</v>
      </c>
      <c r="AG147">
        <f>'Waterfall Creek'!AE2</f>
        <v>1</v>
      </c>
      <c r="AH147">
        <f>'Waterfall Creek'!AF2</f>
        <v>1</v>
      </c>
      <c r="AI147">
        <f>'Waterfall Creek'!AG2</f>
        <v>0</v>
      </c>
      <c r="AJ147">
        <f>'Waterfall Creek'!AH2</f>
        <v>1500</v>
      </c>
      <c r="AK147">
        <f>'Waterfall Creek'!AI2</f>
        <v>181</v>
      </c>
      <c r="AL147">
        <f>'Waterfall Creek'!AJ2</f>
        <v>33</v>
      </c>
      <c r="AM147">
        <f>'Waterfall Creek'!AK2</f>
        <v>6358</v>
      </c>
      <c r="AN147">
        <f>'Waterfall Creek'!AL2</f>
        <v>0.2</v>
      </c>
      <c r="AO147">
        <f>'Waterfall Creek'!AM2</f>
        <v>1592</v>
      </c>
      <c r="AP147">
        <f>'Waterfall Creek'!AN2</f>
        <v>233</v>
      </c>
      <c r="AQ147">
        <f>'Waterfall Creek'!AO2</f>
        <v>9</v>
      </c>
      <c r="AR147">
        <f>'Waterfall Creek'!AP2</f>
        <v>2232</v>
      </c>
      <c r="AS147">
        <f>'Waterfall Creek'!AQ2</f>
        <v>0.1</v>
      </c>
      <c r="AT147">
        <f>'Waterfall Creek'!AR2</f>
        <v>1722</v>
      </c>
      <c r="AU147">
        <f>'Waterfall Creek'!AS2</f>
        <v>559</v>
      </c>
      <c r="AV147">
        <f>'Waterfall Creek'!AT2</f>
        <v>101</v>
      </c>
      <c r="AW147">
        <f>'Waterfall Creek'!AU2</f>
        <v>60099</v>
      </c>
      <c r="AX147">
        <f>'Waterfall Creek'!AV2</f>
        <v>1.9</v>
      </c>
    </row>
    <row r="148" spans="1:50">
      <c r="A148" t="str">
        <f>'Waterfall Creek'!A3</f>
        <v>/Users/christophermarjo/Documents/Python/Projects/data/bushfire Raman/Waterfall Creek/WFC 0 (2)</v>
      </c>
      <c r="B148" t="str">
        <f t="shared" ref="B148:B207" si="2">MID(A148,71,15)</f>
        <v>Waterfall Creek</v>
      </c>
      <c r="C148">
        <v>0</v>
      </c>
      <c r="D148" t="str">
        <f>'Waterfall Creek'!B3</f>
        <v>4.82 counts</v>
      </c>
      <c r="E148">
        <f>'Waterfall Creek'!C3</f>
        <v>0.97568900000000003</v>
      </c>
      <c r="F148">
        <f>'Waterfall Creek'!D3</f>
        <v>1369</v>
      </c>
      <c r="G148">
        <f>'Waterfall Creek'!E3</f>
        <v>2145</v>
      </c>
      <c r="H148">
        <f>'Waterfall Creek'!F3</f>
        <v>256</v>
      </c>
      <c r="I148">
        <f>'Waterfall Creek'!G3</f>
        <v>584520</v>
      </c>
      <c r="J148">
        <f>'Waterfall Creek'!H3</f>
        <v>64.400000000000006</v>
      </c>
      <c r="K148">
        <f>'Waterfall Creek'!I3</f>
        <v>1592</v>
      </c>
      <c r="L148">
        <f>'Waterfall Creek'!J3</f>
        <v>2575</v>
      </c>
      <c r="M148">
        <f>'Waterfall Creek'!K3</f>
        <v>102</v>
      </c>
      <c r="N148">
        <f>'Waterfall Creek'!L3</f>
        <v>279582</v>
      </c>
      <c r="O148">
        <f>'Waterfall Creek'!M3</f>
        <v>30.8</v>
      </c>
      <c r="P148">
        <f>'Waterfall Creek'!N3</f>
        <v>1073</v>
      </c>
      <c r="Q148">
        <f>'Waterfall Creek'!O3</f>
        <v>65</v>
      </c>
      <c r="R148">
        <f>'Waterfall Creek'!P3</f>
        <v>119</v>
      </c>
      <c r="S148">
        <f>'Waterfall Creek'!Q3</f>
        <v>8234</v>
      </c>
      <c r="T148">
        <f>'Waterfall Creek'!R3</f>
        <v>0.9</v>
      </c>
      <c r="U148">
        <f>'Waterfall Creek'!S3</f>
        <v>1156</v>
      </c>
      <c r="V148">
        <f>'Waterfall Creek'!T3</f>
        <v>131</v>
      </c>
      <c r="W148">
        <f>'Waterfall Creek'!U3</f>
        <v>39</v>
      </c>
      <c r="X148">
        <f>'Waterfall Creek'!V3</f>
        <v>5438</v>
      </c>
      <c r="Y148">
        <f>'Waterfall Creek'!W3</f>
        <v>0.6</v>
      </c>
      <c r="Z148">
        <f>'Waterfall Creek'!X3</f>
        <v>1270</v>
      </c>
      <c r="AA148">
        <f>'Waterfall Creek'!Y3</f>
        <v>1</v>
      </c>
      <c r="AB148">
        <f>'Waterfall Creek'!Z3</f>
        <v>1</v>
      </c>
      <c r="AC148">
        <f>'Waterfall Creek'!AA3</f>
        <v>1</v>
      </c>
      <c r="AD148">
        <f>'Waterfall Creek'!AB3</f>
        <v>0</v>
      </c>
      <c r="AE148">
        <f>'Waterfall Creek'!AC3</f>
        <v>1456</v>
      </c>
      <c r="AF148">
        <f>'Waterfall Creek'!AD3</f>
        <v>41</v>
      </c>
      <c r="AG148">
        <f>'Waterfall Creek'!AE3</f>
        <v>1</v>
      </c>
      <c r="AH148">
        <f>'Waterfall Creek'!AF3</f>
        <v>44</v>
      </c>
      <c r="AI148">
        <f>'Waterfall Creek'!AG3</f>
        <v>0</v>
      </c>
      <c r="AJ148">
        <f>'Waterfall Creek'!AH3</f>
        <v>1500</v>
      </c>
      <c r="AK148">
        <f>'Waterfall Creek'!AI3</f>
        <v>293</v>
      </c>
      <c r="AL148">
        <f>'Waterfall Creek'!AJ3</f>
        <v>33</v>
      </c>
      <c r="AM148">
        <f>'Waterfall Creek'!AK3</f>
        <v>10292</v>
      </c>
      <c r="AN148">
        <f>'Waterfall Creek'!AL3</f>
        <v>1.1000000000000001</v>
      </c>
      <c r="AO148">
        <f>'Waterfall Creek'!AM3</f>
        <v>1592</v>
      </c>
      <c r="AP148">
        <f>'Waterfall Creek'!AN3</f>
        <v>183</v>
      </c>
      <c r="AQ148">
        <f>'Waterfall Creek'!AO3</f>
        <v>3</v>
      </c>
      <c r="AR148">
        <f>'Waterfall Creek'!AP3</f>
        <v>584</v>
      </c>
      <c r="AS148">
        <f>'Waterfall Creek'!AQ3</f>
        <v>0.1</v>
      </c>
      <c r="AT148">
        <f>'Waterfall Creek'!AR3</f>
        <v>1726</v>
      </c>
      <c r="AU148">
        <f>'Waterfall Creek'!AS3</f>
        <v>217</v>
      </c>
      <c r="AV148">
        <f>'Waterfall Creek'!AT3</f>
        <v>83</v>
      </c>
      <c r="AW148">
        <f>'Waterfall Creek'!AU3</f>
        <v>19172</v>
      </c>
      <c r="AX148">
        <f>'Waterfall Creek'!AV3</f>
        <v>2.1</v>
      </c>
    </row>
    <row r="149" spans="1:50">
      <c r="A149" t="str">
        <f>'Waterfall Creek'!A4</f>
        <v>/Users/christophermarjo/Documents/Python/Projects/data/bushfire Raman/Waterfall Creek/WFC 0 (3)</v>
      </c>
      <c r="B149" t="str">
        <f t="shared" si="2"/>
        <v>Waterfall Creek</v>
      </c>
      <c r="C149">
        <v>0</v>
      </c>
      <c r="D149" t="str">
        <f>'Waterfall Creek'!B4</f>
        <v>21.92 counts</v>
      </c>
      <c r="E149">
        <f>'Waterfall Creek'!C4</f>
        <v>0.98560499999999995</v>
      </c>
      <c r="F149">
        <f>'Waterfall Creek'!D4</f>
        <v>1369</v>
      </c>
      <c r="G149">
        <f>'Waterfall Creek'!E4</f>
        <v>12021</v>
      </c>
      <c r="H149">
        <f>'Waterfall Creek'!F4</f>
        <v>318</v>
      </c>
      <c r="I149">
        <f>'Waterfall Creek'!G4</f>
        <v>4069115</v>
      </c>
      <c r="J149">
        <f>'Waterfall Creek'!H4</f>
        <v>66.7</v>
      </c>
      <c r="K149">
        <f>'Waterfall Creek'!I4</f>
        <v>1588</v>
      </c>
      <c r="L149">
        <f>'Waterfall Creek'!J4</f>
        <v>14079</v>
      </c>
      <c r="M149">
        <f>'Waterfall Creek'!K4</f>
        <v>118</v>
      </c>
      <c r="N149">
        <f>'Waterfall Creek'!L4</f>
        <v>1768423</v>
      </c>
      <c r="O149">
        <f>'Waterfall Creek'!M4</f>
        <v>29</v>
      </c>
      <c r="P149">
        <f>'Waterfall Creek'!N4</f>
        <v>1027</v>
      </c>
      <c r="Q149">
        <f>'Waterfall Creek'!O4</f>
        <v>415</v>
      </c>
      <c r="R149">
        <f>'Waterfall Creek'!P4</f>
        <v>49</v>
      </c>
      <c r="S149">
        <f>'Waterfall Creek'!Q4</f>
        <v>21646</v>
      </c>
      <c r="T149">
        <f>'Waterfall Creek'!R4</f>
        <v>0.4</v>
      </c>
      <c r="U149">
        <f>'Waterfall Creek'!S4</f>
        <v>1170</v>
      </c>
      <c r="V149">
        <f>'Waterfall Creek'!T4</f>
        <v>15</v>
      </c>
      <c r="W149">
        <f>'Waterfall Creek'!U4</f>
        <v>1</v>
      </c>
      <c r="X149">
        <f>'Waterfall Creek'!V4</f>
        <v>16</v>
      </c>
      <c r="Y149">
        <f>'Waterfall Creek'!W4</f>
        <v>0</v>
      </c>
      <c r="Z149">
        <f>'Waterfall Creek'!X4</f>
        <v>1270</v>
      </c>
      <c r="AA149">
        <f>'Waterfall Creek'!Y4</f>
        <v>1</v>
      </c>
      <c r="AB149">
        <f>'Waterfall Creek'!Z4</f>
        <v>1</v>
      </c>
      <c r="AC149">
        <f>'Waterfall Creek'!AA4</f>
        <v>1</v>
      </c>
      <c r="AD149">
        <f>'Waterfall Creek'!AB4</f>
        <v>0</v>
      </c>
      <c r="AE149">
        <f>'Waterfall Creek'!AC4</f>
        <v>1456</v>
      </c>
      <c r="AF149">
        <f>'Waterfall Creek'!AD4</f>
        <v>593</v>
      </c>
      <c r="AG149">
        <f>'Waterfall Creek'!AE4</f>
        <v>81</v>
      </c>
      <c r="AH149">
        <f>'Waterfall Creek'!AF4</f>
        <v>51130</v>
      </c>
      <c r="AI149">
        <f>'Waterfall Creek'!AG4</f>
        <v>0.8</v>
      </c>
      <c r="AJ149">
        <f>'Waterfall Creek'!AH4</f>
        <v>1494</v>
      </c>
      <c r="AK149">
        <f>'Waterfall Creek'!AI4</f>
        <v>469</v>
      </c>
      <c r="AL149">
        <f>'Waterfall Creek'!AJ4</f>
        <v>21</v>
      </c>
      <c r="AM149">
        <f>'Waterfall Creek'!AK4</f>
        <v>10484</v>
      </c>
      <c r="AN149">
        <f>'Waterfall Creek'!AL4</f>
        <v>0.2</v>
      </c>
      <c r="AO149">
        <f>'Waterfall Creek'!AM4</f>
        <v>1592</v>
      </c>
      <c r="AP149">
        <f>'Waterfall Creek'!AN4</f>
        <v>335</v>
      </c>
      <c r="AQ149">
        <f>'Waterfall Creek'!AO4</f>
        <v>19</v>
      </c>
      <c r="AR149">
        <f>'Waterfall Creek'!AP4</f>
        <v>6775</v>
      </c>
      <c r="AS149">
        <f>'Waterfall Creek'!AQ4</f>
        <v>0.1</v>
      </c>
      <c r="AT149">
        <f>'Waterfall Creek'!AR4</f>
        <v>1748</v>
      </c>
      <c r="AU149">
        <f>'Waterfall Creek'!AS4</f>
        <v>1365</v>
      </c>
      <c r="AV149">
        <f>'Waterfall Creek'!AT4</f>
        <v>121</v>
      </c>
      <c r="AW149">
        <f>'Waterfall Creek'!AU4</f>
        <v>175813</v>
      </c>
      <c r="AX149">
        <f>'Waterfall Creek'!AV4</f>
        <v>2.9</v>
      </c>
    </row>
    <row r="150" spans="1:50">
      <c r="A150" t="str">
        <f>'Waterfall Creek'!A5</f>
        <v>/Users/christophermarjo/Documents/Python/Projects/data/bushfire Raman/Waterfall Creek/WFC 0.5 (1)</v>
      </c>
      <c r="B150" t="str">
        <f t="shared" si="2"/>
        <v>Waterfall Creek</v>
      </c>
      <c r="C150">
        <v>0.5</v>
      </c>
      <c r="D150" t="str">
        <f>'Waterfall Creek'!B5</f>
        <v>18.47 counts</v>
      </c>
      <c r="E150">
        <f>'Waterfall Creek'!C5</f>
        <v>0.98558999999999997</v>
      </c>
      <c r="F150">
        <f>'Waterfall Creek'!D5</f>
        <v>1367</v>
      </c>
      <c r="G150">
        <f>'Waterfall Creek'!E5</f>
        <v>10153</v>
      </c>
      <c r="H150">
        <f>'Waterfall Creek'!F5</f>
        <v>274</v>
      </c>
      <c r="I150">
        <f>'Waterfall Creek'!G5</f>
        <v>2961264</v>
      </c>
      <c r="J150">
        <f>'Waterfall Creek'!H5</f>
        <v>61.6</v>
      </c>
      <c r="K150">
        <f>'Waterfall Creek'!I5</f>
        <v>1594</v>
      </c>
      <c r="L150">
        <f>'Waterfall Creek'!J5</f>
        <v>13917</v>
      </c>
      <c r="M150">
        <f>'Waterfall Creek'!K5</f>
        <v>100</v>
      </c>
      <c r="N150">
        <f>'Waterfall Creek'!L5</f>
        <v>1481419</v>
      </c>
      <c r="O150">
        <f>'Waterfall Creek'!M5</f>
        <v>30.8</v>
      </c>
      <c r="P150">
        <f>'Waterfall Creek'!N5</f>
        <v>1037</v>
      </c>
      <c r="Q150">
        <f>'Waterfall Creek'!O5</f>
        <v>277</v>
      </c>
      <c r="R150">
        <f>'Waterfall Creek'!P5</f>
        <v>51</v>
      </c>
      <c r="S150">
        <f>'Waterfall Creek'!Q5</f>
        <v>15038</v>
      </c>
      <c r="T150">
        <f>'Waterfall Creek'!R5</f>
        <v>0.3</v>
      </c>
      <c r="U150">
        <f>'Waterfall Creek'!S5</f>
        <v>1156</v>
      </c>
      <c r="V150">
        <f>'Waterfall Creek'!T5</f>
        <v>353</v>
      </c>
      <c r="W150">
        <f>'Waterfall Creek'!U5</f>
        <v>33</v>
      </c>
      <c r="X150">
        <f>'Waterfall Creek'!V5</f>
        <v>12400</v>
      </c>
      <c r="Y150">
        <f>'Waterfall Creek'!W5</f>
        <v>0.3</v>
      </c>
      <c r="Z150">
        <f>'Waterfall Creek'!X5</f>
        <v>1270</v>
      </c>
      <c r="AA150">
        <f>'Waterfall Creek'!Y5</f>
        <v>1</v>
      </c>
      <c r="AB150">
        <f>'Waterfall Creek'!Z5</f>
        <v>1</v>
      </c>
      <c r="AC150">
        <f>'Waterfall Creek'!AA5</f>
        <v>1</v>
      </c>
      <c r="AD150">
        <f>'Waterfall Creek'!AB5</f>
        <v>0</v>
      </c>
      <c r="AE150">
        <f>'Waterfall Creek'!AC5</f>
        <v>1456</v>
      </c>
      <c r="AF150">
        <f>'Waterfall Creek'!AD5</f>
        <v>327</v>
      </c>
      <c r="AG150">
        <f>'Waterfall Creek'!AE5</f>
        <v>117</v>
      </c>
      <c r="AH150">
        <f>'Waterfall Creek'!AF5</f>
        <v>40725</v>
      </c>
      <c r="AI150">
        <f>'Waterfall Creek'!AG5</f>
        <v>0.8</v>
      </c>
      <c r="AJ150">
        <f>'Waterfall Creek'!AH5</f>
        <v>1500</v>
      </c>
      <c r="AK150">
        <f>'Waterfall Creek'!AI5</f>
        <v>737</v>
      </c>
      <c r="AL150">
        <f>'Waterfall Creek'!AJ5</f>
        <v>37</v>
      </c>
      <c r="AM150">
        <f>'Waterfall Creek'!AK5</f>
        <v>29027</v>
      </c>
      <c r="AN150">
        <f>'Waterfall Creek'!AL5</f>
        <v>0.6</v>
      </c>
      <c r="AO150">
        <f>'Waterfall Creek'!AM5</f>
        <v>1592</v>
      </c>
      <c r="AP150">
        <f>'Waterfall Creek'!AN5</f>
        <v>347</v>
      </c>
      <c r="AQ150">
        <f>'Waterfall Creek'!AO5</f>
        <v>27</v>
      </c>
      <c r="AR150">
        <f>'Waterfall Creek'!AP5</f>
        <v>9973</v>
      </c>
      <c r="AS150">
        <f>'Waterfall Creek'!AQ5</f>
        <v>0.2</v>
      </c>
      <c r="AT150">
        <f>'Waterfall Creek'!AR5</f>
        <v>1740</v>
      </c>
      <c r="AU150">
        <f>'Waterfall Creek'!AS5</f>
        <v>1315</v>
      </c>
      <c r="AV150">
        <f>'Waterfall Creek'!AT5</f>
        <v>185</v>
      </c>
      <c r="AW150">
        <f>'Waterfall Creek'!AU5</f>
        <v>258958</v>
      </c>
      <c r="AX150">
        <f>'Waterfall Creek'!AV5</f>
        <v>5.4</v>
      </c>
    </row>
    <row r="151" spans="1:50">
      <c r="A151" t="str">
        <f>'Waterfall Creek'!A6</f>
        <v>/Users/christophermarjo/Documents/Python/Projects/data/bushfire Raman/Waterfall Creek/WFC 0.5 (2)</v>
      </c>
      <c r="B151" t="str">
        <f t="shared" si="2"/>
        <v>Waterfall Creek</v>
      </c>
      <c r="C151">
        <v>0.5</v>
      </c>
      <c r="D151" t="str">
        <f>'Waterfall Creek'!B6</f>
        <v>12.99 counts</v>
      </c>
      <c r="E151">
        <f>'Waterfall Creek'!C6</f>
        <v>0.99238300000000002</v>
      </c>
      <c r="F151">
        <f>'Waterfall Creek'!D6</f>
        <v>1369</v>
      </c>
      <c r="G151">
        <f>'Waterfall Creek'!E6</f>
        <v>9879</v>
      </c>
      <c r="H151">
        <f>'Waterfall Creek'!F6</f>
        <v>324</v>
      </c>
      <c r="I151">
        <f>'Waterfall Creek'!G6</f>
        <v>3407142</v>
      </c>
      <c r="J151">
        <f>'Waterfall Creek'!H6</f>
        <v>70.2</v>
      </c>
      <c r="K151">
        <f>'Waterfall Creek'!I6</f>
        <v>1590</v>
      </c>
      <c r="L151">
        <f>'Waterfall Creek'!J6</f>
        <v>11439</v>
      </c>
      <c r="M151">
        <f>'Waterfall Creek'!K6</f>
        <v>102</v>
      </c>
      <c r="N151">
        <f>'Waterfall Creek'!L6</f>
        <v>1241997</v>
      </c>
      <c r="O151">
        <f>'Waterfall Creek'!M6</f>
        <v>25.6</v>
      </c>
      <c r="P151">
        <f>'Waterfall Creek'!N6</f>
        <v>1039</v>
      </c>
      <c r="Q151">
        <f>'Waterfall Creek'!O6</f>
        <v>399</v>
      </c>
      <c r="R151">
        <f>'Waterfall Creek'!P6</f>
        <v>61</v>
      </c>
      <c r="S151">
        <f>'Waterfall Creek'!Q6</f>
        <v>25908</v>
      </c>
      <c r="T151">
        <f>'Waterfall Creek'!R6</f>
        <v>0.5</v>
      </c>
      <c r="U151">
        <f>'Waterfall Creek'!S6</f>
        <v>1154</v>
      </c>
      <c r="V151">
        <f>'Waterfall Creek'!T6</f>
        <v>1</v>
      </c>
      <c r="W151">
        <f>'Waterfall Creek'!U6</f>
        <v>1</v>
      </c>
      <c r="X151">
        <f>'Waterfall Creek'!V6</f>
        <v>1</v>
      </c>
      <c r="Y151">
        <f>'Waterfall Creek'!W6</f>
        <v>0</v>
      </c>
      <c r="Z151">
        <f>'Waterfall Creek'!X6</f>
        <v>1270</v>
      </c>
      <c r="AA151">
        <f>'Waterfall Creek'!Y6</f>
        <v>1</v>
      </c>
      <c r="AB151">
        <f>'Waterfall Creek'!Z6</f>
        <v>1</v>
      </c>
      <c r="AC151">
        <f>'Waterfall Creek'!AA6</f>
        <v>1</v>
      </c>
      <c r="AD151">
        <f>'Waterfall Creek'!AB6</f>
        <v>0</v>
      </c>
      <c r="AE151">
        <f>'Waterfall Creek'!AC6</f>
        <v>1430</v>
      </c>
      <c r="AF151">
        <f>'Waterfall Creek'!AD6</f>
        <v>3</v>
      </c>
      <c r="AG151">
        <f>'Waterfall Creek'!AE6</f>
        <v>1</v>
      </c>
      <c r="AH151">
        <f>'Waterfall Creek'!AF6</f>
        <v>3</v>
      </c>
      <c r="AI151">
        <f>'Waterfall Creek'!AG6</f>
        <v>0</v>
      </c>
      <c r="AJ151">
        <f>'Waterfall Creek'!AH6</f>
        <v>1500</v>
      </c>
      <c r="AK151">
        <f>'Waterfall Creek'!AI6</f>
        <v>357</v>
      </c>
      <c r="AL151">
        <f>'Waterfall Creek'!AJ6</f>
        <v>33</v>
      </c>
      <c r="AM151">
        <f>'Waterfall Creek'!AK6</f>
        <v>12540</v>
      </c>
      <c r="AN151">
        <f>'Waterfall Creek'!AL6</f>
        <v>0.3</v>
      </c>
      <c r="AO151">
        <f>'Waterfall Creek'!AM6</f>
        <v>1596</v>
      </c>
      <c r="AP151">
        <f>'Waterfall Creek'!AN6</f>
        <v>839</v>
      </c>
      <c r="AQ151">
        <f>'Waterfall Creek'!AO6</f>
        <v>29</v>
      </c>
      <c r="AR151">
        <f>'Waterfall Creek'!AP6</f>
        <v>25900</v>
      </c>
      <c r="AS151">
        <f>'Waterfall Creek'!AQ6</f>
        <v>0.5</v>
      </c>
      <c r="AT151">
        <f>'Waterfall Creek'!AR6</f>
        <v>1732</v>
      </c>
      <c r="AU151">
        <f>'Waterfall Creek'!AS6</f>
        <v>1007</v>
      </c>
      <c r="AV151">
        <f>'Waterfall Creek'!AT6</f>
        <v>129</v>
      </c>
      <c r="AW151">
        <f>'Waterfall Creek'!AU6</f>
        <v>138277</v>
      </c>
      <c r="AX151">
        <f>'Waterfall Creek'!AV6</f>
        <v>2.9</v>
      </c>
    </row>
    <row r="152" spans="1:50">
      <c r="A152" t="str">
        <f>'Waterfall Creek'!A7</f>
        <v>/Users/christophermarjo/Documents/Python/Projects/data/bushfire Raman/Waterfall Creek/WFC 0.5 (3)</v>
      </c>
      <c r="B152" t="str">
        <f t="shared" si="2"/>
        <v>Waterfall Creek</v>
      </c>
      <c r="C152">
        <v>0.5</v>
      </c>
      <c r="D152" t="str">
        <f>'Waterfall Creek'!B7</f>
        <v>9.94 counts</v>
      </c>
      <c r="E152">
        <f>'Waterfall Creek'!C7</f>
        <v>0.99032600000000004</v>
      </c>
      <c r="F152">
        <f>'Waterfall Creek'!D7</f>
        <v>1369</v>
      </c>
      <c r="G152">
        <f>'Waterfall Creek'!E7</f>
        <v>6821</v>
      </c>
      <c r="H152">
        <f>'Waterfall Creek'!F7</f>
        <v>326</v>
      </c>
      <c r="I152">
        <f>'Waterfall Creek'!G7</f>
        <v>2366998</v>
      </c>
      <c r="J152">
        <f>'Waterfall Creek'!H7</f>
        <v>70.2</v>
      </c>
      <c r="K152">
        <f>'Waterfall Creek'!I7</f>
        <v>1592</v>
      </c>
      <c r="L152">
        <f>'Waterfall Creek'!J7</f>
        <v>7815</v>
      </c>
      <c r="M152">
        <f>'Waterfall Creek'!K7</f>
        <v>100</v>
      </c>
      <c r="N152">
        <f>'Waterfall Creek'!L7</f>
        <v>831881</v>
      </c>
      <c r="O152">
        <f>'Waterfall Creek'!M7</f>
        <v>24.7</v>
      </c>
      <c r="P152">
        <f>'Waterfall Creek'!N7</f>
        <v>1033</v>
      </c>
      <c r="Q152">
        <f>'Waterfall Creek'!O7</f>
        <v>283</v>
      </c>
      <c r="R152">
        <f>'Waterfall Creek'!P7</f>
        <v>77</v>
      </c>
      <c r="S152">
        <f>'Waterfall Creek'!Q7</f>
        <v>23196</v>
      </c>
      <c r="T152">
        <f>'Waterfall Creek'!R7</f>
        <v>0.7</v>
      </c>
      <c r="U152">
        <f>'Waterfall Creek'!S7</f>
        <v>1154</v>
      </c>
      <c r="V152">
        <f>'Waterfall Creek'!T7</f>
        <v>1</v>
      </c>
      <c r="W152">
        <f>'Waterfall Creek'!U7</f>
        <v>1</v>
      </c>
      <c r="X152">
        <f>'Waterfall Creek'!V7</f>
        <v>1</v>
      </c>
      <c r="Y152">
        <f>'Waterfall Creek'!W7</f>
        <v>0</v>
      </c>
      <c r="Z152">
        <f>'Waterfall Creek'!X7</f>
        <v>1270</v>
      </c>
      <c r="AA152">
        <f>'Waterfall Creek'!Y7</f>
        <v>1</v>
      </c>
      <c r="AB152">
        <f>'Waterfall Creek'!Z7</f>
        <v>1</v>
      </c>
      <c r="AC152">
        <f>'Waterfall Creek'!AA7</f>
        <v>1</v>
      </c>
      <c r="AD152">
        <f>'Waterfall Creek'!AB7</f>
        <v>0</v>
      </c>
      <c r="AE152">
        <f>'Waterfall Creek'!AC7</f>
        <v>1406</v>
      </c>
      <c r="AF152">
        <f>'Waterfall Creek'!AD7</f>
        <v>185</v>
      </c>
      <c r="AG152">
        <f>'Waterfall Creek'!AE7</f>
        <v>1</v>
      </c>
      <c r="AH152">
        <f>'Waterfall Creek'!AF7</f>
        <v>197</v>
      </c>
      <c r="AI152">
        <f>'Waterfall Creek'!AG7</f>
        <v>0</v>
      </c>
      <c r="AJ152">
        <f>'Waterfall Creek'!AH7</f>
        <v>1500</v>
      </c>
      <c r="AK152">
        <f>'Waterfall Creek'!AI7</f>
        <v>293</v>
      </c>
      <c r="AL152">
        <f>'Waterfall Creek'!AJ7</f>
        <v>31</v>
      </c>
      <c r="AM152">
        <f>'Waterfall Creek'!AK7</f>
        <v>9669</v>
      </c>
      <c r="AN152">
        <f>'Waterfall Creek'!AL7</f>
        <v>0.3</v>
      </c>
      <c r="AO152">
        <f>'Waterfall Creek'!AM7</f>
        <v>1598</v>
      </c>
      <c r="AP152">
        <f>'Waterfall Creek'!AN7</f>
        <v>635</v>
      </c>
      <c r="AQ152">
        <f>'Waterfall Creek'!AO7</f>
        <v>25</v>
      </c>
      <c r="AR152">
        <f>'Waterfall Creek'!AP7</f>
        <v>16898</v>
      </c>
      <c r="AS152">
        <f>'Waterfall Creek'!AQ7</f>
        <v>0.5</v>
      </c>
      <c r="AT152">
        <f>'Waterfall Creek'!AR7</f>
        <v>1732</v>
      </c>
      <c r="AU152">
        <f>'Waterfall Creek'!AS7</f>
        <v>753</v>
      </c>
      <c r="AV152">
        <f>'Waterfall Creek'!AT7</f>
        <v>155</v>
      </c>
      <c r="AW152">
        <f>'Waterfall Creek'!AU7</f>
        <v>124239</v>
      </c>
      <c r="AX152">
        <f>'Waterfall Creek'!AV7</f>
        <v>3.7</v>
      </c>
    </row>
    <row r="153" spans="1:50">
      <c r="A153" t="str">
        <f>'Waterfall Creek'!A8</f>
        <v>/Users/christophermarjo/Documents/Python/Projects/data/bushfire Raman/Waterfall Creek/WFC 0.5 (4)</v>
      </c>
      <c r="B153" t="str">
        <f t="shared" si="2"/>
        <v>Waterfall Creek</v>
      </c>
      <c r="C153">
        <v>0.5</v>
      </c>
      <c r="D153" t="str">
        <f>'Waterfall Creek'!B8</f>
        <v>67.50 counts</v>
      </c>
      <c r="E153">
        <f>'Waterfall Creek'!C8</f>
        <v>0.98548400000000003</v>
      </c>
      <c r="F153">
        <f>'Waterfall Creek'!D8</f>
        <v>1369</v>
      </c>
      <c r="G153">
        <f>'Waterfall Creek'!E8</f>
        <v>29293</v>
      </c>
      <c r="H153">
        <f>'Waterfall Creek'!F8</f>
        <v>298</v>
      </c>
      <c r="I153">
        <f>'Waterfall Creek'!G8</f>
        <v>9292067</v>
      </c>
      <c r="J153">
        <f>'Waterfall Creek'!H8</f>
        <v>54.6</v>
      </c>
      <c r="K153">
        <f>'Waterfall Creek'!I8</f>
        <v>1584</v>
      </c>
      <c r="L153">
        <f>'Waterfall Creek'!J8</f>
        <v>45027</v>
      </c>
      <c r="M153">
        <f>'Waterfall Creek'!K8</f>
        <v>144</v>
      </c>
      <c r="N153">
        <f>'Waterfall Creek'!L8</f>
        <v>6901885</v>
      </c>
      <c r="O153">
        <f>'Waterfall Creek'!M8</f>
        <v>40.6</v>
      </c>
      <c r="P153">
        <f>'Waterfall Creek'!N8</f>
        <v>1043</v>
      </c>
      <c r="Q153">
        <f>'Waterfall Creek'!O8</f>
        <v>233</v>
      </c>
      <c r="R153">
        <f>'Waterfall Creek'!P8</f>
        <v>23</v>
      </c>
      <c r="S153">
        <f>'Waterfall Creek'!Q8</f>
        <v>5704</v>
      </c>
      <c r="T153">
        <f>'Waterfall Creek'!R8</f>
        <v>0</v>
      </c>
      <c r="U153">
        <f>'Waterfall Creek'!S8</f>
        <v>1166</v>
      </c>
      <c r="V153">
        <f>'Waterfall Creek'!T8</f>
        <v>43</v>
      </c>
      <c r="W153">
        <f>'Waterfall Creek'!U8</f>
        <v>1</v>
      </c>
      <c r="X153">
        <f>'Waterfall Creek'!V8</f>
        <v>46</v>
      </c>
      <c r="Y153">
        <f>'Waterfall Creek'!W8</f>
        <v>0</v>
      </c>
      <c r="Z153">
        <f>'Waterfall Creek'!X8</f>
        <v>1256</v>
      </c>
      <c r="AA153">
        <f>'Waterfall Creek'!Y8</f>
        <v>1</v>
      </c>
      <c r="AB153">
        <f>'Waterfall Creek'!Z8</f>
        <v>1</v>
      </c>
      <c r="AC153">
        <f>'Waterfall Creek'!AA8</f>
        <v>1</v>
      </c>
      <c r="AD153">
        <f>'Waterfall Creek'!AB8</f>
        <v>0</v>
      </c>
      <c r="AE153">
        <f>'Waterfall Creek'!AC8</f>
        <v>1440</v>
      </c>
      <c r="AF153">
        <f>'Waterfall Creek'!AD8</f>
        <v>3411</v>
      </c>
      <c r="AG153">
        <f>'Waterfall Creek'!AE8</f>
        <v>83</v>
      </c>
      <c r="AH153">
        <f>'Waterfall Creek'!AF8</f>
        <v>301364</v>
      </c>
      <c r="AI153">
        <f>'Waterfall Creek'!AG8</f>
        <v>1.8</v>
      </c>
      <c r="AJ153">
        <f>'Waterfall Creek'!AH8</f>
        <v>1522</v>
      </c>
      <c r="AK153">
        <f>'Waterfall Creek'!AI8</f>
        <v>2183</v>
      </c>
      <c r="AL153">
        <f>'Waterfall Creek'!AJ8</f>
        <v>109</v>
      </c>
      <c r="AM153">
        <f>'Waterfall Creek'!AK8</f>
        <v>253287</v>
      </c>
      <c r="AN153">
        <f>'Waterfall Creek'!AL8</f>
        <v>1.5</v>
      </c>
      <c r="AO153">
        <f>'Waterfall Creek'!AM8</f>
        <v>1582</v>
      </c>
      <c r="AP153">
        <f>'Waterfall Creek'!AN8</f>
        <v>1691</v>
      </c>
      <c r="AQ153">
        <f>'Waterfall Creek'!AO8</f>
        <v>9</v>
      </c>
      <c r="AR153">
        <f>'Waterfall Creek'!AP8</f>
        <v>16200</v>
      </c>
      <c r="AS153">
        <f>'Waterfall Creek'!AQ8</f>
        <v>0.1</v>
      </c>
      <c r="AT153">
        <f>'Waterfall Creek'!AR8</f>
        <v>1748</v>
      </c>
      <c r="AU153">
        <f>'Waterfall Creek'!AS8</f>
        <v>3633</v>
      </c>
      <c r="AV153">
        <f>'Waterfall Creek'!AT8</f>
        <v>61</v>
      </c>
      <c r="AW153">
        <f>'Waterfall Creek'!AU8</f>
        <v>235900</v>
      </c>
      <c r="AX153">
        <f>'Waterfall Creek'!AV8</f>
        <v>1.4</v>
      </c>
    </row>
    <row r="154" spans="1:50">
      <c r="A154" t="str">
        <f>'Waterfall Creek'!A9</f>
        <v>/Users/christophermarjo/Documents/Python/Projects/data/bushfire Raman/Waterfall Creek/WFC 0.5 (5)</v>
      </c>
      <c r="B154" t="str">
        <f t="shared" si="2"/>
        <v>Waterfall Creek</v>
      </c>
      <c r="C154">
        <v>0.5</v>
      </c>
      <c r="D154" t="str">
        <f>'Waterfall Creek'!B9</f>
        <v>102.15 counts</v>
      </c>
      <c r="E154">
        <f>'Waterfall Creek'!C9</f>
        <v>0.97844100000000001</v>
      </c>
      <c r="F154">
        <f>'Waterfall Creek'!D9</f>
        <v>1369</v>
      </c>
      <c r="G154">
        <f>'Waterfall Creek'!E9</f>
        <v>29403</v>
      </c>
      <c r="H154">
        <f>'Waterfall Creek'!F9</f>
        <v>178</v>
      </c>
      <c r="I154">
        <f>'Waterfall Creek'!G9</f>
        <v>5571137</v>
      </c>
      <c r="J154">
        <f>'Waterfall Creek'!H9</f>
        <v>36.9</v>
      </c>
      <c r="K154">
        <f>'Waterfall Creek'!I9</f>
        <v>1584</v>
      </c>
      <c r="L154">
        <f>'Waterfall Creek'!J9</f>
        <v>60647</v>
      </c>
      <c r="M154">
        <f>'Waterfall Creek'!K9</f>
        <v>114</v>
      </c>
      <c r="N154">
        <f>'Waterfall Creek'!L9</f>
        <v>7359468</v>
      </c>
      <c r="O154">
        <f>'Waterfall Creek'!M9</f>
        <v>48.7</v>
      </c>
      <c r="P154">
        <f>'Waterfall Creek'!N9</f>
        <v>999</v>
      </c>
      <c r="Q154">
        <f>'Waterfall Creek'!O9</f>
        <v>1</v>
      </c>
      <c r="R154">
        <f>'Waterfall Creek'!P9</f>
        <v>1</v>
      </c>
      <c r="S154">
        <f>'Waterfall Creek'!Q9</f>
        <v>1</v>
      </c>
      <c r="T154">
        <f>'Waterfall Creek'!R9</f>
        <v>0</v>
      </c>
      <c r="U154">
        <f>'Waterfall Creek'!S9</f>
        <v>1170</v>
      </c>
      <c r="V154">
        <f>'Waterfall Creek'!T9</f>
        <v>1079</v>
      </c>
      <c r="W154">
        <f>'Waterfall Creek'!U9</f>
        <v>3</v>
      </c>
      <c r="X154">
        <f>'Waterfall Creek'!V9</f>
        <v>3446</v>
      </c>
      <c r="Y154">
        <f>'Waterfall Creek'!W9</f>
        <v>0</v>
      </c>
      <c r="Z154">
        <f>'Waterfall Creek'!X9</f>
        <v>1292</v>
      </c>
      <c r="AA154">
        <f>'Waterfall Creek'!Y9</f>
        <v>15</v>
      </c>
      <c r="AB154">
        <f>'Waterfall Creek'!Z9</f>
        <v>21</v>
      </c>
      <c r="AC154">
        <f>'Waterfall Creek'!AA9</f>
        <v>335</v>
      </c>
      <c r="AD154">
        <f>'Waterfall Creek'!AB9</f>
        <v>0</v>
      </c>
      <c r="AE154">
        <f>'Waterfall Creek'!AC9</f>
        <v>1458</v>
      </c>
      <c r="AF154">
        <f>'Waterfall Creek'!AD9</f>
        <v>9999</v>
      </c>
      <c r="AG154">
        <f>'Waterfall Creek'!AE9</f>
        <v>97</v>
      </c>
      <c r="AH154">
        <f>'Waterfall Creek'!AF9</f>
        <v>1032430</v>
      </c>
      <c r="AI154">
        <f>'Waterfall Creek'!AG9</f>
        <v>6.8</v>
      </c>
      <c r="AJ154">
        <f>'Waterfall Creek'!AH9</f>
        <v>1510</v>
      </c>
      <c r="AK154">
        <f>'Waterfall Creek'!AI9</f>
        <v>9439</v>
      </c>
      <c r="AL154">
        <f>'Waterfall Creek'!AJ9</f>
        <v>109</v>
      </c>
      <c r="AM154">
        <f>'Waterfall Creek'!AK9</f>
        <v>1095178</v>
      </c>
      <c r="AN154">
        <f>'Waterfall Creek'!AL9</f>
        <v>7.3</v>
      </c>
      <c r="AO154">
        <f>'Waterfall Creek'!AM9</f>
        <v>1570</v>
      </c>
      <c r="AP154">
        <f>'Waterfall Creek'!AN9</f>
        <v>515</v>
      </c>
      <c r="AQ154">
        <f>'Waterfall Creek'!AO9</f>
        <v>69</v>
      </c>
      <c r="AR154">
        <f>'Waterfall Creek'!AP9</f>
        <v>37826</v>
      </c>
      <c r="AS154">
        <f>'Waterfall Creek'!AQ9</f>
        <v>0.3</v>
      </c>
      <c r="AT154">
        <f>'Waterfall Creek'!AR9</f>
        <v>1700</v>
      </c>
      <c r="AU154">
        <f>'Waterfall Creek'!AS9</f>
        <v>1083</v>
      </c>
      <c r="AV154">
        <f>'Waterfall Creek'!AT9</f>
        <v>5</v>
      </c>
      <c r="AW154">
        <f>'Waterfall Creek'!AU9</f>
        <v>5764</v>
      </c>
      <c r="AX154">
        <f>'Waterfall Creek'!AV9</f>
        <v>0</v>
      </c>
    </row>
    <row r="155" spans="1:50">
      <c r="A155" t="str">
        <f>'Waterfall Creek'!A10</f>
        <v>/Users/christophermarjo/Documents/Python/Projects/data/bushfire Raman/Waterfall Creek/WFC 1 (1)</v>
      </c>
      <c r="B155" t="str">
        <f t="shared" si="2"/>
        <v>Waterfall Creek</v>
      </c>
      <c r="C155">
        <v>1</v>
      </c>
      <c r="D155" t="str">
        <f>'Waterfall Creek'!B10</f>
        <v>24.29 counts</v>
      </c>
      <c r="E155">
        <f>'Waterfall Creek'!C10</f>
        <v>0.988703</v>
      </c>
      <c r="F155">
        <f>'Waterfall Creek'!D10</f>
        <v>1369</v>
      </c>
      <c r="G155">
        <f>'Waterfall Creek'!E10</f>
        <v>15273</v>
      </c>
      <c r="H155">
        <f>'Waterfall Creek'!F10</f>
        <v>332</v>
      </c>
      <c r="I155">
        <f>'Waterfall Creek'!G10</f>
        <v>5397525</v>
      </c>
      <c r="J155">
        <f>'Waterfall Creek'!H10</f>
        <v>69.599999999999994</v>
      </c>
      <c r="K155">
        <f>'Waterfall Creek'!I10</f>
        <v>1590</v>
      </c>
      <c r="L155">
        <f>'Waterfall Creek'!J10</f>
        <v>17731</v>
      </c>
      <c r="M155">
        <f>'Waterfall Creek'!K10</f>
        <v>102</v>
      </c>
      <c r="N155">
        <f>'Waterfall Creek'!L10</f>
        <v>1925155</v>
      </c>
      <c r="O155">
        <f>'Waterfall Creek'!M10</f>
        <v>24.8</v>
      </c>
      <c r="P155">
        <f>'Waterfall Creek'!N10</f>
        <v>1045</v>
      </c>
      <c r="Q155">
        <f>'Waterfall Creek'!O10</f>
        <v>553</v>
      </c>
      <c r="R155">
        <f>'Waterfall Creek'!P10</f>
        <v>53</v>
      </c>
      <c r="S155">
        <f>'Waterfall Creek'!Q10</f>
        <v>31198</v>
      </c>
      <c r="T155">
        <f>'Waterfall Creek'!R10</f>
        <v>0.4</v>
      </c>
      <c r="U155">
        <f>'Waterfall Creek'!S10</f>
        <v>1160</v>
      </c>
      <c r="V155">
        <f>'Waterfall Creek'!T10</f>
        <v>31</v>
      </c>
      <c r="W155">
        <f>'Waterfall Creek'!U10</f>
        <v>1</v>
      </c>
      <c r="X155">
        <f>'Waterfall Creek'!V10</f>
        <v>33</v>
      </c>
      <c r="Y155">
        <f>'Waterfall Creek'!W10</f>
        <v>0</v>
      </c>
      <c r="Z155">
        <f>'Waterfall Creek'!X10</f>
        <v>1270</v>
      </c>
      <c r="AA155">
        <f>'Waterfall Creek'!Y10</f>
        <v>1</v>
      </c>
      <c r="AB155">
        <f>'Waterfall Creek'!Z10</f>
        <v>1</v>
      </c>
      <c r="AC155">
        <f>'Waterfall Creek'!AA10</f>
        <v>1</v>
      </c>
      <c r="AD155">
        <f>'Waterfall Creek'!AB10</f>
        <v>0</v>
      </c>
      <c r="AE155">
        <f>'Waterfall Creek'!AC10</f>
        <v>1456</v>
      </c>
      <c r="AF155">
        <f>'Waterfall Creek'!AD10</f>
        <v>327</v>
      </c>
      <c r="AG155">
        <f>'Waterfall Creek'!AE10</f>
        <v>101</v>
      </c>
      <c r="AH155">
        <f>'Waterfall Creek'!AF10</f>
        <v>35156</v>
      </c>
      <c r="AI155">
        <f>'Waterfall Creek'!AG10</f>
        <v>0.5</v>
      </c>
      <c r="AJ155">
        <f>'Waterfall Creek'!AH10</f>
        <v>1500</v>
      </c>
      <c r="AK155">
        <f>'Waterfall Creek'!AI10</f>
        <v>1129</v>
      </c>
      <c r="AL155">
        <f>'Waterfall Creek'!AJ10</f>
        <v>45</v>
      </c>
      <c r="AM155">
        <f>'Waterfall Creek'!AK10</f>
        <v>54080</v>
      </c>
      <c r="AN155">
        <f>'Waterfall Creek'!AL10</f>
        <v>0.7</v>
      </c>
      <c r="AO155">
        <f>'Waterfall Creek'!AM10</f>
        <v>1592</v>
      </c>
      <c r="AP155">
        <f>'Waterfall Creek'!AN10</f>
        <v>775</v>
      </c>
      <c r="AQ155">
        <f>'Waterfall Creek'!AO10</f>
        <v>15</v>
      </c>
      <c r="AR155">
        <f>'Waterfall Creek'!AP10</f>
        <v>12374</v>
      </c>
      <c r="AS155">
        <f>'Waterfall Creek'!AQ10</f>
        <v>0.2</v>
      </c>
      <c r="AT155">
        <f>'Waterfall Creek'!AR10</f>
        <v>1730</v>
      </c>
      <c r="AU155">
        <f>'Waterfall Creek'!AS10</f>
        <v>1959</v>
      </c>
      <c r="AV155">
        <f>'Waterfall Creek'!AT10</f>
        <v>143</v>
      </c>
      <c r="AW155">
        <f>'Waterfall Creek'!AU10</f>
        <v>298197</v>
      </c>
      <c r="AX155">
        <f>'Waterfall Creek'!AV10</f>
        <v>3.8</v>
      </c>
    </row>
    <row r="156" spans="1:50">
      <c r="A156" t="str">
        <f>'Waterfall Creek'!A11</f>
        <v>/Users/christophermarjo/Documents/Python/Projects/data/bushfire Raman/Waterfall Creek/WFC 1 (2)</v>
      </c>
      <c r="B156" t="str">
        <f t="shared" si="2"/>
        <v>Waterfall Creek</v>
      </c>
      <c r="C156">
        <v>1</v>
      </c>
      <c r="D156" t="str">
        <f>'Waterfall Creek'!B11</f>
        <v>35.18 counts</v>
      </c>
      <c r="E156">
        <f>'Waterfall Creek'!C11</f>
        <v>0.951658</v>
      </c>
      <c r="F156">
        <f>'Waterfall Creek'!D11</f>
        <v>1369</v>
      </c>
      <c r="G156">
        <f>'Waterfall Creek'!E11</f>
        <v>10479</v>
      </c>
      <c r="H156">
        <f>'Waterfall Creek'!F11</f>
        <v>332</v>
      </c>
      <c r="I156">
        <f>'Waterfall Creek'!G11</f>
        <v>3703311</v>
      </c>
      <c r="J156">
        <f>'Waterfall Creek'!H11</f>
        <v>66.3</v>
      </c>
      <c r="K156">
        <f>'Waterfall Creek'!I11</f>
        <v>1590</v>
      </c>
      <c r="L156">
        <f>'Waterfall Creek'!J11</f>
        <v>12933</v>
      </c>
      <c r="M156">
        <f>'Waterfall Creek'!K11</f>
        <v>102</v>
      </c>
      <c r="N156">
        <f>'Waterfall Creek'!L11</f>
        <v>1404209</v>
      </c>
      <c r="O156">
        <f>'Waterfall Creek'!M11</f>
        <v>25.2</v>
      </c>
      <c r="P156">
        <f>'Waterfall Creek'!N11</f>
        <v>1009</v>
      </c>
      <c r="Q156">
        <f>'Waterfall Creek'!O11</f>
        <v>167</v>
      </c>
      <c r="R156">
        <f>'Waterfall Creek'!P11</f>
        <v>35</v>
      </c>
      <c r="S156">
        <f>'Waterfall Creek'!Q11</f>
        <v>6222</v>
      </c>
      <c r="T156">
        <f>'Waterfall Creek'!R11</f>
        <v>0.1</v>
      </c>
      <c r="U156">
        <f>'Waterfall Creek'!S11</f>
        <v>1174</v>
      </c>
      <c r="V156">
        <f>'Waterfall Creek'!T11</f>
        <v>55</v>
      </c>
      <c r="W156">
        <f>'Waterfall Creek'!U11</f>
        <v>1</v>
      </c>
      <c r="X156">
        <f>'Waterfall Creek'!V11</f>
        <v>59</v>
      </c>
      <c r="Y156">
        <f>'Waterfall Creek'!W11</f>
        <v>0</v>
      </c>
      <c r="Z156">
        <f>'Waterfall Creek'!X11</f>
        <v>1270</v>
      </c>
      <c r="AA156">
        <f>'Waterfall Creek'!Y11</f>
        <v>1</v>
      </c>
      <c r="AB156">
        <f>'Waterfall Creek'!Z11</f>
        <v>1</v>
      </c>
      <c r="AC156">
        <f>'Waterfall Creek'!AA11</f>
        <v>1</v>
      </c>
      <c r="AD156">
        <f>'Waterfall Creek'!AB11</f>
        <v>0</v>
      </c>
      <c r="AE156">
        <f>'Waterfall Creek'!AC11</f>
        <v>1456</v>
      </c>
      <c r="AF156">
        <f>'Waterfall Creek'!AD11</f>
        <v>151</v>
      </c>
      <c r="AG156">
        <f>'Waterfall Creek'!AE11</f>
        <v>117</v>
      </c>
      <c r="AH156">
        <f>'Waterfall Creek'!AF11</f>
        <v>18806</v>
      </c>
      <c r="AI156">
        <f>'Waterfall Creek'!AG11</f>
        <v>0.3</v>
      </c>
      <c r="AJ156">
        <f>'Waterfall Creek'!AH11</f>
        <v>1500</v>
      </c>
      <c r="AK156">
        <f>'Waterfall Creek'!AI11</f>
        <v>603</v>
      </c>
      <c r="AL156">
        <f>'Waterfall Creek'!AJ11</f>
        <v>47</v>
      </c>
      <c r="AM156">
        <f>'Waterfall Creek'!AK11</f>
        <v>30168</v>
      </c>
      <c r="AN156">
        <f>'Waterfall Creek'!AL11</f>
        <v>0.5</v>
      </c>
      <c r="AO156">
        <f>'Waterfall Creek'!AM11</f>
        <v>1598</v>
      </c>
      <c r="AP156">
        <f>'Waterfall Creek'!AN11</f>
        <v>969</v>
      </c>
      <c r="AQ156">
        <f>'Waterfall Creek'!AO11</f>
        <v>29</v>
      </c>
      <c r="AR156">
        <f>'Waterfall Creek'!AP11</f>
        <v>29913</v>
      </c>
      <c r="AS156">
        <f>'Waterfall Creek'!AQ11</f>
        <v>0.5</v>
      </c>
      <c r="AT156">
        <f>'Waterfall Creek'!AR11</f>
        <v>1746</v>
      </c>
      <c r="AU156">
        <f>'Waterfall Creek'!AS11</f>
        <v>1893</v>
      </c>
      <c r="AV156">
        <f>'Waterfall Creek'!AT11</f>
        <v>193</v>
      </c>
      <c r="AW156">
        <f>'Waterfall Creek'!AU11</f>
        <v>388902</v>
      </c>
      <c r="AX156">
        <f>'Waterfall Creek'!AV11</f>
        <v>7</v>
      </c>
    </row>
    <row r="157" spans="1:50">
      <c r="A157" t="str">
        <f>'Waterfall Creek'!A12</f>
        <v>/Users/christophermarjo/Documents/Python/Projects/data/bushfire Raman/Waterfall Creek/WFC 1 (3)</v>
      </c>
      <c r="B157" t="str">
        <f t="shared" si="2"/>
        <v>Waterfall Creek</v>
      </c>
      <c r="C157">
        <v>1</v>
      </c>
      <c r="D157" t="str">
        <f>'Waterfall Creek'!B12</f>
        <v>10.86 counts</v>
      </c>
      <c r="E157">
        <f>'Waterfall Creek'!C12</f>
        <v>0.98637600000000003</v>
      </c>
      <c r="F157">
        <f>'Waterfall Creek'!D12</f>
        <v>1369</v>
      </c>
      <c r="G157">
        <f>'Waterfall Creek'!E12</f>
        <v>6677</v>
      </c>
      <c r="H157">
        <f>'Waterfall Creek'!F12</f>
        <v>332</v>
      </c>
      <c r="I157">
        <f>'Waterfall Creek'!G12</f>
        <v>2359672</v>
      </c>
      <c r="J157">
        <f>'Waterfall Creek'!H12</f>
        <v>75.7</v>
      </c>
      <c r="K157">
        <f>'Waterfall Creek'!I12</f>
        <v>1588</v>
      </c>
      <c r="L157">
        <f>'Waterfall Creek'!J12</f>
        <v>5957</v>
      </c>
      <c r="M157">
        <f>'Waterfall Creek'!K12</f>
        <v>106</v>
      </c>
      <c r="N157">
        <f>'Waterfall Creek'!L12</f>
        <v>672149</v>
      </c>
      <c r="O157">
        <f>'Waterfall Creek'!M12</f>
        <v>21.6</v>
      </c>
      <c r="P157">
        <f>'Waterfall Creek'!N12</f>
        <v>1027</v>
      </c>
      <c r="Q157">
        <f>'Waterfall Creek'!O12</f>
        <v>239</v>
      </c>
      <c r="R157">
        <f>'Waterfall Creek'!P12</f>
        <v>63</v>
      </c>
      <c r="S157">
        <f>'Waterfall Creek'!Q12</f>
        <v>16028</v>
      </c>
      <c r="T157">
        <f>'Waterfall Creek'!R12</f>
        <v>0.5</v>
      </c>
      <c r="U157">
        <f>'Waterfall Creek'!S12</f>
        <v>1154</v>
      </c>
      <c r="V157">
        <f>'Waterfall Creek'!T12</f>
        <v>1</v>
      </c>
      <c r="W157">
        <f>'Waterfall Creek'!U12</f>
        <v>1</v>
      </c>
      <c r="X157">
        <f>'Waterfall Creek'!V12</f>
        <v>1</v>
      </c>
      <c r="Y157">
        <f>'Waterfall Creek'!W12</f>
        <v>0</v>
      </c>
      <c r="Z157">
        <f>'Waterfall Creek'!X12</f>
        <v>1298</v>
      </c>
      <c r="AA157">
        <f>'Waterfall Creek'!Y12</f>
        <v>67</v>
      </c>
      <c r="AB157">
        <f>'Waterfall Creek'!Z12</f>
        <v>1</v>
      </c>
      <c r="AC157">
        <f>'Waterfall Creek'!AA12</f>
        <v>71</v>
      </c>
      <c r="AD157">
        <f>'Waterfall Creek'!AB12</f>
        <v>0</v>
      </c>
      <c r="AE157">
        <f>'Waterfall Creek'!AC12</f>
        <v>1400</v>
      </c>
      <c r="AF157">
        <f>'Waterfall Creek'!AD12</f>
        <v>1</v>
      </c>
      <c r="AG157">
        <f>'Waterfall Creek'!AE12</f>
        <v>1</v>
      </c>
      <c r="AH157">
        <f>'Waterfall Creek'!AF12</f>
        <v>1</v>
      </c>
      <c r="AI157">
        <f>'Waterfall Creek'!AG12</f>
        <v>0</v>
      </c>
      <c r="AJ157">
        <f>'Waterfall Creek'!AH12</f>
        <v>1500</v>
      </c>
      <c r="AK157">
        <f>'Waterfall Creek'!AI12</f>
        <v>181</v>
      </c>
      <c r="AL157">
        <f>'Waterfall Creek'!AJ12</f>
        <v>33</v>
      </c>
      <c r="AM157">
        <f>'Waterfall Creek'!AK12</f>
        <v>6358</v>
      </c>
      <c r="AN157">
        <f>'Waterfall Creek'!AL12</f>
        <v>0.2</v>
      </c>
      <c r="AO157">
        <f>'Waterfall Creek'!AM12</f>
        <v>1592</v>
      </c>
      <c r="AP157">
        <f>'Waterfall Creek'!AN12</f>
        <v>233</v>
      </c>
      <c r="AQ157">
        <f>'Waterfall Creek'!AO12</f>
        <v>9</v>
      </c>
      <c r="AR157">
        <f>'Waterfall Creek'!AP12</f>
        <v>2232</v>
      </c>
      <c r="AS157">
        <f>'Waterfall Creek'!AQ12</f>
        <v>0.1</v>
      </c>
      <c r="AT157">
        <f>'Waterfall Creek'!AR12</f>
        <v>1722</v>
      </c>
      <c r="AU157">
        <f>'Waterfall Creek'!AS12</f>
        <v>559</v>
      </c>
      <c r="AV157">
        <f>'Waterfall Creek'!AT12</f>
        <v>101</v>
      </c>
      <c r="AW157">
        <f>'Waterfall Creek'!AU12</f>
        <v>60099</v>
      </c>
      <c r="AX157">
        <f>'Waterfall Creek'!AV12</f>
        <v>1.9</v>
      </c>
    </row>
    <row r="158" spans="1:50">
      <c r="A158" t="str">
        <f>'Waterfall Creek'!A13</f>
        <v>/Users/christophermarjo/Documents/Python/Projects/data/bushfire Raman/Waterfall Creek/WFC 1.5 (1)</v>
      </c>
      <c r="B158" t="str">
        <f t="shared" si="2"/>
        <v>Waterfall Creek</v>
      </c>
      <c r="C158">
        <v>1.5</v>
      </c>
      <c r="D158" t="str">
        <f>'Waterfall Creek'!B13</f>
        <v>28.92 counts</v>
      </c>
      <c r="E158">
        <f>'Waterfall Creek'!C13</f>
        <v>0.98250199999999999</v>
      </c>
      <c r="F158">
        <f>'Waterfall Creek'!D13</f>
        <v>1363</v>
      </c>
      <c r="G158">
        <f>'Waterfall Creek'!E13</f>
        <v>15649</v>
      </c>
      <c r="H158">
        <f>'Waterfall Creek'!F13</f>
        <v>286</v>
      </c>
      <c r="I158">
        <f>'Waterfall Creek'!G13</f>
        <v>4764144</v>
      </c>
      <c r="J158">
        <f>'Waterfall Creek'!H13</f>
        <v>69.5</v>
      </c>
      <c r="K158">
        <f>'Waterfall Creek'!I13</f>
        <v>1596</v>
      </c>
      <c r="L158">
        <f>'Waterfall Creek'!J13</f>
        <v>16609</v>
      </c>
      <c r="M158">
        <f>'Waterfall Creek'!K13</f>
        <v>100</v>
      </c>
      <c r="N158">
        <f>'Waterfall Creek'!L13</f>
        <v>1767973</v>
      </c>
      <c r="O158">
        <f>'Waterfall Creek'!M13</f>
        <v>25.8</v>
      </c>
      <c r="P158">
        <f>'Waterfall Creek'!N13</f>
        <v>1073</v>
      </c>
      <c r="Q158">
        <f>'Waterfall Creek'!O13</f>
        <v>615</v>
      </c>
      <c r="R158">
        <f>'Waterfall Creek'!P13</f>
        <v>111</v>
      </c>
      <c r="S158">
        <f>'Waterfall Creek'!Q13</f>
        <v>72666</v>
      </c>
      <c r="T158">
        <f>'Waterfall Creek'!R13</f>
        <v>1.1000000000000001</v>
      </c>
      <c r="U158">
        <f>'Waterfall Creek'!S13</f>
        <v>1170</v>
      </c>
      <c r="V158">
        <f>'Waterfall Creek'!T13</f>
        <v>37</v>
      </c>
      <c r="W158">
        <f>'Waterfall Creek'!U13</f>
        <v>1</v>
      </c>
      <c r="X158">
        <f>'Waterfall Creek'!V13</f>
        <v>39</v>
      </c>
      <c r="Y158">
        <f>'Waterfall Creek'!W13</f>
        <v>0</v>
      </c>
      <c r="Z158">
        <f>'Waterfall Creek'!X13</f>
        <v>1270</v>
      </c>
      <c r="AA158">
        <f>'Waterfall Creek'!Y13</f>
        <v>1</v>
      </c>
      <c r="AB158">
        <f>'Waterfall Creek'!Z13</f>
        <v>1</v>
      </c>
      <c r="AC158">
        <f>'Waterfall Creek'!AA13</f>
        <v>1</v>
      </c>
      <c r="AD158">
        <f>'Waterfall Creek'!AB13</f>
        <v>0</v>
      </c>
      <c r="AE158">
        <f>'Waterfall Creek'!AC13</f>
        <v>1400</v>
      </c>
      <c r="AF158">
        <f>'Waterfall Creek'!AD13</f>
        <v>1</v>
      </c>
      <c r="AG158">
        <f>'Waterfall Creek'!AE13</f>
        <v>155</v>
      </c>
      <c r="AH158">
        <f>'Waterfall Creek'!AF13</f>
        <v>165</v>
      </c>
      <c r="AI158">
        <f>'Waterfall Creek'!AG13</f>
        <v>0</v>
      </c>
      <c r="AJ158">
        <f>'Waterfall Creek'!AH13</f>
        <v>1534</v>
      </c>
      <c r="AK158">
        <f>'Waterfall Creek'!AI13</f>
        <v>201</v>
      </c>
      <c r="AL158">
        <f>'Waterfall Creek'!AJ13</f>
        <v>101</v>
      </c>
      <c r="AM158">
        <f>'Waterfall Creek'!AK13</f>
        <v>21610</v>
      </c>
      <c r="AN158">
        <f>'Waterfall Creek'!AL13</f>
        <v>0.3</v>
      </c>
      <c r="AO158">
        <f>'Waterfall Creek'!AM13</f>
        <v>1598</v>
      </c>
      <c r="AP158">
        <f>'Waterfall Creek'!AN13</f>
        <v>2133</v>
      </c>
      <c r="AQ158">
        <f>'Waterfall Creek'!AO13</f>
        <v>19</v>
      </c>
      <c r="AR158">
        <f>'Waterfall Creek'!AP13</f>
        <v>43140</v>
      </c>
      <c r="AS158">
        <f>'Waterfall Creek'!AQ13</f>
        <v>0.6</v>
      </c>
      <c r="AT158">
        <f>'Waterfall Creek'!AR13</f>
        <v>1736</v>
      </c>
      <c r="AU158">
        <f>'Waterfall Creek'!AS13</f>
        <v>1141</v>
      </c>
      <c r="AV158">
        <f>'Waterfall Creek'!AT13</f>
        <v>151</v>
      </c>
      <c r="AW158">
        <f>'Waterfall Creek'!AU13</f>
        <v>183398</v>
      </c>
      <c r="AX158">
        <f>'Waterfall Creek'!AV13</f>
        <v>2.7</v>
      </c>
    </row>
    <row r="159" spans="1:50">
      <c r="A159" t="str">
        <f>'Waterfall Creek'!A14</f>
        <v>/Users/christophermarjo/Documents/Python/Projects/data/bushfire Raman/Waterfall Creek/WFC 1.5 (2)</v>
      </c>
      <c r="B159" t="str">
        <f t="shared" si="2"/>
        <v>Waterfall Creek</v>
      </c>
      <c r="C159">
        <v>1.5</v>
      </c>
      <c r="D159" t="str">
        <f>'Waterfall Creek'!B14</f>
        <v>24.99 counts</v>
      </c>
      <c r="E159">
        <f>'Waterfall Creek'!C14</f>
        <v>0.98367899999999997</v>
      </c>
      <c r="F159">
        <f>'Waterfall Creek'!D14</f>
        <v>1369</v>
      </c>
      <c r="G159">
        <f>'Waterfall Creek'!E14</f>
        <v>13755</v>
      </c>
      <c r="H159">
        <f>'Waterfall Creek'!F14</f>
        <v>294</v>
      </c>
      <c r="I159">
        <f>'Waterfall Creek'!G14</f>
        <v>4304673</v>
      </c>
      <c r="J159">
        <f>'Waterfall Creek'!H14</f>
        <v>70.8</v>
      </c>
      <c r="K159">
        <f>'Waterfall Creek'!I14</f>
        <v>1594</v>
      </c>
      <c r="L159">
        <f>'Waterfall Creek'!J14</f>
        <v>14123</v>
      </c>
      <c r="M159">
        <f>'Waterfall Creek'!K14</f>
        <v>100</v>
      </c>
      <c r="N159">
        <f>'Waterfall Creek'!L14</f>
        <v>1503347</v>
      </c>
      <c r="O159">
        <f>'Waterfall Creek'!M14</f>
        <v>24.7</v>
      </c>
      <c r="P159">
        <f>'Waterfall Creek'!N14</f>
        <v>1067</v>
      </c>
      <c r="Q159">
        <f>'Waterfall Creek'!O14</f>
        <v>751</v>
      </c>
      <c r="R159">
        <f>'Waterfall Creek'!P14</f>
        <v>107</v>
      </c>
      <c r="S159">
        <f>'Waterfall Creek'!Q14</f>
        <v>85537</v>
      </c>
      <c r="T159">
        <f>'Waterfall Creek'!R14</f>
        <v>1.4</v>
      </c>
      <c r="U159">
        <f>'Waterfall Creek'!S14</f>
        <v>1156</v>
      </c>
      <c r="V159">
        <f>'Waterfall Creek'!T14</f>
        <v>77</v>
      </c>
      <c r="W159">
        <f>'Waterfall Creek'!U14</f>
        <v>3</v>
      </c>
      <c r="X159">
        <f>'Waterfall Creek'!V14</f>
        <v>246</v>
      </c>
      <c r="Y159">
        <f>'Waterfall Creek'!W14</f>
        <v>0</v>
      </c>
      <c r="Z159">
        <f>'Waterfall Creek'!X14</f>
        <v>1270</v>
      </c>
      <c r="AA159">
        <f>'Waterfall Creek'!Y14</f>
        <v>1</v>
      </c>
      <c r="AB159">
        <f>'Waterfall Creek'!Z14</f>
        <v>1</v>
      </c>
      <c r="AC159">
        <f>'Waterfall Creek'!AA14</f>
        <v>1</v>
      </c>
      <c r="AD159">
        <f>'Waterfall Creek'!AB14</f>
        <v>0</v>
      </c>
      <c r="AE159">
        <f>'Waterfall Creek'!AC14</f>
        <v>1400</v>
      </c>
      <c r="AF159">
        <f>'Waterfall Creek'!AD14</f>
        <v>1</v>
      </c>
      <c r="AG159">
        <f>'Waterfall Creek'!AE14</f>
        <v>141</v>
      </c>
      <c r="AH159">
        <f>'Waterfall Creek'!AF14</f>
        <v>150</v>
      </c>
      <c r="AI159">
        <f>'Waterfall Creek'!AG14</f>
        <v>0</v>
      </c>
      <c r="AJ159">
        <f>'Waterfall Creek'!AH14</f>
        <v>1500</v>
      </c>
      <c r="AK159">
        <f>'Waterfall Creek'!AI14</f>
        <v>491</v>
      </c>
      <c r="AL159">
        <f>'Waterfall Creek'!AJ14</f>
        <v>29</v>
      </c>
      <c r="AM159">
        <f>'Waterfall Creek'!AK14</f>
        <v>15157</v>
      </c>
      <c r="AN159">
        <f>'Waterfall Creek'!AL14</f>
        <v>0.2</v>
      </c>
      <c r="AO159">
        <f>'Waterfall Creek'!AM14</f>
        <v>1596</v>
      </c>
      <c r="AP159">
        <f>'Waterfall Creek'!AN14</f>
        <v>4095</v>
      </c>
      <c r="AQ159">
        <f>'Waterfall Creek'!AO14</f>
        <v>11</v>
      </c>
      <c r="AR159">
        <f>'Waterfall Creek'!AP14</f>
        <v>47949</v>
      </c>
      <c r="AS159">
        <f>'Waterfall Creek'!AQ14</f>
        <v>0.8</v>
      </c>
      <c r="AT159">
        <f>'Waterfall Creek'!AR14</f>
        <v>1732</v>
      </c>
      <c r="AU159">
        <f>'Waterfall Creek'!AS14</f>
        <v>683</v>
      </c>
      <c r="AV159">
        <f>'Waterfall Creek'!AT14</f>
        <v>173</v>
      </c>
      <c r="AW159">
        <f>'Waterfall Creek'!AU14</f>
        <v>125776</v>
      </c>
      <c r="AX159">
        <f>'Waterfall Creek'!AV14</f>
        <v>2.1</v>
      </c>
    </row>
    <row r="160" spans="1:50">
      <c r="A160" t="str">
        <f>'Waterfall Creek'!A15</f>
        <v>/Users/christophermarjo/Documents/Python/Projects/data/bushfire Raman/Waterfall Creek/WFC 1.5 (3)</v>
      </c>
      <c r="B160" t="str">
        <f t="shared" si="2"/>
        <v>Waterfall Creek</v>
      </c>
      <c r="C160">
        <v>1.5</v>
      </c>
      <c r="D160" t="str">
        <f>'Waterfall Creek'!B15</f>
        <v>40.49 counts</v>
      </c>
      <c r="E160">
        <f>'Waterfall Creek'!C15</f>
        <v>0.98984399999999995</v>
      </c>
      <c r="F160">
        <f>'Waterfall Creek'!D15</f>
        <v>1369</v>
      </c>
      <c r="G160">
        <f>'Waterfall Creek'!E15</f>
        <v>27139</v>
      </c>
      <c r="H160">
        <f>'Waterfall Creek'!F15</f>
        <v>338</v>
      </c>
      <c r="I160">
        <f>'Waterfall Creek'!G15</f>
        <v>9764337</v>
      </c>
      <c r="J160">
        <f>'Waterfall Creek'!H15</f>
        <v>72</v>
      </c>
      <c r="K160">
        <f>'Waterfall Creek'!I15</f>
        <v>1592</v>
      </c>
      <c r="L160">
        <f>'Waterfall Creek'!J15</f>
        <v>29535</v>
      </c>
      <c r="M160">
        <f>'Waterfall Creek'!K15</f>
        <v>100</v>
      </c>
      <c r="N160">
        <f>'Waterfall Creek'!L15</f>
        <v>3143903</v>
      </c>
      <c r="O160">
        <f>'Waterfall Creek'!M15</f>
        <v>23.2</v>
      </c>
      <c r="P160">
        <f>'Waterfall Creek'!N15</f>
        <v>1069</v>
      </c>
      <c r="Q160">
        <f>'Waterfall Creek'!O15</f>
        <v>631</v>
      </c>
      <c r="R160">
        <f>'Waterfall Creek'!P15</f>
        <v>67</v>
      </c>
      <c r="S160">
        <f>'Waterfall Creek'!Q15</f>
        <v>45002</v>
      </c>
      <c r="T160">
        <f>'Waterfall Creek'!R15</f>
        <v>0.3</v>
      </c>
      <c r="U160">
        <f>'Waterfall Creek'!S15</f>
        <v>1154</v>
      </c>
      <c r="V160">
        <f>'Waterfall Creek'!T15</f>
        <v>1</v>
      </c>
      <c r="W160">
        <f>'Waterfall Creek'!U15</f>
        <v>1</v>
      </c>
      <c r="X160">
        <f>'Waterfall Creek'!V15</f>
        <v>1</v>
      </c>
      <c r="Y160">
        <f>'Waterfall Creek'!W15</f>
        <v>0</v>
      </c>
      <c r="Z160">
        <f>'Waterfall Creek'!X15</f>
        <v>1270</v>
      </c>
      <c r="AA160">
        <f>'Waterfall Creek'!Y15</f>
        <v>1</v>
      </c>
      <c r="AB160">
        <f>'Waterfall Creek'!Z15</f>
        <v>1</v>
      </c>
      <c r="AC160">
        <f>'Waterfall Creek'!AA15</f>
        <v>1</v>
      </c>
      <c r="AD160">
        <f>'Waterfall Creek'!AB15</f>
        <v>0</v>
      </c>
      <c r="AE160">
        <f>'Waterfall Creek'!AC15</f>
        <v>1456</v>
      </c>
      <c r="AF160">
        <f>'Waterfall Creek'!AD15</f>
        <v>71</v>
      </c>
      <c r="AG160">
        <f>'Waterfall Creek'!AE15</f>
        <v>159</v>
      </c>
      <c r="AH160">
        <f>'Waterfall Creek'!AF15</f>
        <v>12017</v>
      </c>
      <c r="AI160">
        <f>'Waterfall Creek'!AG15</f>
        <v>0.1</v>
      </c>
      <c r="AJ160">
        <f>'Waterfall Creek'!AH15</f>
        <v>1500</v>
      </c>
      <c r="AK160">
        <f>'Waterfall Creek'!AI15</f>
        <v>1875</v>
      </c>
      <c r="AL160">
        <f>'Waterfall Creek'!AJ15</f>
        <v>35</v>
      </c>
      <c r="AM160">
        <f>'Waterfall Creek'!AK15</f>
        <v>69856</v>
      </c>
      <c r="AN160">
        <f>'Waterfall Creek'!AL15</f>
        <v>0.5</v>
      </c>
      <c r="AO160">
        <f>'Waterfall Creek'!AM15</f>
        <v>1598</v>
      </c>
      <c r="AP160">
        <f>'Waterfall Creek'!AN15</f>
        <v>3243</v>
      </c>
      <c r="AQ160">
        <f>'Waterfall Creek'!AO15</f>
        <v>29</v>
      </c>
      <c r="AR160">
        <f>'Waterfall Creek'!AP15</f>
        <v>100110</v>
      </c>
      <c r="AS160">
        <f>'Waterfall Creek'!AQ15</f>
        <v>0.7</v>
      </c>
      <c r="AT160">
        <f>'Waterfall Creek'!AR15</f>
        <v>1746</v>
      </c>
      <c r="AU160">
        <f>'Waterfall Creek'!AS15</f>
        <v>1979</v>
      </c>
      <c r="AV160">
        <f>'Waterfall Creek'!AT15</f>
        <v>199</v>
      </c>
      <c r="AW160">
        <f>'Waterfall Creek'!AU15</f>
        <v>419209</v>
      </c>
      <c r="AX160">
        <f>'Waterfall Creek'!AV15</f>
        <v>3.1</v>
      </c>
    </row>
    <row r="161" spans="1:50">
      <c r="A161" t="str">
        <f>'Waterfall Creek'!A16</f>
        <v>/Users/christophermarjo/Documents/Python/Projects/data/bushfire Raman/Waterfall Creek/WFC 2 (1)</v>
      </c>
      <c r="B161" t="str">
        <f t="shared" si="2"/>
        <v>Waterfall Creek</v>
      </c>
      <c r="C161">
        <v>2</v>
      </c>
      <c r="D161" t="str">
        <f>'Waterfall Creek'!B16</f>
        <v>10.12 counts</v>
      </c>
      <c r="E161">
        <f>'Waterfall Creek'!C16</f>
        <v>0.99048000000000003</v>
      </c>
      <c r="F161">
        <f>'Waterfall Creek'!D16</f>
        <v>1369</v>
      </c>
      <c r="G161">
        <f>'Waterfall Creek'!E16</f>
        <v>6841</v>
      </c>
      <c r="H161">
        <f>'Waterfall Creek'!F16</f>
        <v>322</v>
      </c>
      <c r="I161">
        <f>'Waterfall Creek'!G16</f>
        <v>2344810</v>
      </c>
      <c r="J161">
        <f>'Waterfall Creek'!H16</f>
        <v>68.8</v>
      </c>
      <c r="K161">
        <f>'Waterfall Creek'!I16</f>
        <v>1592</v>
      </c>
      <c r="L161">
        <f>'Waterfall Creek'!J16</f>
        <v>8119</v>
      </c>
      <c r="M161">
        <f>'Waterfall Creek'!K16</f>
        <v>100</v>
      </c>
      <c r="N161">
        <f>'Waterfall Creek'!L16</f>
        <v>864241</v>
      </c>
      <c r="O161">
        <f>'Waterfall Creek'!M16</f>
        <v>25.4</v>
      </c>
      <c r="P161">
        <f>'Waterfall Creek'!N16</f>
        <v>1041</v>
      </c>
      <c r="Q161">
        <f>'Waterfall Creek'!O16</f>
        <v>275</v>
      </c>
      <c r="R161">
        <f>'Waterfall Creek'!P16</f>
        <v>73</v>
      </c>
      <c r="S161">
        <f>'Waterfall Creek'!Q16</f>
        <v>21369</v>
      </c>
      <c r="T161">
        <f>'Waterfall Creek'!R16</f>
        <v>0.6</v>
      </c>
      <c r="U161">
        <f>'Waterfall Creek'!S16</f>
        <v>1150</v>
      </c>
      <c r="V161">
        <f>'Waterfall Creek'!T16</f>
        <v>81</v>
      </c>
      <c r="W161">
        <f>'Waterfall Creek'!U16</f>
        <v>1</v>
      </c>
      <c r="X161">
        <f>'Waterfall Creek'!V16</f>
        <v>86</v>
      </c>
      <c r="Y161">
        <f>'Waterfall Creek'!W16</f>
        <v>0</v>
      </c>
      <c r="Z161">
        <f>'Waterfall Creek'!X16</f>
        <v>1270</v>
      </c>
      <c r="AA161">
        <f>'Waterfall Creek'!Y16</f>
        <v>1</v>
      </c>
      <c r="AB161">
        <f>'Waterfall Creek'!Z16</f>
        <v>1</v>
      </c>
      <c r="AC161">
        <f>'Waterfall Creek'!AA16</f>
        <v>1</v>
      </c>
      <c r="AD161">
        <f>'Waterfall Creek'!AB16</f>
        <v>0</v>
      </c>
      <c r="AE161">
        <f>'Waterfall Creek'!AC16</f>
        <v>1450</v>
      </c>
      <c r="AF161">
        <f>'Waterfall Creek'!AD16</f>
        <v>33</v>
      </c>
      <c r="AG161">
        <f>'Waterfall Creek'!AE16</f>
        <v>1</v>
      </c>
      <c r="AH161">
        <f>'Waterfall Creek'!AF16</f>
        <v>35</v>
      </c>
      <c r="AI161">
        <f>'Waterfall Creek'!AG16</f>
        <v>0</v>
      </c>
      <c r="AJ161">
        <f>'Waterfall Creek'!AH16</f>
        <v>1500</v>
      </c>
      <c r="AK161">
        <f>'Waterfall Creek'!AI16</f>
        <v>391</v>
      </c>
      <c r="AL161">
        <f>'Waterfall Creek'!AJ16</f>
        <v>21</v>
      </c>
      <c r="AM161">
        <f>'Waterfall Creek'!AK16</f>
        <v>8740</v>
      </c>
      <c r="AN161">
        <f>'Waterfall Creek'!AL16</f>
        <v>0.3</v>
      </c>
      <c r="AO161">
        <f>'Waterfall Creek'!AM16</f>
        <v>1598</v>
      </c>
      <c r="AP161">
        <f>'Waterfall Creek'!AN16</f>
        <v>1013</v>
      </c>
      <c r="AQ161">
        <f>'Waterfall Creek'!AO16</f>
        <v>29</v>
      </c>
      <c r="AR161">
        <f>'Waterfall Creek'!AP16</f>
        <v>31271</v>
      </c>
      <c r="AS161">
        <f>'Waterfall Creek'!AQ16</f>
        <v>0.9</v>
      </c>
      <c r="AT161">
        <f>'Waterfall Creek'!AR16</f>
        <v>1734</v>
      </c>
      <c r="AU161">
        <f>'Waterfall Creek'!AS16</f>
        <v>833</v>
      </c>
      <c r="AV161">
        <f>'Waterfall Creek'!AT16</f>
        <v>153</v>
      </c>
      <c r="AW161">
        <f>'Waterfall Creek'!AU16</f>
        <v>135665</v>
      </c>
      <c r="AX161">
        <f>'Waterfall Creek'!AV16</f>
        <v>4</v>
      </c>
    </row>
    <row r="162" spans="1:50">
      <c r="A162" t="str">
        <f>'Waterfall Creek'!A17</f>
        <v>/Users/christophermarjo/Documents/Python/Projects/data/bushfire Raman/Waterfall Creek/WFC 2 (2)</v>
      </c>
      <c r="B162" t="str">
        <f t="shared" si="2"/>
        <v>Waterfall Creek</v>
      </c>
      <c r="C162">
        <v>2</v>
      </c>
      <c r="D162" t="str">
        <f>'Waterfall Creek'!B17</f>
        <v>64.00 counts</v>
      </c>
      <c r="E162">
        <f>'Waterfall Creek'!C17</f>
        <v>0.98513300000000004</v>
      </c>
      <c r="F162">
        <f>'Waterfall Creek'!D17</f>
        <v>1369</v>
      </c>
      <c r="G162">
        <f>'Waterfall Creek'!E17</f>
        <v>34797</v>
      </c>
      <c r="H162">
        <f>'Waterfall Creek'!F17</f>
        <v>308</v>
      </c>
      <c r="I162">
        <f>'Waterfall Creek'!G17</f>
        <v>11408400</v>
      </c>
      <c r="J162">
        <f>'Waterfall Creek'!H17</f>
        <v>65.599999999999994</v>
      </c>
      <c r="K162">
        <f>'Waterfall Creek'!I17</f>
        <v>1596</v>
      </c>
      <c r="L162">
        <f>'Waterfall Creek'!J17</f>
        <v>43981</v>
      </c>
      <c r="M162">
        <f>'Waterfall Creek'!K17</f>
        <v>100</v>
      </c>
      <c r="N162">
        <f>'Waterfall Creek'!L17</f>
        <v>4681632</v>
      </c>
      <c r="O162">
        <f>'Waterfall Creek'!M17</f>
        <v>26.9</v>
      </c>
      <c r="P162">
        <f>'Waterfall Creek'!N17</f>
        <v>1037</v>
      </c>
      <c r="Q162">
        <f>'Waterfall Creek'!O17</f>
        <v>1097</v>
      </c>
      <c r="R162">
        <f>'Waterfall Creek'!P17</f>
        <v>65</v>
      </c>
      <c r="S162">
        <f>'Waterfall Creek'!Q17</f>
        <v>75902</v>
      </c>
      <c r="T162">
        <f>'Waterfall Creek'!R17</f>
        <v>0.4</v>
      </c>
      <c r="U162">
        <f>'Waterfall Creek'!S17</f>
        <v>1156</v>
      </c>
      <c r="V162">
        <f>'Waterfall Creek'!T17</f>
        <v>1587</v>
      </c>
      <c r="W162">
        <f>'Waterfall Creek'!U17</f>
        <v>29</v>
      </c>
      <c r="X162">
        <f>'Waterfall Creek'!V17</f>
        <v>48990</v>
      </c>
      <c r="Y162">
        <f>'Waterfall Creek'!W17</f>
        <v>0.3</v>
      </c>
      <c r="Z162">
        <f>'Waterfall Creek'!X17</f>
        <v>1270</v>
      </c>
      <c r="AA162">
        <f>'Waterfall Creek'!Y17</f>
        <v>1</v>
      </c>
      <c r="AB162">
        <f>'Waterfall Creek'!Z17</f>
        <v>1</v>
      </c>
      <c r="AC162">
        <f>'Waterfall Creek'!AA17</f>
        <v>1</v>
      </c>
      <c r="AD162">
        <f>'Waterfall Creek'!AB17</f>
        <v>0</v>
      </c>
      <c r="AE162">
        <f>'Waterfall Creek'!AC17</f>
        <v>1456</v>
      </c>
      <c r="AF162">
        <f>'Waterfall Creek'!AD17</f>
        <v>47</v>
      </c>
      <c r="AG162">
        <f>'Waterfall Creek'!AE17</f>
        <v>1</v>
      </c>
      <c r="AH162">
        <f>'Waterfall Creek'!AF17</f>
        <v>50</v>
      </c>
      <c r="AI162">
        <f>'Waterfall Creek'!AG17</f>
        <v>0</v>
      </c>
      <c r="AJ162">
        <f>'Waterfall Creek'!AH17</f>
        <v>1500</v>
      </c>
      <c r="AK162">
        <f>'Waterfall Creek'!AI17</f>
        <v>2113</v>
      </c>
      <c r="AL162">
        <f>'Waterfall Creek'!AJ17</f>
        <v>29</v>
      </c>
      <c r="AM162">
        <f>'Waterfall Creek'!AK17</f>
        <v>65227</v>
      </c>
      <c r="AN162">
        <f>'Waterfall Creek'!AL17</f>
        <v>0.4</v>
      </c>
      <c r="AO162">
        <f>'Waterfall Creek'!AM17</f>
        <v>1592</v>
      </c>
      <c r="AP162">
        <f>'Waterfall Creek'!AN17</f>
        <v>5131</v>
      </c>
      <c r="AQ162">
        <f>'Waterfall Creek'!AO17</f>
        <v>19</v>
      </c>
      <c r="AR162">
        <f>'Waterfall Creek'!AP17</f>
        <v>103774</v>
      </c>
      <c r="AS162">
        <f>'Waterfall Creek'!AQ17</f>
        <v>0.6</v>
      </c>
      <c r="AT162">
        <f>'Waterfall Creek'!AR17</f>
        <v>1748</v>
      </c>
      <c r="AU162">
        <f>'Waterfall Creek'!AS17</f>
        <v>4803</v>
      </c>
      <c r="AV162">
        <f>'Waterfall Creek'!AT17</f>
        <v>199</v>
      </c>
      <c r="AW162">
        <f>'Waterfall Creek'!AU17</f>
        <v>1017414</v>
      </c>
      <c r="AX162">
        <f>'Waterfall Creek'!AV17</f>
        <v>5.8</v>
      </c>
    </row>
    <row r="163" spans="1:50">
      <c r="A163" t="str">
        <f>'Waterfall Creek'!A18</f>
        <v>/Users/christophermarjo/Documents/Python/Projects/data/bushfire Raman/Waterfall Creek/WFC 2 (3)</v>
      </c>
      <c r="B163" t="str">
        <f t="shared" si="2"/>
        <v>Waterfall Creek</v>
      </c>
      <c r="C163">
        <v>2</v>
      </c>
      <c r="D163" t="str">
        <f>'Waterfall Creek'!B18</f>
        <v>19.59 counts</v>
      </c>
      <c r="E163">
        <f>'Waterfall Creek'!C18</f>
        <v>0.99274799999999996</v>
      </c>
      <c r="F163">
        <f>'Waterfall Creek'!D18</f>
        <v>1369</v>
      </c>
      <c r="G163">
        <f>'Waterfall Creek'!E18</f>
        <v>15043</v>
      </c>
      <c r="H163">
        <f>'Waterfall Creek'!F18</f>
        <v>318</v>
      </c>
      <c r="I163">
        <f>'Waterfall Creek'!G18</f>
        <v>5092063</v>
      </c>
      <c r="J163">
        <f>'Waterfall Creek'!H18</f>
        <v>68.5</v>
      </c>
      <c r="K163">
        <f>'Waterfall Creek'!I18</f>
        <v>1592</v>
      </c>
      <c r="L163">
        <f>'Waterfall Creek'!J18</f>
        <v>18179</v>
      </c>
      <c r="M163">
        <f>'Waterfall Creek'!K18</f>
        <v>100</v>
      </c>
      <c r="N163">
        <f>'Waterfall Creek'!L18</f>
        <v>1935095</v>
      </c>
      <c r="O163">
        <f>'Waterfall Creek'!M18</f>
        <v>26</v>
      </c>
      <c r="P163">
        <f>'Waterfall Creek'!N18</f>
        <v>1039</v>
      </c>
      <c r="Q163">
        <f>'Waterfall Creek'!O18</f>
        <v>499</v>
      </c>
      <c r="R163">
        <f>'Waterfall Creek'!P18</f>
        <v>61</v>
      </c>
      <c r="S163">
        <f>'Waterfall Creek'!Q18</f>
        <v>32401</v>
      </c>
      <c r="T163">
        <f>'Waterfall Creek'!R18</f>
        <v>0.4</v>
      </c>
      <c r="U163">
        <f>'Waterfall Creek'!S18</f>
        <v>1152</v>
      </c>
      <c r="V163">
        <f>'Waterfall Creek'!T18</f>
        <v>169</v>
      </c>
      <c r="W163">
        <f>'Waterfall Creek'!U18</f>
        <v>11</v>
      </c>
      <c r="X163">
        <f>'Waterfall Creek'!V18</f>
        <v>1979</v>
      </c>
      <c r="Y163">
        <f>'Waterfall Creek'!W18</f>
        <v>0</v>
      </c>
      <c r="Z163">
        <f>'Waterfall Creek'!X18</f>
        <v>1270</v>
      </c>
      <c r="AA163">
        <f>'Waterfall Creek'!Y18</f>
        <v>1</v>
      </c>
      <c r="AB163">
        <f>'Waterfall Creek'!Z18</f>
        <v>1</v>
      </c>
      <c r="AC163">
        <f>'Waterfall Creek'!AA18</f>
        <v>1</v>
      </c>
      <c r="AD163">
        <f>'Waterfall Creek'!AB18</f>
        <v>0</v>
      </c>
      <c r="AE163">
        <f>'Waterfall Creek'!AC18</f>
        <v>1400</v>
      </c>
      <c r="AF163">
        <f>'Waterfall Creek'!AD18</f>
        <v>1</v>
      </c>
      <c r="AG163">
        <f>'Waterfall Creek'!AE18</f>
        <v>1</v>
      </c>
      <c r="AH163">
        <f>'Waterfall Creek'!AF18</f>
        <v>1</v>
      </c>
      <c r="AI163">
        <f>'Waterfall Creek'!AG18</f>
        <v>0</v>
      </c>
      <c r="AJ163">
        <f>'Waterfall Creek'!AH18</f>
        <v>1500</v>
      </c>
      <c r="AK163">
        <f>'Waterfall Creek'!AI18</f>
        <v>955</v>
      </c>
      <c r="AL163">
        <f>'Waterfall Creek'!AJ18</f>
        <v>27</v>
      </c>
      <c r="AM163">
        <f>'Waterfall Creek'!AK18</f>
        <v>27447</v>
      </c>
      <c r="AN163">
        <f>'Waterfall Creek'!AL18</f>
        <v>0.4</v>
      </c>
      <c r="AO163">
        <f>'Waterfall Creek'!AM18</f>
        <v>1594</v>
      </c>
      <c r="AP163">
        <f>'Waterfall Creek'!AN18</f>
        <v>2369</v>
      </c>
      <c r="AQ163">
        <f>'Waterfall Creek'!AO18</f>
        <v>31</v>
      </c>
      <c r="AR163">
        <f>'Waterfall Creek'!AP18</f>
        <v>78173</v>
      </c>
      <c r="AS163">
        <f>'Waterfall Creek'!AQ18</f>
        <v>1.1000000000000001</v>
      </c>
      <c r="AT163">
        <f>'Waterfall Creek'!AR18</f>
        <v>1742</v>
      </c>
      <c r="AU163">
        <f>'Waterfall Creek'!AS18</f>
        <v>1481</v>
      </c>
      <c r="AV163">
        <f>'Waterfall Creek'!AT18</f>
        <v>169</v>
      </c>
      <c r="AW163">
        <f>'Waterfall Creek'!AU18</f>
        <v>266424</v>
      </c>
      <c r="AX163">
        <f>'Waterfall Creek'!AV18</f>
        <v>3.6</v>
      </c>
    </row>
    <row r="164" spans="1:50">
      <c r="A164" t="str">
        <f>'Waterfall Creek'!A19</f>
        <v>/Users/christophermarjo/Documents/Python/Projects/data/bushfire Raman/Waterfall Creek/WFC 2.5 (1)</v>
      </c>
      <c r="B164" t="str">
        <f t="shared" si="2"/>
        <v>Waterfall Creek</v>
      </c>
      <c r="C164">
        <v>2.5</v>
      </c>
      <c r="D164" t="str">
        <f>'Waterfall Creek'!B19</f>
        <v>11.53 counts</v>
      </c>
      <c r="E164">
        <f>'Waterfall Creek'!C19</f>
        <v>0.98619000000000001</v>
      </c>
      <c r="F164">
        <f>'Waterfall Creek'!D19</f>
        <v>1367</v>
      </c>
      <c r="G164">
        <f>'Waterfall Creek'!E19</f>
        <v>6969</v>
      </c>
      <c r="H164">
        <f>'Waterfall Creek'!F19</f>
        <v>288</v>
      </c>
      <c r="I164">
        <f>'Waterfall Creek'!G19</f>
        <v>2136462</v>
      </c>
      <c r="J164">
        <f>'Waterfall Creek'!H19</f>
        <v>67.400000000000006</v>
      </c>
      <c r="K164">
        <f>'Waterfall Creek'!I19</f>
        <v>1592</v>
      </c>
      <c r="L164">
        <f>'Waterfall Creek'!J19</f>
        <v>7697</v>
      </c>
      <c r="M164">
        <f>'Waterfall Creek'!K19</f>
        <v>100</v>
      </c>
      <c r="N164">
        <f>'Waterfall Creek'!L19</f>
        <v>819320</v>
      </c>
      <c r="O164">
        <f>'Waterfall Creek'!M19</f>
        <v>25.9</v>
      </c>
      <c r="P164">
        <f>'Waterfall Creek'!N19</f>
        <v>1063</v>
      </c>
      <c r="Q164">
        <f>'Waterfall Creek'!O19</f>
        <v>395</v>
      </c>
      <c r="R164">
        <f>'Waterfall Creek'!P19</f>
        <v>101</v>
      </c>
      <c r="S164">
        <f>'Waterfall Creek'!Q19</f>
        <v>42467</v>
      </c>
      <c r="T164">
        <f>'Waterfall Creek'!R19</f>
        <v>1.3</v>
      </c>
      <c r="U164">
        <f>'Waterfall Creek'!S19</f>
        <v>1156</v>
      </c>
      <c r="V164">
        <f>'Waterfall Creek'!T19</f>
        <v>3</v>
      </c>
      <c r="W164">
        <f>'Waterfall Creek'!U19</f>
        <v>13</v>
      </c>
      <c r="X164">
        <f>'Waterfall Creek'!V19</f>
        <v>42</v>
      </c>
      <c r="Y164">
        <f>'Waterfall Creek'!W19</f>
        <v>0</v>
      </c>
      <c r="Z164">
        <f>'Waterfall Creek'!X19</f>
        <v>1270</v>
      </c>
      <c r="AA164">
        <f>'Waterfall Creek'!Y19</f>
        <v>1</v>
      </c>
      <c r="AB164">
        <f>'Waterfall Creek'!Z19</f>
        <v>1</v>
      </c>
      <c r="AC164">
        <f>'Waterfall Creek'!AA19</f>
        <v>1</v>
      </c>
      <c r="AD164">
        <f>'Waterfall Creek'!AB19</f>
        <v>0</v>
      </c>
      <c r="AE164">
        <f>'Waterfall Creek'!AC19</f>
        <v>1400</v>
      </c>
      <c r="AF164">
        <f>'Waterfall Creek'!AD19</f>
        <v>1</v>
      </c>
      <c r="AG164">
        <f>'Waterfall Creek'!AE19</f>
        <v>1</v>
      </c>
      <c r="AH164">
        <f>'Waterfall Creek'!AF19</f>
        <v>1</v>
      </c>
      <c r="AI164">
        <f>'Waterfall Creek'!AG19</f>
        <v>0</v>
      </c>
      <c r="AJ164">
        <f>'Waterfall Creek'!AH19</f>
        <v>1500</v>
      </c>
      <c r="AK164">
        <f>'Waterfall Creek'!AI19</f>
        <v>211</v>
      </c>
      <c r="AL164">
        <f>'Waterfall Creek'!AJ19</f>
        <v>37</v>
      </c>
      <c r="AM164">
        <f>'Waterfall Creek'!AK19</f>
        <v>8310</v>
      </c>
      <c r="AN164">
        <f>'Waterfall Creek'!AL19</f>
        <v>0.3</v>
      </c>
      <c r="AO164">
        <f>'Waterfall Creek'!AM19</f>
        <v>1598</v>
      </c>
      <c r="AP164">
        <f>'Waterfall Creek'!AN19</f>
        <v>869</v>
      </c>
      <c r="AQ164">
        <f>'Waterfall Creek'!AO19</f>
        <v>25</v>
      </c>
      <c r="AR164">
        <f>'Waterfall Creek'!AP19</f>
        <v>23126</v>
      </c>
      <c r="AS164">
        <f>'Waterfall Creek'!AQ19</f>
        <v>0.7</v>
      </c>
      <c r="AT164">
        <f>'Waterfall Creek'!AR19</f>
        <v>1728</v>
      </c>
      <c r="AU164">
        <f>'Waterfall Creek'!AS19</f>
        <v>975</v>
      </c>
      <c r="AV164">
        <f>'Waterfall Creek'!AT19</f>
        <v>133</v>
      </c>
      <c r="AW164">
        <f>'Waterfall Creek'!AU19</f>
        <v>138035</v>
      </c>
      <c r="AX164">
        <f>'Waterfall Creek'!AV19</f>
        <v>4.4000000000000004</v>
      </c>
    </row>
    <row r="165" spans="1:50">
      <c r="A165" t="str">
        <f>'Waterfall Creek'!A20</f>
        <v>/Users/christophermarjo/Documents/Python/Projects/data/bushfire Raman/Waterfall Creek/WFC 2.5 (2)</v>
      </c>
      <c r="B165" t="str">
        <f t="shared" si="2"/>
        <v>Waterfall Creek</v>
      </c>
      <c r="C165">
        <v>2.5</v>
      </c>
      <c r="D165" t="str">
        <f>'Waterfall Creek'!B20</f>
        <v>31.97 counts</v>
      </c>
      <c r="E165">
        <f>'Waterfall Creek'!C20</f>
        <v>0.96092100000000003</v>
      </c>
      <c r="F165">
        <f>'Waterfall Creek'!D20</f>
        <v>1369</v>
      </c>
      <c r="G165">
        <f>'Waterfall Creek'!E20</f>
        <v>9315</v>
      </c>
      <c r="H165">
        <f>'Waterfall Creek'!F20</f>
        <v>184</v>
      </c>
      <c r="I165">
        <f>'Waterfall Creek'!G20</f>
        <v>1824454</v>
      </c>
      <c r="J165">
        <f>'Waterfall Creek'!H20</f>
        <v>43.5</v>
      </c>
      <c r="K165">
        <f>'Waterfall Creek'!I20</f>
        <v>1592</v>
      </c>
      <c r="L165">
        <f>'Waterfall Creek'!J20</f>
        <v>15795</v>
      </c>
      <c r="M165">
        <f>'Waterfall Creek'!K20</f>
        <v>110</v>
      </c>
      <c r="N165">
        <f>'Waterfall Creek'!L20</f>
        <v>1849458</v>
      </c>
      <c r="O165">
        <f>'Waterfall Creek'!M20</f>
        <v>44.1</v>
      </c>
      <c r="P165">
        <f>'Waterfall Creek'!N20</f>
        <v>1007</v>
      </c>
      <c r="Q165">
        <f>'Waterfall Creek'!O20</f>
        <v>391</v>
      </c>
      <c r="R165">
        <f>'Waterfall Creek'!P20</f>
        <v>1</v>
      </c>
      <c r="S165">
        <f>'Waterfall Creek'!Q20</f>
        <v>416</v>
      </c>
      <c r="T165">
        <f>'Waterfall Creek'!R20</f>
        <v>0</v>
      </c>
      <c r="U165">
        <f>'Waterfall Creek'!S20</f>
        <v>1156</v>
      </c>
      <c r="V165">
        <f>'Waterfall Creek'!T20</f>
        <v>1009</v>
      </c>
      <c r="W165">
        <f>'Waterfall Creek'!U20</f>
        <v>25</v>
      </c>
      <c r="X165">
        <f>'Waterfall Creek'!V20</f>
        <v>26851</v>
      </c>
      <c r="Y165">
        <f>'Waterfall Creek'!W20</f>
        <v>0.6</v>
      </c>
      <c r="Z165">
        <f>'Waterfall Creek'!X20</f>
        <v>1270</v>
      </c>
      <c r="AA165">
        <f>'Waterfall Creek'!Y20</f>
        <v>1</v>
      </c>
      <c r="AB165">
        <f>'Waterfall Creek'!Z20</f>
        <v>1</v>
      </c>
      <c r="AC165">
        <f>'Waterfall Creek'!AA20</f>
        <v>1</v>
      </c>
      <c r="AD165">
        <f>'Waterfall Creek'!AB20</f>
        <v>0</v>
      </c>
      <c r="AE165">
        <f>'Waterfall Creek'!AC20</f>
        <v>1458</v>
      </c>
      <c r="AF165">
        <f>'Waterfall Creek'!AD20</f>
        <v>3115</v>
      </c>
      <c r="AG165">
        <f>'Waterfall Creek'!AE20</f>
        <v>59</v>
      </c>
      <c r="AH165">
        <f>'Waterfall Creek'!AF20</f>
        <v>195633</v>
      </c>
      <c r="AI165">
        <f>'Waterfall Creek'!AG20</f>
        <v>4.7</v>
      </c>
      <c r="AJ165">
        <f>'Waterfall Creek'!AH20</f>
        <v>1502</v>
      </c>
      <c r="AK165">
        <f>'Waterfall Creek'!AI20</f>
        <v>2185</v>
      </c>
      <c r="AL165">
        <f>'Waterfall Creek'!AJ20</f>
        <v>37</v>
      </c>
      <c r="AM165">
        <f>'Waterfall Creek'!AK20</f>
        <v>86057</v>
      </c>
      <c r="AN165">
        <f>'Waterfall Creek'!AL20</f>
        <v>2.1</v>
      </c>
      <c r="AO165">
        <f>'Waterfall Creek'!AM20</f>
        <v>1592</v>
      </c>
      <c r="AP165">
        <f>'Waterfall Creek'!AN20</f>
        <v>1079</v>
      </c>
      <c r="AQ165">
        <f>'Waterfall Creek'!AO20</f>
        <v>19</v>
      </c>
      <c r="AR165">
        <f>'Waterfall Creek'!AP20</f>
        <v>21823</v>
      </c>
      <c r="AS165">
        <f>'Waterfall Creek'!AQ20</f>
        <v>0.5</v>
      </c>
      <c r="AT165">
        <f>'Waterfall Creek'!AR20</f>
        <v>1734</v>
      </c>
      <c r="AU165">
        <f>'Waterfall Creek'!AS20</f>
        <v>1975</v>
      </c>
      <c r="AV165">
        <f>'Waterfall Creek'!AT20</f>
        <v>89</v>
      </c>
      <c r="AW165">
        <f>'Waterfall Creek'!AU20</f>
        <v>187107</v>
      </c>
      <c r="AX165">
        <f>'Waterfall Creek'!AV20</f>
        <v>4.5</v>
      </c>
    </row>
    <row r="166" spans="1:50">
      <c r="A166" t="str">
        <f>'Waterfall Creek'!A21</f>
        <v>/Users/christophermarjo/Documents/Python/Projects/data/bushfire Raman/Waterfall Creek/WFC 2.5 (3)</v>
      </c>
      <c r="B166" t="str">
        <f t="shared" si="2"/>
        <v>Waterfall Creek</v>
      </c>
      <c r="C166">
        <v>2.5</v>
      </c>
      <c r="D166" t="str">
        <f>'Waterfall Creek'!B21</f>
        <v>13.41 counts</v>
      </c>
      <c r="E166">
        <f>'Waterfall Creek'!C21</f>
        <v>0.986209</v>
      </c>
      <c r="F166">
        <f>'Waterfall Creek'!D21</f>
        <v>1367</v>
      </c>
      <c r="G166">
        <f>'Waterfall Creek'!E21</f>
        <v>8051</v>
      </c>
      <c r="H166">
        <f>'Waterfall Creek'!F21</f>
        <v>298</v>
      </c>
      <c r="I166">
        <f>'Waterfall Creek'!G21</f>
        <v>2553867</v>
      </c>
      <c r="J166">
        <f>'Waterfall Creek'!H21</f>
        <v>67.8</v>
      </c>
      <c r="K166">
        <f>'Waterfall Creek'!I21</f>
        <v>1592</v>
      </c>
      <c r="L166">
        <f>'Waterfall Creek'!J21</f>
        <v>8883</v>
      </c>
      <c r="M166">
        <f>'Waterfall Creek'!K21</f>
        <v>100</v>
      </c>
      <c r="N166">
        <f>'Waterfall Creek'!L21</f>
        <v>945566</v>
      </c>
      <c r="O166">
        <f>'Waterfall Creek'!M21</f>
        <v>25.1</v>
      </c>
      <c r="P166">
        <f>'Waterfall Creek'!N21</f>
        <v>1059</v>
      </c>
      <c r="Q166">
        <f>'Waterfall Creek'!O21</f>
        <v>395</v>
      </c>
      <c r="R166">
        <f>'Waterfall Creek'!P21</f>
        <v>97</v>
      </c>
      <c r="S166">
        <f>'Waterfall Creek'!Q21</f>
        <v>40785</v>
      </c>
      <c r="T166">
        <f>'Waterfall Creek'!R21</f>
        <v>1.1000000000000001</v>
      </c>
      <c r="U166">
        <f>'Waterfall Creek'!S21</f>
        <v>1160</v>
      </c>
      <c r="V166">
        <f>'Waterfall Creek'!T21</f>
        <v>15</v>
      </c>
      <c r="W166">
        <f>'Waterfall Creek'!U21</f>
        <v>1</v>
      </c>
      <c r="X166">
        <f>'Waterfall Creek'!V21</f>
        <v>16</v>
      </c>
      <c r="Y166">
        <f>'Waterfall Creek'!W21</f>
        <v>0</v>
      </c>
      <c r="Z166">
        <f>'Waterfall Creek'!X21</f>
        <v>1270</v>
      </c>
      <c r="AA166">
        <f>'Waterfall Creek'!Y21</f>
        <v>1</v>
      </c>
      <c r="AB166">
        <f>'Waterfall Creek'!Z21</f>
        <v>1</v>
      </c>
      <c r="AC166">
        <f>'Waterfall Creek'!AA21</f>
        <v>1</v>
      </c>
      <c r="AD166">
        <f>'Waterfall Creek'!AB21</f>
        <v>0</v>
      </c>
      <c r="AE166">
        <f>'Waterfall Creek'!AC21</f>
        <v>1400</v>
      </c>
      <c r="AF166">
        <f>'Waterfall Creek'!AD21</f>
        <v>1</v>
      </c>
      <c r="AG166">
        <f>'Waterfall Creek'!AE21</f>
        <v>1</v>
      </c>
      <c r="AH166">
        <f>'Waterfall Creek'!AF21</f>
        <v>1</v>
      </c>
      <c r="AI166">
        <f>'Waterfall Creek'!AG21</f>
        <v>0</v>
      </c>
      <c r="AJ166">
        <f>'Waterfall Creek'!AH21</f>
        <v>1500</v>
      </c>
      <c r="AK166">
        <f>'Waterfall Creek'!AI21</f>
        <v>623</v>
      </c>
      <c r="AL166">
        <f>'Waterfall Creek'!AJ21</f>
        <v>25</v>
      </c>
      <c r="AM166">
        <f>'Waterfall Creek'!AK21</f>
        <v>16579</v>
      </c>
      <c r="AN166">
        <f>'Waterfall Creek'!AL21</f>
        <v>0.4</v>
      </c>
      <c r="AO166">
        <f>'Waterfall Creek'!AM21</f>
        <v>1598</v>
      </c>
      <c r="AP166">
        <f>'Waterfall Creek'!AN21</f>
        <v>921</v>
      </c>
      <c r="AQ166">
        <f>'Waterfall Creek'!AO21</f>
        <v>23</v>
      </c>
      <c r="AR166">
        <f>'Waterfall Creek'!AP21</f>
        <v>22549</v>
      </c>
      <c r="AS166">
        <f>'Waterfall Creek'!AQ21</f>
        <v>0.6</v>
      </c>
      <c r="AT166">
        <f>'Waterfall Creek'!AR21</f>
        <v>1746</v>
      </c>
      <c r="AU166">
        <f>'Waterfall Creek'!AS21</f>
        <v>921</v>
      </c>
      <c r="AV166">
        <f>'Waterfall Creek'!AT21</f>
        <v>191</v>
      </c>
      <c r="AW166">
        <f>'Waterfall Creek'!AU21</f>
        <v>187251</v>
      </c>
      <c r="AX166">
        <f>'Waterfall Creek'!AV21</f>
        <v>5</v>
      </c>
    </row>
    <row r="167" spans="1:50">
      <c r="A167" t="str">
        <f>'Waterfall Creek'!A22</f>
        <v>/Users/christophermarjo/Documents/Python/Projects/data/bushfire Raman/Waterfall Creek/WFC 2.5 (4)</v>
      </c>
      <c r="B167" t="str">
        <f t="shared" si="2"/>
        <v>Waterfall Creek</v>
      </c>
      <c r="C167">
        <v>2.5</v>
      </c>
      <c r="D167" t="str">
        <f>'Waterfall Creek'!B22</f>
        <v>31.28 counts</v>
      </c>
      <c r="E167">
        <f>'Waterfall Creek'!C22</f>
        <v>0.98684400000000005</v>
      </c>
      <c r="F167">
        <f>'Waterfall Creek'!D22</f>
        <v>1365</v>
      </c>
      <c r="G167">
        <f>'Waterfall Creek'!E22</f>
        <v>18253</v>
      </c>
      <c r="H167">
        <f>'Waterfall Creek'!F22</f>
        <v>316</v>
      </c>
      <c r="I167">
        <f>'Waterfall Creek'!G22</f>
        <v>6139791</v>
      </c>
      <c r="J167">
        <f>'Waterfall Creek'!H22</f>
        <v>67.5</v>
      </c>
      <c r="K167">
        <f>'Waterfall Creek'!I22</f>
        <v>1588</v>
      </c>
      <c r="L167">
        <f>'Waterfall Creek'!J22</f>
        <v>21299</v>
      </c>
      <c r="M167">
        <f>'Waterfall Creek'!K22</f>
        <v>112</v>
      </c>
      <c r="N167">
        <f>'Waterfall Creek'!L22</f>
        <v>2539273</v>
      </c>
      <c r="O167">
        <f>'Waterfall Creek'!M22</f>
        <v>27.9</v>
      </c>
      <c r="P167">
        <f>'Waterfall Creek'!N22</f>
        <v>1043</v>
      </c>
      <c r="Q167">
        <f>'Waterfall Creek'!O22</f>
        <v>755</v>
      </c>
      <c r="R167">
        <f>'Waterfall Creek'!P22</f>
        <v>55</v>
      </c>
      <c r="S167">
        <f>'Waterfall Creek'!Q22</f>
        <v>44202</v>
      </c>
      <c r="T167">
        <f>'Waterfall Creek'!R22</f>
        <v>0.5</v>
      </c>
      <c r="U167">
        <f>'Waterfall Creek'!S22</f>
        <v>1186</v>
      </c>
      <c r="V167">
        <f>'Waterfall Creek'!T22</f>
        <v>1</v>
      </c>
      <c r="W167">
        <f>'Waterfall Creek'!U22</f>
        <v>1</v>
      </c>
      <c r="X167">
        <f>'Waterfall Creek'!V22</f>
        <v>1</v>
      </c>
      <c r="Y167">
        <f>'Waterfall Creek'!W22</f>
        <v>0</v>
      </c>
      <c r="Z167">
        <f>'Waterfall Creek'!X22</f>
        <v>1256</v>
      </c>
      <c r="AA167">
        <f>'Waterfall Creek'!Y22</f>
        <v>1</v>
      </c>
      <c r="AB167">
        <f>'Waterfall Creek'!Z22</f>
        <v>1</v>
      </c>
      <c r="AC167">
        <f>'Waterfall Creek'!AA22</f>
        <v>1</v>
      </c>
      <c r="AD167">
        <f>'Waterfall Creek'!AB22</f>
        <v>0</v>
      </c>
      <c r="AE167">
        <f>'Waterfall Creek'!AC22</f>
        <v>1440</v>
      </c>
      <c r="AF167">
        <f>'Waterfall Creek'!AD22</f>
        <v>695</v>
      </c>
      <c r="AG167">
        <f>'Waterfall Creek'!AE22</f>
        <v>99</v>
      </c>
      <c r="AH167">
        <f>'Waterfall Creek'!AF22</f>
        <v>73241</v>
      </c>
      <c r="AI167">
        <f>'Waterfall Creek'!AG22</f>
        <v>0.8</v>
      </c>
      <c r="AJ167">
        <f>'Waterfall Creek'!AH22</f>
        <v>1506</v>
      </c>
      <c r="AK167">
        <f>'Waterfall Creek'!AI22</f>
        <v>417</v>
      </c>
      <c r="AL167">
        <f>'Waterfall Creek'!AJ22</f>
        <v>35</v>
      </c>
      <c r="AM167">
        <f>'Waterfall Creek'!AK22</f>
        <v>15536</v>
      </c>
      <c r="AN167">
        <f>'Waterfall Creek'!AL22</f>
        <v>0.2</v>
      </c>
      <c r="AO167">
        <f>'Waterfall Creek'!AM22</f>
        <v>1582</v>
      </c>
      <c r="AP167">
        <f>'Waterfall Creek'!AN22</f>
        <v>241</v>
      </c>
      <c r="AQ167">
        <f>'Waterfall Creek'!AO22</f>
        <v>3</v>
      </c>
      <c r="AR167">
        <f>'Waterfall Creek'!AP22</f>
        <v>770</v>
      </c>
      <c r="AS167">
        <f>'Waterfall Creek'!AQ22</f>
        <v>0</v>
      </c>
      <c r="AT167">
        <f>'Waterfall Creek'!AR22</f>
        <v>1720</v>
      </c>
      <c r="AU167">
        <f>'Waterfall Creek'!AS22</f>
        <v>2903</v>
      </c>
      <c r="AV167">
        <f>'Waterfall Creek'!AT22</f>
        <v>93</v>
      </c>
      <c r="AW167">
        <f>'Waterfall Creek'!AU22</f>
        <v>287384</v>
      </c>
      <c r="AX167">
        <f>'Waterfall Creek'!AV22</f>
        <v>3.2</v>
      </c>
    </row>
    <row r="168" spans="1:50">
      <c r="A168" t="str">
        <f>'Waterfall Creek'!A23</f>
        <v>/Users/christophermarjo/Documents/Python/Projects/data/bushfire Raman/Waterfall Creek/WFC 2.5 (5)</v>
      </c>
      <c r="B168" t="str">
        <f t="shared" si="2"/>
        <v>Waterfall Creek</v>
      </c>
      <c r="C168">
        <v>2.5</v>
      </c>
      <c r="D168" t="str">
        <f>'Waterfall Creek'!B23</f>
        <v>40.70 counts</v>
      </c>
      <c r="E168">
        <f>'Waterfall Creek'!C23</f>
        <v>0.98993600000000004</v>
      </c>
      <c r="F168">
        <f>'Waterfall Creek'!D23</f>
        <v>1367</v>
      </c>
      <c r="G168">
        <f>'Waterfall Creek'!E23</f>
        <v>27549</v>
      </c>
      <c r="H168">
        <f>'Waterfall Creek'!F23</f>
        <v>326</v>
      </c>
      <c r="I168">
        <f>'Waterfall Creek'!G23</f>
        <v>9559951</v>
      </c>
      <c r="J168">
        <f>'Waterfall Creek'!H23</f>
        <v>69.3</v>
      </c>
      <c r="K168">
        <f>'Waterfall Creek'!I23</f>
        <v>1586</v>
      </c>
      <c r="L168">
        <f>'Waterfall Creek'!J23</f>
        <v>29239</v>
      </c>
      <c r="M168">
        <f>'Waterfall Creek'!K23</f>
        <v>116</v>
      </c>
      <c r="N168">
        <f>'Waterfall Creek'!L23</f>
        <v>3610378</v>
      </c>
      <c r="O168">
        <f>'Waterfall Creek'!M23</f>
        <v>26.2</v>
      </c>
      <c r="P168">
        <f>'Waterfall Creek'!N23</f>
        <v>1049</v>
      </c>
      <c r="Q168">
        <f>'Waterfall Creek'!O23</f>
        <v>1013</v>
      </c>
      <c r="R168">
        <f>'Waterfall Creek'!P23</f>
        <v>61</v>
      </c>
      <c r="S168">
        <f>'Waterfall Creek'!Q23</f>
        <v>65777</v>
      </c>
      <c r="T168">
        <f>'Waterfall Creek'!R23</f>
        <v>0.5</v>
      </c>
      <c r="U168">
        <f>'Waterfall Creek'!S23</f>
        <v>1186</v>
      </c>
      <c r="V168">
        <f>'Waterfall Creek'!T23</f>
        <v>1</v>
      </c>
      <c r="W168">
        <f>'Waterfall Creek'!U23</f>
        <v>1</v>
      </c>
      <c r="X168">
        <f>'Waterfall Creek'!V23</f>
        <v>1</v>
      </c>
      <c r="Y168">
        <f>'Waterfall Creek'!W23</f>
        <v>0</v>
      </c>
      <c r="Z168">
        <f>'Waterfall Creek'!X23</f>
        <v>1256</v>
      </c>
      <c r="AA168">
        <f>'Waterfall Creek'!Y23</f>
        <v>1</v>
      </c>
      <c r="AB168">
        <f>'Waterfall Creek'!Z23</f>
        <v>1</v>
      </c>
      <c r="AC168">
        <f>'Waterfall Creek'!AA23</f>
        <v>1</v>
      </c>
      <c r="AD168">
        <f>'Waterfall Creek'!AB23</f>
        <v>0</v>
      </c>
      <c r="AE168">
        <f>'Waterfall Creek'!AC23</f>
        <v>1440</v>
      </c>
      <c r="AF168">
        <f>'Waterfall Creek'!AD23</f>
        <v>717</v>
      </c>
      <c r="AG168">
        <f>'Waterfall Creek'!AE23</f>
        <v>97</v>
      </c>
      <c r="AH168">
        <f>'Waterfall Creek'!AF23</f>
        <v>74033</v>
      </c>
      <c r="AI168">
        <f>'Waterfall Creek'!AG23</f>
        <v>0.5</v>
      </c>
      <c r="AJ168">
        <f>'Waterfall Creek'!AH23</f>
        <v>1488</v>
      </c>
      <c r="AK168">
        <f>'Waterfall Creek'!AI23</f>
        <v>761</v>
      </c>
      <c r="AL168">
        <f>'Waterfall Creek'!AJ23</f>
        <v>43</v>
      </c>
      <c r="AM168">
        <f>'Waterfall Creek'!AK23</f>
        <v>34833</v>
      </c>
      <c r="AN168">
        <f>'Waterfall Creek'!AL23</f>
        <v>0.3</v>
      </c>
      <c r="AO168">
        <f>'Waterfall Creek'!AM23</f>
        <v>1594</v>
      </c>
      <c r="AP168">
        <f>'Waterfall Creek'!AN23</f>
        <v>649</v>
      </c>
      <c r="AQ168">
        <f>'Waterfall Creek'!AO23</f>
        <v>19</v>
      </c>
      <c r="AR168">
        <f>'Waterfall Creek'!AP23</f>
        <v>13126</v>
      </c>
      <c r="AS168">
        <f>'Waterfall Creek'!AQ23</f>
        <v>0.1</v>
      </c>
      <c r="AT168">
        <f>'Waterfall Creek'!AR23</f>
        <v>1732</v>
      </c>
      <c r="AU168">
        <f>'Waterfall Creek'!AS23</f>
        <v>3607</v>
      </c>
      <c r="AV168">
        <f>'Waterfall Creek'!AT23</f>
        <v>113</v>
      </c>
      <c r="AW168">
        <f>'Waterfall Creek'!AU23</f>
        <v>433867</v>
      </c>
      <c r="AX168">
        <f>'Waterfall Creek'!AV23</f>
        <v>3.1</v>
      </c>
    </row>
    <row r="169" spans="1:50">
      <c r="A169" t="str">
        <f>'Waterfall Creek'!A24</f>
        <v>/Users/christophermarjo/Documents/Python/Projects/data/bushfire Raman/Waterfall Creek/WFC 3 (1)</v>
      </c>
      <c r="B169" t="str">
        <f t="shared" si="2"/>
        <v>Waterfall Creek</v>
      </c>
      <c r="C169">
        <v>3</v>
      </c>
      <c r="D169" t="str">
        <f>'Waterfall Creek'!B24</f>
        <v>28.49 counts</v>
      </c>
      <c r="E169">
        <f>'Waterfall Creek'!C24</f>
        <v>0.98648899999999995</v>
      </c>
      <c r="F169">
        <f>'Waterfall Creek'!D24</f>
        <v>1369</v>
      </c>
      <c r="G169">
        <f>'Waterfall Creek'!E24</f>
        <v>15933</v>
      </c>
      <c r="H169">
        <f>'Waterfall Creek'!F24</f>
        <v>306</v>
      </c>
      <c r="I169">
        <f>'Waterfall Creek'!G24</f>
        <v>5189807</v>
      </c>
      <c r="J169">
        <f>'Waterfall Creek'!H24</f>
        <v>65.400000000000006</v>
      </c>
      <c r="K169">
        <f>'Waterfall Creek'!I24</f>
        <v>1592</v>
      </c>
      <c r="L169">
        <f>'Waterfall Creek'!J24</f>
        <v>21139</v>
      </c>
      <c r="M169">
        <f>'Waterfall Creek'!K24</f>
        <v>102</v>
      </c>
      <c r="N169">
        <f>'Waterfall Creek'!L24</f>
        <v>2295180</v>
      </c>
      <c r="O169">
        <f>'Waterfall Creek'!M24</f>
        <v>28.9</v>
      </c>
      <c r="P169">
        <f>'Waterfall Creek'!N24</f>
        <v>1041</v>
      </c>
      <c r="Q169">
        <f>'Waterfall Creek'!O24</f>
        <v>529</v>
      </c>
      <c r="R169">
        <f>'Waterfall Creek'!P24</f>
        <v>65</v>
      </c>
      <c r="S169">
        <f>'Waterfall Creek'!Q24</f>
        <v>36602</v>
      </c>
      <c r="T169">
        <f>'Waterfall Creek'!R24</f>
        <v>0.5</v>
      </c>
      <c r="U169">
        <f>'Waterfall Creek'!S24</f>
        <v>1170</v>
      </c>
      <c r="V169">
        <f>'Waterfall Creek'!T24</f>
        <v>129</v>
      </c>
      <c r="W169">
        <f>'Waterfall Creek'!U24</f>
        <v>1</v>
      </c>
      <c r="X169">
        <f>'Waterfall Creek'!V24</f>
        <v>137</v>
      </c>
      <c r="Y169">
        <f>'Waterfall Creek'!W24</f>
        <v>0</v>
      </c>
      <c r="Z169">
        <f>'Waterfall Creek'!X24</f>
        <v>1270</v>
      </c>
      <c r="AA169">
        <f>'Waterfall Creek'!Y24</f>
        <v>1</v>
      </c>
      <c r="AB169">
        <f>'Waterfall Creek'!Z24</f>
        <v>1</v>
      </c>
      <c r="AC169">
        <f>'Waterfall Creek'!AA24</f>
        <v>1</v>
      </c>
      <c r="AD169">
        <f>'Waterfall Creek'!AB24</f>
        <v>0</v>
      </c>
      <c r="AE169">
        <f>'Waterfall Creek'!AC24</f>
        <v>1456</v>
      </c>
      <c r="AF169">
        <f>'Waterfall Creek'!AD24</f>
        <v>139</v>
      </c>
      <c r="AG169">
        <f>'Waterfall Creek'!AE24</f>
        <v>117</v>
      </c>
      <c r="AH169">
        <f>'Waterfall Creek'!AF24</f>
        <v>17311</v>
      </c>
      <c r="AI169">
        <f>'Waterfall Creek'!AG24</f>
        <v>0.2</v>
      </c>
      <c r="AJ169">
        <f>'Waterfall Creek'!AH24</f>
        <v>1494</v>
      </c>
      <c r="AK169">
        <f>'Waterfall Creek'!AI24</f>
        <v>1237</v>
      </c>
      <c r="AL169">
        <f>'Waterfall Creek'!AJ24</f>
        <v>51</v>
      </c>
      <c r="AM169">
        <f>'Waterfall Creek'!AK24</f>
        <v>67154</v>
      </c>
      <c r="AN169">
        <f>'Waterfall Creek'!AL24</f>
        <v>0.8</v>
      </c>
      <c r="AO169">
        <f>'Waterfall Creek'!AM24</f>
        <v>1592</v>
      </c>
      <c r="AP169">
        <f>'Waterfall Creek'!AN24</f>
        <v>747</v>
      </c>
      <c r="AQ169">
        <f>'Waterfall Creek'!AO24</f>
        <v>9</v>
      </c>
      <c r="AR169">
        <f>'Waterfall Creek'!AP24</f>
        <v>7156</v>
      </c>
      <c r="AS169">
        <f>'Waterfall Creek'!AQ24</f>
        <v>0.1</v>
      </c>
      <c r="AT169">
        <f>'Waterfall Creek'!AR24</f>
        <v>1730</v>
      </c>
      <c r="AU169">
        <f>'Waterfall Creek'!AS24</f>
        <v>2421</v>
      </c>
      <c r="AV169">
        <f>'Waterfall Creek'!AT24</f>
        <v>123</v>
      </c>
      <c r="AW169">
        <f>'Waterfall Creek'!AU24</f>
        <v>316980</v>
      </c>
      <c r="AX169">
        <f>'Waterfall Creek'!AV24</f>
        <v>4</v>
      </c>
    </row>
    <row r="170" spans="1:50">
      <c r="A170" t="str">
        <f>'Waterfall Creek'!A25</f>
        <v>/Users/christophermarjo/Documents/Python/Projects/data/bushfire Raman/Waterfall Creek/WFC 3 (2)</v>
      </c>
      <c r="B170" t="str">
        <f t="shared" si="2"/>
        <v>Waterfall Creek</v>
      </c>
      <c r="C170">
        <v>3</v>
      </c>
      <c r="D170" t="str">
        <f>'Waterfall Creek'!B25</f>
        <v>12.03 counts</v>
      </c>
      <c r="E170">
        <f>'Waterfall Creek'!C25</f>
        <v>0.98975400000000002</v>
      </c>
      <c r="F170">
        <f>'Waterfall Creek'!D25</f>
        <v>1369</v>
      </c>
      <c r="G170">
        <f>'Waterfall Creek'!E25</f>
        <v>7775</v>
      </c>
      <c r="H170">
        <f>'Waterfall Creek'!F25</f>
        <v>320</v>
      </c>
      <c r="I170">
        <f>'Waterfall Creek'!G25</f>
        <v>2648394</v>
      </c>
      <c r="J170">
        <f>'Waterfall Creek'!H25</f>
        <v>67.8</v>
      </c>
      <c r="K170">
        <f>'Waterfall Creek'!I25</f>
        <v>1590</v>
      </c>
      <c r="L170">
        <f>'Waterfall Creek'!J25</f>
        <v>9591</v>
      </c>
      <c r="M170">
        <f>'Waterfall Creek'!K25</f>
        <v>104</v>
      </c>
      <c r="N170">
        <f>'Waterfall Creek'!L25</f>
        <v>1061768</v>
      </c>
      <c r="O170">
        <f>'Waterfall Creek'!M25</f>
        <v>27.2</v>
      </c>
      <c r="P170">
        <f>'Waterfall Creek'!N25</f>
        <v>1067</v>
      </c>
      <c r="Q170">
        <f>'Waterfall Creek'!O25</f>
        <v>273</v>
      </c>
      <c r="R170">
        <f>'Waterfall Creek'!P25</f>
        <v>45</v>
      </c>
      <c r="S170">
        <f>'Waterfall Creek'!Q25</f>
        <v>13077</v>
      </c>
      <c r="T170">
        <f>'Waterfall Creek'!R25</f>
        <v>0.3</v>
      </c>
      <c r="U170">
        <f>'Waterfall Creek'!S25</f>
        <v>1150</v>
      </c>
      <c r="V170">
        <f>'Waterfall Creek'!T25</f>
        <v>77</v>
      </c>
      <c r="W170">
        <f>'Waterfall Creek'!U25</f>
        <v>1</v>
      </c>
      <c r="X170">
        <f>'Waterfall Creek'!V25</f>
        <v>82</v>
      </c>
      <c r="Y170">
        <f>'Waterfall Creek'!W25</f>
        <v>0</v>
      </c>
      <c r="Z170">
        <f>'Waterfall Creek'!X25</f>
        <v>1270</v>
      </c>
      <c r="AA170">
        <f>'Waterfall Creek'!Y25</f>
        <v>1</v>
      </c>
      <c r="AB170">
        <f>'Waterfall Creek'!Z25</f>
        <v>1</v>
      </c>
      <c r="AC170">
        <f>'Waterfall Creek'!AA25</f>
        <v>1</v>
      </c>
      <c r="AD170">
        <f>'Waterfall Creek'!AB25</f>
        <v>0</v>
      </c>
      <c r="AE170">
        <f>'Waterfall Creek'!AC25</f>
        <v>1456</v>
      </c>
      <c r="AF170">
        <f>'Waterfall Creek'!AD25</f>
        <v>237</v>
      </c>
      <c r="AG170">
        <f>'Waterfall Creek'!AE25</f>
        <v>95</v>
      </c>
      <c r="AH170">
        <f>'Waterfall Creek'!AF25</f>
        <v>23966</v>
      </c>
      <c r="AI170">
        <f>'Waterfall Creek'!AG25</f>
        <v>0.6</v>
      </c>
      <c r="AJ170">
        <f>'Waterfall Creek'!AH25</f>
        <v>1502</v>
      </c>
      <c r="AK170">
        <f>'Waterfall Creek'!AI25</f>
        <v>343</v>
      </c>
      <c r="AL170">
        <f>'Waterfall Creek'!AJ25</f>
        <v>37</v>
      </c>
      <c r="AM170">
        <f>'Waterfall Creek'!AK25</f>
        <v>13509</v>
      </c>
      <c r="AN170">
        <f>'Waterfall Creek'!AL25</f>
        <v>0.3</v>
      </c>
      <c r="AO170">
        <f>'Waterfall Creek'!AM25</f>
        <v>1592</v>
      </c>
      <c r="AP170">
        <f>'Waterfall Creek'!AN25</f>
        <v>297</v>
      </c>
      <c r="AQ170">
        <f>'Waterfall Creek'!AO25</f>
        <v>17</v>
      </c>
      <c r="AR170">
        <f>'Waterfall Creek'!AP25</f>
        <v>5374</v>
      </c>
      <c r="AS170">
        <f>'Waterfall Creek'!AQ25</f>
        <v>0.1</v>
      </c>
      <c r="AT170">
        <f>'Waterfall Creek'!AR25</f>
        <v>1734</v>
      </c>
      <c r="AU170">
        <f>'Waterfall Creek'!AS25</f>
        <v>925</v>
      </c>
      <c r="AV170">
        <f>'Waterfall Creek'!AT25</f>
        <v>145</v>
      </c>
      <c r="AW170">
        <f>'Waterfall Creek'!AU25</f>
        <v>142772</v>
      </c>
      <c r="AX170">
        <f>'Waterfall Creek'!AV25</f>
        <v>3.7</v>
      </c>
    </row>
    <row r="171" spans="1:50">
      <c r="A171" t="str">
        <f>'Waterfall Creek'!A26</f>
        <v>/Users/christophermarjo/Documents/Python/Projects/data/bushfire Raman/Waterfall Creek/WFC 3 (3)</v>
      </c>
      <c r="B171" t="str">
        <f t="shared" si="2"/>
        <v>Waterfall Creek</v>
      </c>
      <c r="C171">
        <v>3</v>
      </c>
      <c r="D171" t="str">
        <f>'Waterfall Creek'!B26</f>
        <v>44.41 counts</v>
      </c>
      <c r="E171">
        <f>'Waterfall Creek'!C26</f>
        <v>0.31999</v>
      </c>
      <c r="F171">
        <f>'Waterfall Creek'!D26</f>
        <v>1369</v>
      </c>
      <c r="G171">
        <f>'Waterfall Creek'!E26</f>
        <v>1</v>
      </c>
      <c r="H171">
        <f>'Waterfall Creek'!F26</f>
        <v>100</v>
      </c>
      <c r="I171">
        <f>'Waterfall Creek'!G26</f>
        <v>106</v>
      </c>
      <c r="J171">
        <f>'Waterfall Creek'!H26</f>
        <v>0</v>
      </c>
      <c r="K171">
        <f>'Waterfall Creek'!I26</f>
        <v>1588</v>
      </c>
      <c r="L171">
        <f>'Waterfall Creek'!J26</f>
        <v>2371</v>
      </c>
      <c r="M171">
        <f>'Waterfall Creek'!K26</f>
        <v>202</v>
      </c>
      <c r="N171">
        <f>'Waterfall Creek'!L26</f>
        <v>509818</v>
      </c>
      <c r="O171">
        <f>'Waterfall Creek'!M26</f>
        <v>89.4</v>
      </c>
      <c r="P171">
        <f>'Waterfall Creek'!N26</f>
        <v>1007</v>
      </c>
      <c r="Q171">
        <f>'Waterfall Creek'!O26</f>
        <v>289</v>
      </c>
      <c r="R171">
        <f>'Waterfall Creek'!P26</f>
        <v>1</v>
      </c>
      <c r="S171">
        <f>'Waterfall Creek'!Q26</f>
        <v>308</v>
      </c>
      <c r="T171">
        <f>'Waterfall Creek'!R26</f>
        <v>0.1</v>
      </c>
      <c r="U171">
        <f>'Waterfall Creek'!S26</f>
        <v>1152</v>
      </c>
      <c r="V171">
        <f>'Waterfall Creek'!T26</f>
        <v>1041</v>
      </c>
      <c r="W171">
        <f>'Waterfall Creek'!U26</f>
        <v>3</v>
      </c>
      <c r="X171">
        <f>'Waterfall Creek'!V26</f>
        <v>3324</v>
      </c>
      <c r="Y171">
        <f>'Waterfall Creek'!W26</f>
        <v>0.6</v>
      </c>
      <c r="Z171">
        <f>'Waterfall Creek'!X26</f>
        <v>1270</v>
      </c>
      <c r="AA171">
        <f>'Waterfall Creek'!Y26</f>
        <v>1</v>
      </c>
      <c r="AB171">
        <f>'Waterfall Creek'!Z26</f>
        <v>1</v>
      </c>
      <c r="AC171">
        <f>'Waterfall Creek'!AA26</f>
        <v>1</v>
      </c>
      <c r="AD171">
        <f>'Waterfall Creek'!AB26</f>
        <v>0</v>
      </c>
      <c r="AE171">
        <f>'Waterfall Creek'!AC26</f>
        <v>1452</v>
      </c>
      <c r="AF171">
        <f>'Waterfall Creek'!AD26</f>
        <v>377</v>
      </c>
      <c r="AG171">
        <f>'Waterfall Creek'!AE26</f>
        <v>41</v>
      </c>
      <c r="AH171">
        <f>'Waterfall Creek'!AF26</f>
        <v>16453</v>
      </c>
      <c r="AI171">
        <f>'Waterfall Creek'!AG26</f>
        <v>2.9</v>
      </c>
      <c r="AJ171">
        <f>'Waterfall Creek'!AH26</f>
        <v>1506</v>
      </c>
      <c r="AK171">
        <f>'Waterfall Creek'!AI26</f>
        <v>1247</v>
      </c>
      <c r="AL171">
        <f>'Waterfall Creek'!AJ26</f>
        <v>17</v>
      </c>
      <c r="AM171">
        <f>'Waterfall Creek'!AK26</f>
        <v>22566</v>
      </c>
      <c r="AN171">
        <f>'Waterfall Creek'!AL26</f>
        <v>4</v>
      </c>
      <c r="AO171">
        <f>'Waterfall Creek'!AM26</f>
        <v>1592</v>
      </c>
      <c r="AP171">
        <f>'Waterfall Creek'!AN26</f>
        <v>725</v>
      </c>
      <c r="AQ171">
        <f>'Waterfall Creek'!AO26</f>
        <v>21</v>
      </c>
      <c r="AR171">
        <f>'Waterfall Creek'!AP26</f>
        <v>16207</v>
      </c>
      <c r="AS171">
        <f>'Waterfall Creek'!AQ26</f>
        <v>2.8</v>
      </c>
      <c r="AT171">
        <f>'Waterfall Creek'!AR26</f>
        <v>1740</v>
      </c>
      <c r="AU171">
        <f>'Waterfall Creek'!AS26</f>
        <v>1153</v>
      </c>
      <c r="AV171">
        <f>'Waterfall Creek'!AT26</f>
        <v>1</v>
      </c>
      <c r="AW171">
        <f>'Waterfall Creek'!AU26</f>
        <v>1227</v>
      </c>
      <c r="AX171">
        <f>'Waterfall Creek'!AV26</f>
        <v>0.2</v>
      </c>
    </row>
    <row r="172" spans="1:50">
      <c r="A172" t="str">
        <f>'Waterfall Creek'!A27</f>
        <v>/Users/christophermarjo/Documents/Python/Projects/data/bushfire Raman/Waterfall Creek/WFC 3.5 (1)</v>
      </c>
      <c r="B172" t="str">
        <f t="shared" si="2"/>
        <v>Waterfall Creek</v>
      </c>
      <c r="C172">
        <v>3.5</v>
      </c>
      <c r="D172" t="str">
        <f>'Waterfall Creek'!B27</f>
        <v>23.34 counts</v>
      </c>
      <c r="E172">
        <f>'Waterfall Creek'!C27</f>
        <v>0.98656100000000002</v>
      </c>
      <c r="F172">
        <f>'Waterfall Creek'!D27</f>
        <v>1369</v>
      </c>
      <c r="G172">
        <f>'Waterfall Creek'!E27</f>
        <v>13085</v>
      </c>
      <c r="H172">
        <f>'Waterfall Creek'!F27</f>
        <v>298</v>
      </c>
      <c r="I172">
        <f>'Waterfall Creek'!G27</f>
        <v>4150708</v>
      </c>
      <c r="J172">
        <f>'Waterfall Creek'!H27</f>
        <v>65</v>
      </c>
      <c r="K172">
        <f>'Waterfall Creek'!I27</f>
        <v>1592</v>
      </c>
      <c r="L172">
        <f>'Waterfall Creek'!J27</f>
        <v>17787</v>
      </c>
      <c r="M172">
        <f>'Waterfall Creek'!K27</f>
        <v>100</v>
      </c>
      <c r="N172">
        <f>'Waterfall Creek'!L27</f>
        <v>1893368</v>
      </c>
      <c r="O172">
        <f>'Waterfall Creek'!M27</f>
        <v>29.6</v>
      </c>
      <c r="P172">
        <f>'Waterfall Creek'!N27</f>
        <v>1043</v>
      </c>
      <c r="Q172">
        <f>'Waterfall Creek'!O27</f>
        <v>365</v>
      </c>
      <c r="R172">
        <f>'Waterfall Creek'!P27</f>
        <v>65</v>
      </c>
      <c r="S172">
        <f>'Waterfall Creek'!Q27</f>
        <v>25254</v>
      </c>
      <c r="T172">
        <f>'Waterfall Creek'!R27</f>
        <v>0.4</v>
      </c>
      <c r="U172">
        <f>'Waterfall Creek'!S27</f>
        <v>1170</v>
      </c>
      <c r="V172">
        <f>'Waterfall Creek'!T27</f>
        <v>63</v>
      </c>
      <c r="W172">
        <f>'Waterfall Creek'!U27</f>
        <v>1</v>
      </c>
      <c r="X172">
        <f>'Waterfall Creek'!V27</f>
        <v>67</v>
      </c>
      <c r="Y172">
        <f>'Waterfall Creek'!W27</f>
        <v>0</v>
      </c>
      <c r="Z172">
        <f>'Waterfall Creek'!X27</f>
        <v>1270</v>
      </c>
      <c r="AA172">
        <f>'Waterfall Creek'!Y27</f>
        <v>1</v>
      </c>
      <c r="AB172">
        <f>'Waterfall Creek'!Z27</f>
        <v>1</v>
      </c>
      <c r="AC172">
        <f>'Waterfall Creek'!AA27</f>
        <v>1</v>
      </c>
      <c r="AD172">
        <f>'Waterfall Creek'!AB27</f>
        <v>0</v>
      </c>
      <c r="AE172">
        <f>'Waterfall Creek'!AC27</f>
        <v>1456</v>
      </c>
      <c r="AF172">
        <f>'Waterfall Creek'!AD27</f>
        <v>325</v>
      </c>
      <c r="AG172">
        <f>'Waterfall Creek'!AE27</f>
        <v>103</v>
      </c>
      <c r="AH172">
        <f>'Waterfall Creek'!AF27</f>
        <v>35633</v>
      </c>
      <c r="AI172">
        <f>'Waterfall Creek'!AG27</f>
        <v>0.6</v>
      </c>
      <c r="AJ172">
        <f>'Waterfall Creek'!AH27</f>
        <v>1500</v>
      </c>
      <c r="AK172">
        <f>'Waterfall Creek'!AI27</f>
        <v>661</v>
      </c>
      <c r="AL172">
        <f>'Waterfall Creek'!AJ27</f>
        <v>35</v>
      </c>
      <c r="AM172">
        <f>'Waterfall Creek'!AK27</f>
        <v>24626</v>
      </c>
      <c r="AN172">
        <f>'Waterfall Creek'!AL27</f>
        <v>0.4</v>
      </c>
      <c r="AO172">
        <f>'Waterfall Creek'!AM27</f>
        <v>1590</v>
      </c>
      <c r="AP172">
        <f>'Waterfall Creek'!AN27</f>
        <v>1043</v>
      </c>
      <c r="AQ172">
        <f>'Waterfall Creek'!AO27</f>
        <v>1</v>
      </c>
      <c r="AR172">
        <f>'Waterfall Creek'!AP27</f>
        <v>1110</v>
      </c>
      <c r="AS172">
        <f>'Waterfall Creek'!AQ27</f>
        <v>0</v>
      </c>
      <c r="AT172">
        <f>'Waterfall Creek'!AR27</f>
        <v>1732</v>
      </c>
      <c r="AU172">
        <f>'Waterfall Creek'!AS27</f>
        <v>1657</v>
      </c>
      <c r="AV172">
        <f>'Waterfall Creek'!AT27</f>
        <v>147</v>
      </c>
      <c r="AW172">
        <f>'Waterfall Creek'!AU27</f>
        <v>259282</v>
      </c>
      <c r="AX172">
        <f>'Waterfall Creek'!AV27</f>
        <v>4.0999999999999996</v>
      </c>
    </row>
    <row r="173" spans="1:50">
      <c r="A173" t="str">
        <f>'Waterfall Creek'!A28</f>
        <v>/Users/christophermarjo/Documents/Python/Projects/data/bushfire Raman/Waterfall Creek/WFC 3.5 (2 )</v>
      </c>
      <c r="B173" t="str">
        <f t="shared" si="2"/>
        <v>Waterfall Creek</v>
      </c>
      <c r="C173">
        <v>3.5</v>
      </c>
      <c r="D173" t="str">
        <f>'Waterfall Creek'!B28</f>
        <v>20.40 counts</v>
      </c>
      <c r="E173">
        <f>'Waterfall Creek'!C28</f>
        <v>0.98446299999999998</v>
      </c>
      <c r="F173">
        <f>'Waterfall Creek'!D28</f>
        <v>1367</v>
      </c>
      <c r="G173">
        <f>'Waterfall Creek'!E28</f>
        <v>10433</v>
      </c>
      <c r="H173">
        <f>'Waterfall Creek'!F28</f>
        <v>294</v>
      </c>
      <c r="I173">
        <f>'Waterfall Creek'!G28</f>
        <v>3265042</v>
      </c>
      <c r="J173">
        <f>'Waterfall Creek'!H28</f>
        <v>61.6</v>
      </c>
      <c r="K173">
        <f>'Waterfall Creek'!I28</f>
        <v>1590</v>
      </c>
      <c r="L173">
        <f>'Waterfall Creek'!J28</f>
        <v>14339</v>
      </c>
      <c r="M173">
        <f>'Waterfall Creek'!K28</f>
        <v>110</v>
      </c>
      <c r="N173">
        <f>'Waterfall Creek'!L28</f>
        <v>1678973</v>
      </c>
      <c r="O173">
        <f>'Waterfall Creek'!M28</f>
        <v>31.7</v>
      </c>
      <c r="P173">
        <f>'Waterfall Creek'!N28</f>
        <v>1037</v>
      </c>
      <c r="Q173">
        <f>'Waterfall Creek'!O28</f>
        <v>317</v>
      </c>
      <c r="R173">
        <f>'Waterfall Creek'!P28</f>
        <v>63</v>
      </c>
      <c r="S173">
        <f>'Waterfall Creek'!Q28</f>
        <v>21258</v>
      </c>
      <c r="T173">
        <f>'Waterfall Creek'!R28</f>
        <v>0.4</v>
      </c>
      <c r="U173">
        <f>'Waterfall Creek'!S28</f>
        <v>1156</v>
      </c>
      <c r="V173">
        <f>'Waterfall Creek'!T28</f>
        <v>55</v>
      </c>
      <c r="W173">
        <f>'Waterfall Creek'!U28</f>
        <v>27</v>
      </c>
      <c r="X173">
        <f>'Waterfall Creek'!V28</f>
        <v>1581</v>
      </c>
      <c r="Y173">
        <f>'Waterfall Creek'!W28</f>
        <v>0</v>
      </c>
      <c r="Z173">
        <f>'Waterfall Creek'!X28</f>
        <v>1270</v>
      </c>
      <c r="AA173">
        <f>'Waterfall Creek'!Y28</f>
        <v>1</v>
      </c>
      <c r="AB173">
        <f>'Waterfall Creek'!Z28</f>
        <v>1</v>
      </c>
      <c r="AC173">
        <f>'Waterfall Creek'!AA28</f>
        <v>1</v>
      </c>
      <c r="AD173">
        <f>'Waterfall Creek'!AB28</f>
        <v>0</v>
      </c>
      <c r="AE173">
        <f>'Waterfall Creek'!AC28</f>
        <v>1456</v>
      </c>
      <c r="AF173">
        <f>'Waterfall Creek'!AD28</f>
        <v>785</v>
      </c>
      <c r="AG173">
        <f>'Waterfall Creek'!AE28</f>
        <v>69</v>
      </c>
      <c r="AH173">
        <f>'Waterfall Creek'!AF28</f>
        <v>57657</v>
      </c>
      <c r="AI173">
        <f>'Waterfall Creek'!AG28</f>
        <v>1.1000000000000001</v>
      </c>
      <c r="AJ173">
        <f>'Waterfall Creek'!AH28</f>
        <v>1500</v>
      </c>
      <c r="AK173">
        <f>'Waterfall Creek'!AI28</f>
        <v>815</v>
      </c>
      <c r="AL173">
        <f>'Waterfall Creek'!AJ28</f>
        <v>25</v>
      </c>
      <c r="AM173">
        <f>'Waterfall Creek'!AK28</f>
        <v>21689</v>
      </c>
      <c r="AN173">
        <f>'Waterfall Creek'!AL28</f>
        <v>0.4</v>
      </c>
      <c r="AO173">
        <f>'Waterfall Creek'!AM28</f>
        <v>1586</v>
      </c>
      <c r="AP173">
        <f>'Waterfall Creek'!AN28</f>
        <v>589</v>
      </c>
      <c r="AQ173">
        <f>'Waterfall Creek'!AO28</f>
        <v>17</v>
      </c>
      <c r="AR173">
        <f>'Waterfall Creek'!AP28</f>
        <v>10659</v>
      </c>
      <c r="AS173">
        <f>'Waterfall Creek'!AQ28</f>
        <v>0.2</v>
      </c>
      <c r="AT173">
        <f>'Waterfall Creek'!AR28</f>
        <v>1744</v>
      </c>
      <c r="AU173">
        <f>'Waterfall Creek'!AS28</f>
        <v>1579</v>
      </c>
      <c r="AV173">
        <f>'Waterfall Creek'!AT28</f>
        <v>147</v>
      </c>
      <c r="AW173">
        <f>'Waterfall Creek'!AU28</f>
        <v>247077</v>
      </c>
      <c r="AX173">
        <f>'Waterfall Creek'!AV28</f>
        <v>4.7</v>
      </c>
    </row>
    <row r="174" spans="1:50">
      <c r="A174" t="str">
        <f>'Waterfall Creek'!A29</f>
        <v>/Users/christophermarjo/Documents/Python/Projects/data/bushfire Raman/Waterfall Creek/WFC 3.5 (3)</v>
      </c>
      <c r="B174" t="str">
        <f t="shared" si="2"/>
        <v>Waterfall Creek</v>
      </c>
      <c r="C174">
        <v>3.5</v>
      </c>
      <c r="D174" t="str">
        <f>'Waterfall Creek'!B29</f>
        <v>24.81 counts</v>
      </c>
      <c r="E174">
        <f>'Waterfall Creek'!C29</f>
        <v>0.98578600000000005</v>
      </c>
      <c r="F174">
        <f>'Waterfall Creek'!D29</f>
        <v>1369</v>
      </c>
      <c r="G174">
        <f>'Waterfall Creek'!E29</f>
        <v>13603</v>
      </c>
      <c r="H174">
        <f>'Waterfall Creek'!F29</f>
        <v>302</v>
      </c>
      <c r="I174">
        <f>'Waterfall Creek'!G29</f>
        <v>4372943</v>
      </c>
      <c r="J174">
        <f>'Waterfall Creek'!H29</f>
        <v>64.5</v>
      </c>
      <c r="K174">
        <f>'Waterfall Creek'!I29</f>
        <v>1592</v>
      </c>
      <c r="L174">
        <f>'Waterfall Creek'!J29</f>
        <v>17903</v>
      </c>
      <c r="M174">
        <f>'Waterfall Creek'!K29</f>
        <v>100</v>
      </c>
      <c r="N174">
        <f>'Waterfall Creek'!L29</f>
        <v>1905715</v>
      </c>
      <c r="O174">
        <f>'Waterfall Creek'!M29</f>
        <v>28.1</v>
      </c>
      <c r="P174">
        <f>'Waterfall Creek'!N29</f>
        <v>1029</v>
      </c>
      <c r="Q174">
        <f>'Waterfall Creek'!O29</f>
        <v>533</v>
      </c>
      <c r="R174">
        <f>'Waterfall Creek'!P29</f>
        <v>55</v>
      </c>
      <c r="S174">
        <f>'Waterfall Creek'!Q29</f>
        <v>31205</v>
      </c>
      <c r="T174">
        <f>'Waterfall Creek'!R29</f>
        <v>0.5</v>
      </c>
      <c r="U174">
        <f>'Waterfall Creek'!S29</f>
        <v>1152</v>
      </c>
      <c r="V174">
        <f>'Waterfall Creek'!T29</f>
        <v>265</v>
      </c>
      <c r="W174">
        <f>'Waterfall Creek'!U29</f>
        <v>7</v>
      </c>
      <c r="X174">
        <f>'Waterfall Creek'!V29</f>
        <v>1975</v>
      </c>
      <c r="Y174">
        <f>'Waterfall Creek'!W29</f>
        <v>0</v>
      </c>
      <c r="Z174">
        <f>'Waterfall Creek'!X29</f>
        <v>1270</v>
      </c>
      <c r="AA174">
        <f>'Waterfall Creek'!Y29</f>
        <v>1</v>
      </c>
      <c r="AB174">
        <f>'Waterfall Creek'!Z29</f>
        <v>1</v>
      </c>
      <c r="AC174">
        <f>'Waterfall Creek'!AA29</f>
        <v>1</v>
      </c>
      <c r="AD174">
        <f>'Waterfall Creek'!AB29</f>
        <v>0</v>
      </c>
      <c r="AE174">
        <f>'Waterfall Creek'!AC29</f>
        <v>1456</v>
      </c>
      <c r="AF174">
        <f>'Waterfall Creek'!AD29</f>
        <v>327</v>
      </c>
      <c r="AG174">
        <f>'Waterfall Creek'!AE29</f>
        <v>121</v>
      </c>
      <c r="AH174">
        <f>'Waterfall Creek'!AF29</f>
        <v>42118</v>
      </c>
      <c r="AI174">
        <f>'Waterfall Creek'!AG29</f>
        <v>0.6</v>
      </c>
      <c r="AJ174">
        <f>'Waterfall Creek'!AH29</f>
        <v>1510</v>
      </c>
      <c r="AK174">
        <f>'Waterfall Creek'!AI29</f>
        <v>933</v>
      </c>
      <c r="AL174">
        <f>'Waterfall Creek'!AJ29</f>
        <v>29</v>
      </c>
      <c r="AM174">
        <f>'Waterfall Creek'!AK29</f>
        <v>28801</v>
      </c>
      <c r="AN174">
        <f>'Waterfall Creek'!AL29</f>
        <v>0.4</v>
      </c>
      <c r="AO174">
        <f>'Waterfall Creek'!AM29</f>
        <v>1598</v>
      </c>
      <c r="AP174">
        <f>'Waterfall Creek'!AN29</f>
        <v>1401</v>
      </c>
      <c r="AQ174">
        <f>'Waterfall Creek'!AO29</f>
        <v>27</v>
      </c>
      <c r="AR174">
        <f>'Waterfall Creek'!AP29</f>
        <v>40266</v>
      </c>
      <c r="AS174">
        <f>'Waterfall Creek'!AQ29</f>
        <v>0.6</v>
      </c>
      <c r="AT174">
        <f>'Waterfall Creek'!AR29</f>
        <v>1742</v>
      </c>
      <c r="AU174">
        <f>'Waterfall Creek'!AS29</f>
        <v>2005</v>
      </c>
      <c r="AV174">
        <f>'Waterfall Creek'!AT29</f>
        <v>167</v>
      </c>
      <c r="AW174">
        <f>'Waterfall Creek'!AU29</f>
        <v>356421</v>
      </c>
      <c r="AX174">
        <f>'Waterfall Creek'!AV29</f>
        <v>5.3</v>
      </c>
    </row>
    <row r="175" spans="1:50">
      <c r="A175" t="str">
        <f>'Waterfall Creek'!A30</f>
        <v>/Users/christophermarjo/Documents/Python/Projects/data/bushfire Raman/Waterfall Creek/WFC 3.5 (4)</v>
      </c>
      <c r="B175" t="str">
        <f t="shared" si="2"/>
        <v>Waterfall Creek</v>
      </c>
      <c r="C175">
        <v>3.5</v>
      </c>
      <c r="D175" t="str">
        <f>'Waterfall Creek'!B30</f>
        <v>41.65 counts</v>
      </c>
      <c r="E175">
        <f>'Waterfall Creek'!C30</f>
        <v>0.97566600000000003</v>
      </c>
      <c r="F175">
        <f>'Waterfall Creek'!D30</f>
        <v>1369</v>
      </c>
      <c r="G175">
        <f>'Waterfall Creek'!E30</f>
        <v>16403</v>
      </c>
      <c r="H175">
        <f>'Waterfall Creek'!F30</f>
        <v>272</v>
      </c>
      <c r="I175">
        <f>'Waterfall Creek'!G30</f>
        <v>4749243</v>
      </c>
      <c r="J175">
        <f>'Waterfall Creek'!H30</f>
        <v>55.9</v>
      </c>
      <c r="K175">
        <f>'Waterfall Creek'!I30</f>
        <v>1590</v>
      </c>
      <c r="L175">
        <f>'Waterfall Creek'!J30</f>
        <v>24581</v>
      </c>
      <c r="M175">
        <f>'Waterfall Creek'!K30</f>
        <v>110</v>
      </c>
      <c r="N175">
        <f>'Waterfall Creek'!L30</f>
        <v>2878223</v>
      </c>
      <c r="O175">
        <f>'Waterfall Creek'!M30</f>
        <v>33.9</v>
      </c>
      <c r="P175">
        <f>'Waterfall Creek'!N30</f>
        <v>1043</v>
      </c>
      <c r="Q175">
        <f>'Waterfall Creek'!O30</f>
        <v>457</v>
      </c>
      <c r="R175">
        <f>'Waterfall Creek'!P30</f>
        <v>5</v>
      </c>
      <c r="S175">
        <f>'Waterfall Creek'!Q30</f>
        <v>2432</v>
      </c>
      <c r="T175">
        <f>'Waterfall Creek'!R30</f>
        <v>0</v>
      </c>
      <c r="U175">
        <f>'Waterfall Creek'!S30</f>
        <v>1152</v>
      </c>
      <c r="V175">
        <f>'Waterfall Creek'!T30</f>
        <v>1005</v>
      </c>
      <c r="W175">
        <f>'Waterfall Creek'!U30</f>
        <v>31</v>
      </c>
      <c r="X175">
        <f>'Waterfall Creek'!V30</f>
        <v>33163</v>
      </c>
      <c r="Y175">
        <f>'Waterfall Creek'!W30</f>
        <v>0.4</v>
      </c>
      <c r="Z175">
        <f>'Waterfall Creek'!X30</f>
        <v>1256</v>
      </c>
      <c r="AA175">
        <f>'Waterfall Creek'!Y30</f>
        <v>1</v>
      </c>
      <c r="AB175">
        <f>'Waterfall Creek'!Z30</f>
        <v>1</v>
      </c>
      <c r="AC175">
        <f>'Waterfall Creek'!AA30</f>
        <v>1</v>
      </c>
      <c r="AD175">
        <f>'Waterfall Creek'!AB30</f>
        <v>0</v>
      </c>
      <c r="AE175">
        <f>'Waterfall Creek'!AC30</f>
        <v>1440</v>
      </c>
      <c r="AF175">
        <f>'Waterfall Creek'!AD30</f>
        <v>1969</v>
      </c>
      <c r="AG175">
        <f>'Waterfall Creek'!AE30</f>
        <v>87</v>
      </c>
      <c r="AH175">
        <f>'Waterfall Creek'!AF30</f>
        <v>182346</v>
      </c>
      <c r="AI175">
        <f>'Waterfall Creek'!AG30</f>
        <v>2.1</v>
      </c>
      <c r="AJ175">
        <f>'Waterfall Creek'!AH30</f>
        <v>1488</v>
      </c>
      <c r="AK175">
        <f>'Waterfall Creek'!AI30</f>
        <v>1681</v>
      </c>
      <c r="AL175">
        <f>'Waterfall Creek'!AJ30</f>
        <v>41</v>
      </c>
      <c r="AM175">
        <f>'Waterfall Creek'!AK30</f>
        <v>73364</v>
      </c>
      <c r="AN175">
        <f>'Waterfall Creek'!AL30</f>
        <v>0.9</v>
      </c>
      <c r="AO175">
        <f>'Waterfall Creek'!AM30</f>
        <v>1594</v>
      </c>
      <c r="AP175">
        <f>'Waterfall Creek'!AN30</f>
        <v>783</v>
      </c>
      <c r="AQ175">
        <f>'Waterfall Creek'!AO30</f>
        <v>29</v>
      </c>
      <c r="AR175">
        <f>'Waterfall Creek'!AP30</f>
        <v>24171</v>
      </c>
      <c r="AS175">
        <f>'Waterfall Creek'!AQ30</f>
        <v>0.3</v>
      </c>
      <c r="AT175">
        <f>'Waterfall Creek'!AR30</f>
        <v>1734</v>
      </c>
      <c r="AU175">
        <f>'Waterfall Creek'!AS30</f>
        <v>3995</v>
      </c>
      <c r="AV175">
        <f>'Waterfall Creek'!AT30</f>
        <v>129</v>
      </c>
      <c r="AW175">
        <f>'Waterfall Creek'!AU30</f>
        <v>548578</v>
      </c>
      <c r="AX175">
        <f>'Waterfall Creek'!AV30</f>
        <v>6.5</v>
      </c>
    </row>
    <row r="176" spans="1:50">
      <c r="A176" t="str">
        <f>'Waterfall Creek'!A31</f>
        <v>/Users/christophermarjo/Documents/Python/Projects/data/bushfire Raman/Waterfall Creek/WFC 3.5 (5)</v>
      </c>
      <c r="B176" t="str">
        <f t="shared" si="2"/>
        <v>Waterfall Creek</v>
      </c>
      <c r="C176">
        <v>3.5</v>
      </c>
      <c r="D176" t="str">
        <f>'Waterfall Creek'!B31</f>
        <v>66.98 counts</v>
      </c>
      <c r="E176">
        <f>'Waterfall Creek'!C31</f>
        <v>0.96855100000000005</v>
      </c>
      <c r="F176">
        <f>'Waterfall Creek'!D31</f>
        <v>1369</v>
      </c>
      <c r="G176">
        <f>'Waterfall Creek'!E31</f>
        <v>24411</v>
      </c>
      <c r="H176">
        <f>'Waterfall Creek'!F31</f>
        <v>328</v>
      </c>
      <c r="I176">
        <f>'Waterfall Creek'!G31</f>
        <v>8522983</v>
      </c>
      <c r="J176">
        <f>'Waterfall Creek'!H31</f>
        <v>61</v>
      </c>
      <c r="K176">
        <f>'Waterfall Creek'!I31</f>
        <v>1588</v>
      </c>
      <c r="L176">
        <f>'Waterfall Creek'!J31</f>
        <v>32135</v>
      </c>
      <c r="M176">
        <f>'Waterfall Creek'!K31</f>
        <v>104</v>
      </c>
      <c r="N176">
        <f>'Waterfall Creek'!L31</f>
        <v>3557491</v>
      </c>
      <c r="O176">
        <f>'Waterfall Creek'!M31</f>
        <v>25.5</v>
      </c>
      <c r="P176">
        <f>'Waterfall Creek'!N31</f>
        <v>1031</v>
      </c>
      <c r="Q176">
        <f>'Waterfall Creek'!O31</f>
        <v>1205</v>
      </c>
      <c r="R176">
        <f>'Waterfall Creek'!P31</f>
        <v>43</v>
      </c>
      <c r="S176">
        <f>'Waterfall Creek'!Q31</f>
        <v>55155</v>
      </c>
      <c r="T176">
        <f>'Waterfall Creek'!R31</f>
        <v>0.4</v>
      </c>
      <c r="U176">
        <f>'Waterfall Creek'!S31</f>
        <v>1166</v>
      </c>
      <c r="V176">
        <f>'Waterfall Creek'!T31</f>
        <v>399</v>
      </c>
      <c r="W176">
        <f>'Waterfall Creek'!U31</f>
        <v>1</v>
      </c>
      <c r="X176">
        <f>'Waterfall Creek'!V31</f>
        <v>425</v>
      </c>
      <c r="Y176">
        <f>'Waterfall Creek'!W31</f>
        <v>0</v>
      </c>
      <c r="Z176">
        <f>'Waterfall Creek'!X31</f>
        <v>1256</v>
      </c>
      <c r="AA176">
        <f>'Waterfall Creek'!Y31</f>
        <v>1</v>
      </c>
      <c r="AB176">
        <f>'Waterfall Creek'!Z31</f>
        <v>1</v>
      </c>
      <c r="AC176">
        <f>'Waterfall Creek'!AA31</f>
        <v>1</v>
      </c>
      <c r="AD176">
        <f>'Waterfall Creek'!AB31</f>
        <v>0</v>
      </c>
      <c r="AE176">
        <f>'Waterfall Creek'!AC31</f>
        <v>1440</v>
      </c>
      <c r="AF176">
        <f>'Waterfall Creek'!AD31</f>
        <v>2515</v>
      </c>
      <c r="AG176">
        <f>'Waterfall Creek'!AE31</f>
        <v>97</v>
      </c>
      <c r="AH176">
        <f>'Waterfall Creek'!AF31</f>
        <v>259682</v>
      </c>
      <c r="AI176">
        <f>'Waterfall Creek'!AG31</f>
        <v>1.9</v>
      </c>
      <c r="AJ176">
        <f>'Waterfall Creek'!AH31</f>
        <v>1506</v>
      </c>
      <c r="AK176">
        <f>'Waterfall Creek'!AI31</f>
        <v>891</v>
      </c>
      <c r="AL176">
        <f>'Waterfall Creek'!AJ31</f>
        <v>39</v>
      </c>
      <c r="AM176">
        <f>'Waterfall Creek'!AK31</f>
        <v>36989</v>
      </c>
      <c r="AN176">
        <f>'Waterfall Creek'!AL31</f>
        <v>0.3</v>
      </c>
      <c r="AO176">
        <f>'Waterfall Creek'!AM31</f>
        <v>1596</v>
      </c>
      <c r="AP176">
        <f>'Waterfall Creek'!AN31</f>
        <v>2657</v>
      </c>
      <c r="AQ176">
        <f>'Waterfall Creek'!AO31</f>
        <v>1</v>
      </c>
      <c r="AR176">
        <f>'Waterfall Creek'!AP31</f>
        <v>2828</v>
      </c>
      <c r="AS176">
        <f>'Waterfall Creek'!AQ31</f>
        <v>0</v>
      </c>
      <c r="AT176">
        <f>'Waterfall Creek'!AR31</f>
        <v>1736</v>
      </c>
      <c r="AU176">
        <f>'Waterfall Creek'!AS31</f>
        <v>7505</v>
      </c>
      <c r="AV176">
        <f>'Waterfall Creek'!AT31</f>
        <v>193</v>
      </c>
      <c r="AW176">
        <f>'Waterfall Creek'!AU31</f>
        <v>1541843</v>
      </c>
      <c r="AX176">
        <f>'Waterfall Creek'!AV31</f>
        <v>11</v>
      </c>
    </row>
    <row r="177" spans="1:50">
      <c r="A177" t="str">
        <f>'Waterfall Creek'!A32</f>
        <v>/Users/christophermarjo/Documents/Python/Projects/data/bushfire Raman/Waterfall Creek/WFC 4 (1)</v>
      </c>
      <c r="B177" t="str">
        <f t="shared" si="2"/>
        <v>Waterfall Creek</v>
      </c>
      <c r="C177">
        <v>4</v>
      </c>
      <c r="D177" t="str">
        <f>'Waterfall Creek'!B32</f>
        <v>20.01 counts</v>
      </c>
      <c r="E177">
        <f>'Waterfall Creek'!C32</f>
        <v>0.98859900000000001</v>
      </c>
      <c r="F177">
        <f>'Waterfall Creek'!D32</f>
        <v>1369</v>
      </c>
      <c r="G177">
        <f>'Waterfall Creek'!E32</f>
        <v>12413</v>
      </c>
      <c r="H177">
        <f>'Waterfall Creek'!F32</f>
        <v>306</v>
      </c>
      <c r="I177">
        <f>'Waterfall Creek'!G32</f>
        <v>4043248</v>
      </c>
      <c r="J177">
        <f>'Waterfall Creek'!H32</f>
        <v>65.8</v>
      </c>
      <c r="K177">
        <f>'Waterfall Creek'!I32</f>
        <v>1588</v>
      </c>
      <c r="L177">
        <f>'Waterfall Creek'!J32</f>
        <v>15727</v>
      </c>
      <c r="M177">
        <f>'Waterfall Creek'!K32</f>
        <v>102</v>
      </c>
      <c r="N177">
        <f>'Waterfall Creek'!L32</f>
        <v>1707569</v>
      </c>
      <c r="O177">
        <f>'Waterfall Creek'!M32</f>
        <v>27.8</v>
      </c>
      <c r="P177">
        <f>'Waterfall Creek'!N32</f>
        <v>1047</v>
      </c>
      <c r="Q177">
        <f>'Waterfall Creek'!O32</f>
        <v>427</v>
      </c>
      <c r="R177">
        <f>'Waterfall Creek'!P32</f>
        <v>75</v>
      </c>
      <c r="S177">
        <f>'Waterfall Creek'!Q32</f>
        <v>34090</v>
      </c>
      <c r="T177">
        <f>'Waterfall Creek'!R32</f>
        <v>0.6</v>
      </c>
      <c r="U177">
        <f>'Waterfall Creek'!S32</f>
        <v>1152</v>
      </c>
      <c r="V177">
        <f>'Waterfall Creek'!T32</f>
        <v>79</v>
      </c>
      <c r="W177">
        <f>'Waterfall Creek'!U32</f>
        <v>1</v>
      </c>
      <c r="X177">
        <f>'Waterfall Creek'!V32</f>
        <v>84</v>
      </c>
      <c r="Y177">
        <f>'Waterfall Creek'!W32</f>
        <v>0</v>
      </c>
      <c r="Z177">
        <f>'Waterfall Creek'!X32</f>
        <v>1270</v>
      </c>
      <c r="AA177">
        <f>'Waterfall Creek'!Y32</f>
        <v>1</v>
      </c>
      <c r="AB177">
        <f>'Waterfall Creek'!Z32</f>
        <v>1</v>
      </c>
      <c r="AC177">
        <f>'Waterfall Creek'!AA32</f>
        <v>1</v>
      </c>
      <c r="AD177">
        <f>'Waterfall Creek'!AB32</f>
        <v>0</v>
      </c>
      <c r="AE177">
        <f>'Waterfall Creek'!AC32</f>
        <v>1456</v>
      </c>
      <c r="AF177">
        <f>'Waterfall Creek'!AD32</f>
        <v>247</v>
      </c>
      <c r="AG177">
        <f>'Waterfall Creek'!AE32</f>
        <v>101</v>
      </c>
      <c r="AH177">
        <f>'Waterfall Creek'!AF32</f>
        <v>26555</v>
      </c>
      <c r="AI177">
        <f>'Waterfall Creek'!AG32</f>
        <v>0.4</v>
      </c>
      <c r="AJ177">
        <f>'Waterfall Creek'!AH32</f>
        <v>1496</v>
      </c>
      <c r="AK177">
        <f>'Waterfall Creek'!AI32</f>
        <v>443</v>
      </c>
      <c r="AL177">
        <f>'Waterfall Creek'!AJ32</f>
        <v>41</v>
      </c>
      <c r="AM177">
        <f>'Waterfall Creek'!AK32</f>
        <v>19334</v>
      </c>
      <c r="AN177">
        <f>'Waterfall Creek'!AL32</f>
        <v>0.3</v>
      </c>
      <c r="AO177">
        <f>'Waterfall Creek'!AM32</f>
        <v>1590</v>
      </c>
      <c r="AP177">
        <f>'Waterfall Creek'!AN32</f>
        <v>625</v>
      </c>
      <c r="AQ177">
        <f>'Waterfall Creek'!AO32</f>
        <v>19</v>
      </c>
      <c r="AR177">
        <f>'Waterfall Creek'!AP32</f>
        <v>12641</v>
      </c>
      <c r="AS177">
        <f>'Waterfall Creek'!AQ32</f>
        <v>0.2</v>
      </c>
      <c r="AT177">
        <f>'Waterfall Creek'!AR32</f>
        <v>1734</v>
      </c>
      <c r="AU177">
        <f>'Waterfall Creek'!AS32</f>
        <v>1785</v>
      </c>
      <c r="AV177">
        <f>'Waterfall Creek'!AT32</f>
        <v>157</v>
      </c>
      <c r="AW177">
        <f>'Waterfall Creek'!AU32</f>
        <v>298312</v>
      </c>
      <c r="AX177">
        <f>'Waterfall Creek'!AV32</f>
        <v>4.9000000000000004</v>
      </c>
    </row>
    <row r="178" spans="1:50">
      <c r="A178" t="str">
        <f>'Waterfall Creek'!A33</f>
        <v>/Users/christophermarjo/Documents/Python/Projects/data/bushfire Raman/Waterfall Creek/WFC 4 (2)</v>
      </c>
      <c r="B178" t="str">
        <f t="shared" si="2"/>
        <v>Waterfall Creek</v>
      </c>
      <c r="C178">
        <v>4</v>
      </c>
      <c r="D178" t="str">
        <f>'Waterfall Creek'!B33</f>
        <v>23.56 counts</v>
      </c>
      <c r="E178">
        <f>'Waterfall Creek'!C33</f>
        <v>0.98590500000000003</v>
      </c>
      <c r="F178">
        <f>'Waterfall Creek'!D33</f>
        <v>1369</v>
      </c>
      <c r="G178">
        <f>'Waterfall Creek'!E33</f>
        <v>13285</v>
      </c>
      <c r="H178">
        <f>'Waterfall Creek'!F33</f>
        <v>266</v>
      </c>
      <c r="I178">
        <f>'Waterfall Creek'!G33</f>
        <v>3761624</v>
      </c>
      <c r="J178">
        <f>'Waterfall Creek'!H33</f>
        <v>62</v>
      </c>
      <c r="K178">
        <f>'Waterfall Creek'!I33</f>
        <v>1592</v>
      </c>
      <c r="L178">
        <f>'Waterfall Creek'!J33</f>
        <v>18245</v>
      </c>
      <c r="M178">
        <f>'Waterfall Creek'!K33</f>
        <v>100</v>
      </c>
      <c r="N178">
        <f>'Waterfall Creek'!L33</f>
        <v>1942120</v>
      </c>
      <c r="O178">
        <f>'Waterfall Creek'!M33</f>
        <v>32</v>
      </c>
      <c r="P178">
        <f>'Waterfall Creek'!N33</f>
        <v>1071</v>
      </c>
      <c r="Q178">
        <f>'Waterfall Creek'!O33</f>
        <v>371</v>
      </c>
      <c r="R178">
        <f>'Waterfall Creek'!P33</f>
        <v>113</v>
      </c>
      <c r="S178">
        <f>'Waterfall Creek'!Q33</f>
        <v>44626</v>
      </c>
      <c r="T178">
        <f>'Waterfall Creek'!R33</f>
        <v>0.7</v>
      </c>
      <c r="U178">
        <f>'Waterfall Creek'!S33</f>
        <v>1170</v>
      </c>
      <c r="V178">
        <f>'Waterfall Creek'!T33</f>
        <v>471</v>
      </c>
      <c r="W178">
        <f>'Waterfall Creek'!U33</f>
        <v>3</v>
      </c>
      <c r="X178">
        <f>'Waterfall Creek'!V33</f>
        <v>1504</v>
      </c>
      <c r="Y178">
        <f>'Waterfall Creek'!W33</f>
        <v>0</v>
      </c>
      <c r="Z178">
        <f>'Waterfall Creek'!X33</f>
        <v>1270</v>
      </c>
      <c r="AA178">
        <f>'Waterfall Creek'!Y33</f>
        <v>1</v>
      </c>
      <c r="AB178">
        <f>'Waterfall Creek'!Z33</f>
        <v>1</v>
      </c>
      <c r="AC178">
        <f>'Waterfall Creek'!AA33</f>
        <v>1</v>
      </c>
      <c r="AD178">
        <f>'Waterfall Creek'!AB33</f>
        <v>0</v>
      </c>
      <c r="AE178">
        <f>'Waterfall Creek'!AC33</f>
        <v>1456</v>
      </c>
      <c r="AF178">
        <f>'Waterfall Creek'!AD33</f>
        <v>393</v>
      </c>
      <c r="AG178">
        <f>'Waterfall Creek'!AE33</f>
        <v>101</v>
      </c>
      <c r="AH178">
        <f>'Waterfall Creek'!AF33</f>
        <v>42252</v>
      </c>
      <c r="AI178">
        <f>'Waterfall Creek'!AG33</f>
        <v>0.7</v>
      </c>
      <c r="AJ178">
        <f>'Waterfall Creek'!AH33</f>
        <v>1492</v>
      </c>
      <c r="AK178">
        <f>'Waterfall Creek'!AI33</f>
        <v>849</v>
      </c>
      <c r="AL178">
        <f>'Waterfall Creek'!AJ33</f>
        <v>29</v>
      </c>
      <c r="AM178">
        <f>'Waterfall Creek'!AK33</f>
        <v>26208</v>
      </c>
      <c r="AN178">
        <f>'Waterfall Creek'!AL33</f>
        <v>0.4</v>
      </c>
      <c r="AO178">
        <f>'Waterfall Creek'!AM33</f>
        <v>1592</v>
      </c>
      <c r="AP178">
        <f>'Waterfall Creek'!AN33</f>
        <v>133</v>
      </c>
      <c r="AQ178">
        <f>'Waterfall Creek'!AO33</f>
        <v>29</v>
      </c>
      <c r="AR178">
        <f>'Waterfall Creek'!AP33</f>
        <v>4106</v>
      </c>
      <c r="AS178">
        <f>'Waterfall Creek'!AQ33</f>
        <v>0.1</v>
      </c>
      <c r="AT178">
        <f>'Waterfall Creek'!AR33</f>
        <v>1722</v>
      </c>
      <c r="AU178">
        <f>'Waterfall Creek'!AS33</f>
        <v>2087</v>
      </c>
      <c r="AV178">
        <f>'Waterfall Creek'!AT33</f>
        <v>109</v>
      </c>
      <c r="AW178">
        <f>'Waterfall Creek'!AU33</f>
        <v>242148</v>
      </c>
      <c r="AX178">
        <f>'Waterfall Creek'!AV33</f>
        <v>4</v>
      </c>
    </row>
    <row r="179" spans="1:50">
      <c r="A179" t="str">
        <f>'Waterfall Creek'!A34</f>
        <v>/Users/christophermarjo/Documents/Python/Projects/data/bushfire Raman/Waterfall Creek/WFC 4 (3)</v>
      </c>
      <c r="B179" t="str">
        <f t="shared" si="2"/>
        <v>Waterfall Creek</v>
      </c>
      <c r="C179">
        <v>4</v>
      </c>
      <c r="D179" t="str">
        <f>'Waterfall Creek'!B34</f>
        <v>20.92 counts</v>
      </c>
      <c r="E179">
        <f>'Waterfall Creek'!C34</f>
        <v>0.98617299999999997</v>
      </c>
      <c r="F179">
        <f>'Waterfall Creek'!D34</f>
        <v>1367</v>
      </c>
      <c r="G179">
        <f>'Waterfall Creek'!E34</f>
        <v>11951</v>
      </c>
      <c r="H179">
        <f>'Waterfall Creek'!F34</f>
        <v>308</v>
      </c>
      <c r="I179">
        <f>'Waterfall Creek'!G34</f>
        <v>3918205</v>
      </c>
      <c r="J179">
        <f>'Waterfall Creek'!H34</f>
        <v>68.3</v>
      </c>
      <c r="K179">
        <f>'Waterfall Creek'!I34</f>
        <v>1590</v>
      </c>
      <c r="L179">
        <f>'Waterfall Creek'!J34</f>
        <v>14351</v>
      </c>
      <c r="M179">
        <f>'Waterfall Creek'!K34</f>
        <v>104</v>
      </c>
      <c r="N179">
        <f>'Waterfall Creek'!L34</f>
        <v>1588721</v>
      </c>
      <c r="O179">
        <f>'Waterfall Creek'!M34</f>
        <v>27.7</v>
      </c>
      <c r="P179">
        <f>'Waterfall Creek'!N34</f>
        <v>1041</v>
      </c>
      <c r="Q179">
        <f>'Waterfall Creek'!O34</f>
        <v>393</v>
      </c>
      <c r="R179">
        <f>'Waterfall Creek'!P34</f>
        <v>71</v>
      </c>
      <c r="S179">
        <f>'Waterfall Creek'!Q34</f>
        <v>29702</v>
      </c>
      <c r="T179">
        <f>'Waterfall Creek'!R34</f>
        <v>0.5</v>
      </c>
      <c r="U179">
        <f>'Waterfall Creek'!S34</f>
        <v>1154</v>
      </c>
      <c r="V179">
        <f>'Waterfall Creek'!T34</f>
        <v>1</v>
      </c>
      <c r="W179">
        <f>'Waterfall Creek'!U34</f>
        <v>1</v>
      </c>
      <c r="X179">
        <f>'Waterfall Creek'!V34</f>
        <v>1</v>
      </c>
      <c r="Y179">
        <f>'Waterfall Creek'!W34</f>
        <v>0</v>
      </c>
      <c r="Z179">
        <f>'Waterfall Creek'!X34</f>
        <v>1270</v>
      </c>
      <c r="AA179">
        <f>'Waterfall Creek'!Y34</f>
        <v>1</v>
      </c>
      <c r="AB179">
        <f>'Waterfall Creek'!Z34</f>
        <v>1</v>
      </c>
      <c r="AC179">
        <f>'Waterfall Creek'!AA34</f>
        <v>1</v>
      </c>
      <c r="AD179">
        <f>'Waterfall Creek'!AB34</f>
        <v>0</v>
      </c>
      <c r="AE179">
        <f>'Waterfall Creek'!AC34</f>
        <v>1456</v>
      </c>
      <c r="AF179">
        <f>'Waterfall Creek'!AD34</f>
        <v>241</v>
      </c>
      <c r="AG179">
        <f>'Waterfall Creek'!AE34</f>
        <v>85</v>
      </c>
      <c r="AH179">
        <f>'Waterfall Creek'!AF34</f>
        <v>21806</v>
      </c>
      <c r="AI179">
        <f>'Waterfall Creek'!AG34</f>
        <v>0.4</v>
      </c>
      <c r="AJ179">
        <f>'Waterfall Creek'!AH34</f>
        <v>1502</v>
      </c>
      <c r="AK179">
        <f>'Waterfall Creek'!AI34</f>
        <v>419</v>
      </c>
      <c r="AL179">
        <f>'Waterfall Creek'!AJ34</f>
        <v>33</v>
      </c>
      <c r="AM179">
        <f>'Waterfall Creek'!AK34</f>
        <v>14718</v>
      </c>
      <c r="AN179">
        <f>'Waterfall Creek'!AL34</f>
        <v>0.3</v>
      </c>
      <c r="AO179">
        <f>'Waterfall Creek'!AM34</f>
        <v>1598</v>
      </c>
      <c r="AP179">
        <f>'Waterfall Creek'!AN34</f>
        <v>379</v>
      </c>
      <c r="AQ179">
        <f>'Waterfall Creek'!AO34</f>
        <v>21</v>
      </c>
      <c r="AR179">
        <f>'Waterfall Creek'!AP34</f>
        <v>8472</v>
      </c>
      <c r="AS179">
        <f>'Waterfall Creek'!AQ34</f>
        <v>0.1</v>
      </c>
      <c r="AT179">
        <f>'Waterfall Creek'!AR34</f>
        <v>1728</v>
      </c>
      <c r="AU179">
        <f>'Waterfall Creek'!AS34</f>
        <v>1311</v>
      </c>
      <c r="AV179">
        <f>'Waterfall Creek'!AT34</f>
        <v>111</v>
      </c>
      <c r="AW179">
        <f>'Waterfall Creek'!AU34</f>
        <v>154902</v>
      </c>
      <c r="AX179">
        <f>'Waterfall Creek'!AV34</f>
        <v>2.7</v>
      </c>
    </row>
    <row r="180" spans="1:50">
      <c r="A180" t="str">
        <f>'Waterfall Creek'!A35</f>
        <v>/Users/christophermarjo/Documents/Python/Projects/data/bushfire Raman/Waterfall Creek/WFC 4.5 (1)</v>
      </c>
      <c r="B180" t="str">
        <f t="shared" si="2"/>
        <v>Waterfall Creek</v>
      </c>
      <c r="C180">
        <v>4.5</v>
      </c>
      <c r="D180" t="str">
        <f>'Waterfall Creek'!B35</f>
        <v>4.51 counts</v>
      </c>
      <c r="E180">
        <f>'Waterfall Creek'!C35</f>
        <v>0.983904</v>
      </c>
      <c r="F180">
        <f>'Waterfall Creek'!D35</f>
        <v>1369</v>
      </c>
      <c r="G180">
        <f>'Waterfall Creek'!E35</f>
        <v>2531</v>
      </c>
      <c r="H180">
        <f>'Waterfall Creek'!F35</f>
        <v>302</v>
      </c>
      <c r="I180">
        <f>'Waterfall Creek'!G35</f>
        <v>813638</v>
      </c>
      <c r="J180">
        <f>'Waterfall Creek'!H35</f>
        <v>68.3</v>
      </c>
      <c r="K180">
        <f>'Waterfall Creek'!I35</f>
        <v>1592</v>
      </c>
      <c r="L180">
        <f>'Waterfall Creek'!J35</f>
        <v>2715</v>
      </c>
      <c r="M180">
        <f>'Waterfall Creek'!K35</f>
        <v>100</v>
      </c>
      <c r="N180">
        <f>'Waterfall Creek'!L35</f>
        <v>289003</v>
      </c>
      <c r="O180">
        <f>'Waterfall Creek'!M35</f>
        <v>24.2</v>
      </c>
      <c r="P180">
        <f>'Waterfall Creek'!N35</f>
        <v>1033</v>
      </c>
      <c r="Q180">
        <f>'Waterfall Creek'!O35</f>
        <v>171</v>
      </c>
      <c r="R180">
        <f>'Waterfall Creek'!P35</f>
        <v>147</v>
      </c>
      <c r="S180">
        <f>'Waterfall Creek'!Q35</f>
        <v>26758</v>
      </c>
      <c r="T180">
        <f>'Waterfall Creek'!R35</f>
        <v>2.2000000000000002</v>
      </c>
      <c r="U180">
        <f>'Waterfall Creek'!S35</f>
        <v>1170</v>
      </c>
      <c r="V180">
        <f>'Waterfall Creek'!T35</f>
        <v>9</v>
      </c>
      <c r="W180">
        <f>'Waterfall Creek'!U35</f>
        <v>1</v>
      </c>
      <c r="X180">
        <f>'Waterfall Creek'!V35</f>
        <v>10</v>
      </c>
      <c r="Y180">
        <f>'Waterfall Creek'!W35</f>
        <v>0</v>
      </c>
      <c r="Z180">
        <f>'Waterfall Creek'!X35</f>
        <v>1270</v>
      </c>
      <c r="AA180">
        <f>'Waterfall Creek'!Y35</f>
        <v>1</v>
      </c>
      <c r="AB180">
        <f>'Waterfall Creek'!Z35</f>
        <v>1</v>
      </c>
      <c r="AC180">
        <f>'Waterfall Creek'!AA35</f>
        <v>1</v>
      </c>
      <c r="AD180">
        <f>'Waterfall Creek'!AB35</f>
        <v>0</v>
      </c>
      <c r="AE180">
        <f>'Waterfall Creek'!AC35</f>
        <v>1404</v>
      </c>
      <c r="AF180">
        <f>'Waterfall Creek'!AD35</f>
        <v>73</v>
      </c>
      <c r="AG180">
        <f>'Waterfall Creek'!AE35</f>
        <v>1</v>
      </c>
      <c r="AH180">
        <f>'Waterfall Creek'!AF35</f>
        <v>78</v>
      </c>
      <c r="AI180">
        <f>'Waterfall Creek'!AG35</f>
        <v>0</v>
      </c>
      <c r="AJ180">
        <f>'Waterfall Creek'!AH35</f>
        <v>1494</v>
      </c>
      <c r="AK180">
        <f>'Waterfall Creek'!AI35</f>
        <v>65</v>
      </c>
      <c r="AL180">
        <f>'Waterfall Creek'!AJ35</f>
        <v>27</v>
      </c>
      <c r="AM180">
        <f>'Waterfall Creek'!AK35</f>
        <v>1868</v>
      </c>
      <c r="AN180">
        <f>'Waterfall Creek'!AL35</f>
        <v>0.2</v>
      </c>
      <c r="AO180">
        <f>'Waterfall Creek'!AM35</f>
        <v>1598</v>
      </c>
      <c r="AP180">
        <f>'Waterfall Creek'!AN35</f>
        <v>183</v>
      </c>
      <c r="AQ180">
        <f>'Waterfall Creek'!AO35</f>
        <v>29</v>
      </c>
      <c r="AR180">
        <f>'Waterfall Creek'!AP35</f>
        <v>5649</v>
      </c>
      <c r="AS180">
        <f>'Waterfall Creek'!AQ35</f>
        <v>0.5</v>
      </c>
      <c r="AT180">
        <f>'Waterfall Creek'!AR35</f>
        <v>1734</v>
      </c>
      <c r="AU180">
        <f>'Waterfall Creek'!AS35</f>
        <v>313</v>
      </c>
      <c r="AV180">
        <f>'Waterfall Creek'!AT35</f>
        <v>165</v>
      </c>
      <c r="AW180">
        <f>'Waterfall Creek'!AU35</f>
        <v>54974</v>
      </c>
      <c r="AX180">
        <f>'Waterfall Creek'!AV35</f>
        <v>4.5999999999999996</v>
      </c>
    </row>
    <row r="181" spans="1:50">
      <c r="A181" t="str">
        <f>'Waterfall Creek'!A36</f>
        <v>/Users/christophermarjo/Documents/Python/Projects/data/bushfire Raman/Waterfall Creek/WFC 4.5 (2)</v>
      </c>
      <c r="B181" t="str">
        <f t="shared" si="2"/>
        <v>Waterfall Creek</v>
      </c>
      <c r="C181">
        <v>4.5</v>
      </c>
      <c r="D181" t="str">
        <f>'Waterfall Creek'!B36</f>
        <v>15.47 counts</v>
      </c>
      <c r="E181">
        <f>'Waterfall Creek'!C36</f>
        <v>0.98661699999999997</v>
      </c>
      <c r="F181">
        <f>'Waterfall Creek'!D36</f>
        <v>1369</v>
      </c>
      <c r="G181">
        <f>'Waterfall Creek'!E36</f>
        <v>9301</v>
      </c>
      <c r="H181">
        <f>'Waterfall Creek'!F36</f>
        <v>324</v>
      </c>
      <c r="I181">
        <f>'Waterfall Creek'!G36</f>
        <v>3207797</v>
      </c>
      <c r="J181">
        <f>'Waterfall Creek'!H36</f>
        <v>72.099999999999994</v>
      </c>
      <c r="K181">
        <f>'Waterfall Creek'!I36</f>
        <v>1588</v>
      </c>
      <c r="L181">
        <f>'Waterfall Creek'!J36</f>
        <v>9505</v>
      </c>
      <c r="M181">
        <f>'Waterfall Creek'!K36</f>
        <v>102</v>
      </c>
      <c r="N181">
        <f>'Waterfall Creek'!L36</f>
        <v>1032011</v>
      </c>
      <c r="O181">
        <f>'Waterfall Creek'!M36</f>
        <v>23.2</v>
      </c>
      <c r="P181">
        <f>'Waterfall Creek'!N36</f>
        <v>1043</v>
      </c>
      <c r="Q181">
        <f>'Waterfall Creek'!O36</f>
        <v>401</v>
      </c>
      <c r="R181">
        <f>'Waterfall Creek'!P36</f>
        <v>73</v>
      </c>
      <c r="S181">
        <f>'Waterfall Creek'!Q36</f>
        <v>31160</v>
      </c>
      <c r="T181">
        <f>'Waterfall Creek'!R36</f>
        <v>0.7</v>
      </c>
      <c r="U181">
        <f>'Waterfall Creek'!S36</f>
        <v>1154</v>
      </c>
      <c r="V181">
        <f>'Waterfall Creek'!T36</f>
        <v>1</v>
      </c>
      <c r="W181">
        <f>'Waterfall Creek'!U36</f>
        <v>1</v>
      </c>
      <c r="X181">
        <f>'Waterfall Creek'!V36</f>
        <v>1</v>
      </c>
      <c r="Y181">
        <f>'Waterfall Creek'!W36</f>
        <v>0</v>
      </c>
      <c r="Z181">
        <f>'Waterfall Creek'!X36</f>
        <v>1270</v>
      </c>
      <c r="AA181">
        <f>'Waterfall Creek'!Y36</f>
        <v>1</v>
      </c>
      <c r="AB181">
        <f>'Waterfall Creek'!Z36</f>
        <v>1</v>
      </c>
      <c r="AC181">
        <f>'Waterfall Creek'!AA36</f>
        <v>1</v>
      </c>
      <c r="AD181">
        <f>'Waterfall Creek'!AB36</f>
        <v>0</v>
      </c>
      <c r="AE181">
        <f>'Waterfall Creek'!AC36</f>
        <v>1400</v>
      </c>
      <c r="AF181">
        <f>'Waterfall Creek'!AD36</f>
        <v>1</v>
      </c>
      <c r="AG181">
        <f>'Waterfall Creek'!AE36</f>
        <v>131</v>
      </c>
      <c r="AH181">
        <f>'Waterfall Creek'!AF36</f>
        <v>139</v>
      </c>
      <c r="AI181">
        <f>'Waterfall Creek'!AG36</f>
        <v>0</v>
      </c>
      <c r="AJ181">
        <f>'Waterfall Creek'!AH36</f>
        <v>1500</v>
      </c>
      <c r="AK181">
        <f>'Waterfall Creek'!AI36</f>
        <v>225</v>
      </c>
      <c r="AL181">
        <f>'Waterfall Creek'!AJ36</f>
        <v>29</v>
      </c>
      <c r="AM181">
        <f>'Waterfall Creek'!AK36</f>
        <v>6946</v>
      </c>
      <c r="AN181">
        <f>'Waterfall Creek'!AL36</f>
        <v>0.2</v>
      </c>
      <c r="AO181">
        <f>'Waterfall Creek'!AM36</f>
        <v>1598</v>
      </c>
      <c r="AP181">
        <f>'Waterfall Creek'!AN36</f>
        <v>719</v>
      </c>
      <c r="AQ181">
        <f>'Waterfall Creek'!AO36</f>
        <v>27</v>
      </c>
      <c r="AR181">
        <f>'Waterfall Creek'!AP36</f>
        <v>20664</v>
      </c>
      <c r="AS181">
        <f>'Waterfall Creek'!AQ36</f>
        <v>0.5</v>
      </c>
      <c r="AT181">
        <f>'Waterfall Creek'!AR36</f>
        <v>1728</v>
      </c>
      <c r="AU181">
        <f>'Waterfall Creek'!AS36</f>
        <v>1023</v>
      </c>
      <c r="AV181">
        <f>'Waterfall Creek'!AT36</f>
        <v>137</v>
      </c>
      <c r="AW181">
        <f>'Waterfall Creek'!AU36</f>
        <v>149186</v>
      </c>
      <c r="AX181">
        <f>'Waterfall Creek'!AV36</f>
        <v>3.4</v>
      </c>
    </row>
    <row r="182" spans="1:50">
      <c r="A182" t="str">
        <f>'Waterfall Creek'!A37</f>
        <v>/Users/christophermarjo/Documents/Python/Projects/data/bushfire Raman/Waterfall Creek/WFC 4.5 (3)</v>
      </c>
      <c r="B182" t="str">
        <f t="shared" si="2"/>
        <v>Waterfall Creek</v>
      </c>
      <c r="C182">
        <v>4.5</v>
      </c>
      <c r="D182" t="str">
        <f>'Waterfall Creek'!B37</f>
        <v>36.26 counts</v>
      </c>
      <c r="E182">
        <f>'Waterfall Creek'!C37</f>
        <v>0.96476700000000004</v>
      </c>
      <c r="F182">
        <f>'Waterfall Creek'!D37</f>
        <v>1369</v>
      </c>
      <c r="G182">
        <f>'Waterfall Creek'!E37</f>
        <v>12183</v>
      </c>
      <c r="H182">
        <f>'Waterfall Creek'!F37</f>
        <v>282</v>
      </c>
      <c r="I182">
        <f>'Waterfall Creek'!G37</f>
        <v>3657089</v>
      </c>
      <c r="J182">
        <f>'Waterfall Creek'!H37</f>
        <v>57</v>
      </c>
      <c r="K182">
        <f>'Waterfall Creek'!I37</f>
        <v>1590</v>
      </c>
      <c r="L182">
        <f>'Waterfall Creek'!J37</f>
        <v>17217</v>
      </c>
      <c r="M182">
        <f>'Waterfall Creek'!K37</f>
        <v>112</v>
      </c>
      <c r="N182">
        <f>'Waterfall Creek'!L37</f>
        <v>2052616</v>
      </c>
      <c r="O182">
        <f>'Waterfall Creek'!M37</f>
        <v>32</v>
      </c>
      <c r="P182">
        <f>'Waterfall Creek'!N37</f>
        <v>1025</v>
      </c>
      <c r="Q182">
        <f>'Waterfall Creek'!O37</f>
        <v>451</v>
      </c>
      <c r="R182">
        <f>'Waterfall Creek'!P37</f>
        <v>31</v>
      </c>
      <c r="S182">
        <f>'Waterfall Creek'!Q37</f>
        <v>14882</v>
      </c>
      <c r="T182">
        <f>'Waterfall Creek'!R37</f>
        <v>0.2</v>
      </c>
      <c r="U182">
        <f>'Waterfall Creek'!S37</f>
        <v>1156</v>
      </c>
      <c r="V182">
        <f>'Waterfall Creek'!T37</f>
        <v>223</v>
      </c>
      <c r="W182">
        <f>'Waterfall Creek'!U37</f>
        <v>37</v>
      </c>
      <c r="X182">
        <f>'Waterfall Creek'!V37</f>
        <v>8783</v>
      </c>
      <c r="Y182">
        <f>'Waterfall Creek'!W37</f>
        <v>0.1</v>
      </c>
      <c r="Z182">
        <f>'Waterfall Creek'!X37</f>
        <v>1270</v>
      </c>
      <c r="AA182">
        <f>'Waterfall Creek'!Y37</f>
        <v>1</v>
      </c>
      <c r="AB182">
        <f>'Waterfall Creek'!Z37</f>
        <v>1</v>
      </c>
      <c r="AC182">
        <f>'Waterfall Creek'!AA37</f>
        <v>1</v>
      </c>
      <c r="AD182">
        <f>'Waterfall Creek'!AB37</f>
        <v>0</v>
      </c>
      <c r="AE182">
        <f>'Waterfall Creek'!AC37</f>
        <v>1456</v>
      </c>
      <c r="AF182">
        <f>'Waterfall Creek'!AD37</f>
        <v>1239</v>
      </c>
      <c r="AG182">
        <f>'Waterfall Creek'!AE37</f>
        <v>71</v>
      </c>
      <c r="AH182">
        <f>'Waterfall Creek'!AF37</f>
        <v>93640</v>
      </c>
      <c r="AI182">
        <f>'Waterfall Creek'!AG37</f>
        <v>1.5</v>
      </c>
      <c r="AJ182">
        <f>'Waterfall Creek'!AH37</f>
        <v>1494</v>
      </c>
      <c r="AK182">
        <f>'Waterfall Creek'!AI37</f>
        <v>1637</v>
      </c>
      <c r="AL182">
        <f>'Waterfall Creek'!AJ37</f>
        <v>37</v>
      </c>
      <c r="AM182">
        <f>'Waterfall Creek'!AK37</f>
        <v>64474</v>
      </c>
      <c r="AN182">
        <f>'Waterfall Creek'!AL37</f>
        <v>1</v>
      </c>
      <c r="AO182">
        <f>'Waterfall Creek'!AM37</f>
        <v>1592</v>
      </c>
      <c r="AP182">
        <f>'Waterfall Creek'!AN37</f>
        <v>547</v>
      </c>
      <c r="AQ182">
        <f>'Waterfall Creek'!AO37</f>
        <v>23</v>
      </c>
      <c r="AR182">
        <f>'Waterfall Creek'!AP37</f>
        <v>13392</v>
      </c>
      <c r="AS182">
        <f>'Waterfall Creek'!AQ37</f>
        <v>0.2</v>
      </c>
      <c r="AT182">
        <f>'Waterfall Creek'!AR37</f>
        <v>1744</v>
      </c>
      <c r="AU182">
        <f>'Waterfall Creek'!AS37</f>
        <v>2989</v>
      </c>
      <c r="AV182">
        <f>'Waterfall Creek'!AT37</f>
        <v>161</v>
      </c>
      <c r="AW182">
        <f>'Waterfall Creek'!AU37</f>
        <v>512252</v>
      </c>
      <c r="AX182">
        <f>'Waterfall Creek'!AV37</f>
        <v>8</v>
      </c>
    </row>
    <row r="183" spans="1:50">
      <c r="A183" t="str">
        <f>'Waterfall Creek'!A38</f>
        <v>/Users/christophermarjo/Documents/Python/Projects/data/bushfire Raman/Waterfall Creek/WFC 4.5 (4)</v>
      </c>
      <c r="B183" t="str">
        <f t="shared" si="2"/>
        <v>Waterfall Creek</v>
      </c>
      <c r="C183">
        <v>4.5</v>
      </c>
      <c r="D183" t="str">
        <f>'Waterfall Creek'!B38</f>
        <v>36.76 counts</v>
      </c>
      <c r="E183">
        <f>'Waterfall Creek'!C38</f>
        <v>0.99088399999999999</v>
      </c>
      <c r="F183">
        <f>'Waterfall Creek'!D38</f>
        <v>1369</v>
      </c>
      <c r="G183">
        <f>'Waterfall Creek'!E38</f>
        <v>25783</v>
      </c>
      <c r="H183">
        <f>'Waterfall Creek'!F38</f>
        <v>336</v>
      </c>
      <c r="I183">
        <f>'Waterfall Creek'!G38</f>
        <v>9221572</v>
      </c>
      <c r="J183">
        <f>'Waterfall Creek'!H38</f>
        <v>70</v>
      </c>
      <c r="K183">
        <f>'Waterfall Creek'!I38</f>
        <v>1586</v>
      </c>
      <c r="L183">
        <f>'Waterfall Creek'!J38</f>
        <v>27769</v>
      </c>
      <c r="M183">
        <f>'Waterfall Creek'!K38</f>
        <v>114</v>
      </c>
      <c r="N183">
        <f>'Waterfall Creek'!L38</f>
        <v>3369747</v>
      </c>
      <c r="O183">
        <f>'Waterfall Creek'!M38</f>
        <v>25.6</v>
      </c>
      <c r="P183">
        <f>'Waterfall Creek'!N38</f>
        <v>1071</v>
      </c>
      <c r="Q183">
        <f>'Waterfall Creek'!O38</f>
        <v>441</v>
      </c>
      <c r="R183">
        <f>'Waterfall Creek'!P38</f>
        <v>59</v>
      </c>
      <c r="S183">
        <f>'Waterfall Creek'!Q38</f>
        <v>27696</v>
      </c>
      <c r="T183">
        <f>'Waterfall Creek'!R38</f>
        <v>0.2</v>
      </c>
      <c r="U183">
        <f>'Waterfall Creek'!S38</f>
        <v>1174</v>
      </c>
      <c r="V183">
        <f>'Waterfall Creek'!T38</f>
        <v>2949</v>
      </c>
      <c r="W183">
        <f>'Waterfall Creek'!U38</f>
        <v>3</v>
      </c>
      <c r="X183">
        <f>'Waterfall Creek'!V38</f>
        <v>9417</v>
      </c>
      <c r="Y183">
        <f>'Waterfall Creek'!W38</f>
        <v>0.1</v>
      </c>
      <c r="Z183">
        <f>'Waterfall Creek'!X38</f>
        <v>1256</v>
      </c>
      <c r="AA183">
        <f>'Waterfall Creek'!Y38</f>
        <v>1</v>
      </c>
      <c r="AB183">
        <f>'Waterfall Creek'!Z38</f>
        <v>1</v>
      </c>
      <c r="AC183">
        <f>'Waterfall Creek'!AA38</f>
        <v>1</v>
      </c>
      <c r="AD183">
        <f>'Waterfall Creek'!AB38</f>
        <v>0</v>
      </c>
      <c r="AE183">
        <f>'Waterfall Creek'!AC38</f>
        <v>1440</v>
      </c>
      <c r="AF183">
        <f>'Waterfall Creek'!AD38</f>
        <v>259</v>
      </c>
      <c r="AG183">
        <f>'Waterfall Creek'!AE38</f>
        <v>131</v>
      </c>
      <c r="AH183">
        <f>'Waterfall Creek'!AF38</f>
        <v>36116</v>
      </c>
      <c r="AI183">
        <f>'Waterfall Creek'!AG38</f>
        <v>0.3</v>
      </c>
      <c r="AJ183">
        <f>'Waterfall Creek'!AH38</f>
        <v>1488</v>
      </c>
      <c r="AK183">
        <f>'Waterfall Creek'!AI38</f>
        <v>1167</v>
      </c>
      <c r="AL183">
        <f>'Waterfall Creek'!AJ38</f>
        <v>41</v>
      </c>
      <c r="AM183">
        <f>'Waterfall Creek'!AK38</f>
        <v>50932</v>
      </c>
      <c r="AN183">
        <f>'Waterfall Creek'!AL38</f>
        <v>0.4</v>
      </c>
      <c r="AO183">
        <f>'Waterfall Creek'!AM38</f>
        <v>1594</v>
      </c>
      <c r="AP183">
        <f>'Waterfall Creek'!AN38</f>
        <v>677</v>
      </c>
      <c r="AQ183">
        <f>'Waterfall Creek'!AO38</f>
        <v>23</v>
      </c>
      <c r="AR183">
        <f>'Waterfall Creek'!AP38</f>
        <v>16575</v>
      </c>
      <c r="AS183">
        <f>'Waterfall Creek'!AQ38</f>
        <v>0.1</v>
      </c>
      <c r="AT183">
        <f>'Waterfall Creek'!AR38</f>
        <v>1734</v>
      </c>
      <c r="AU183">
        <f>'Waterfall Creek'!AS38</f>
        <v>3215</v>
      </c>
      <c r="AV183">
        <f>'Waterfall Creek'!AT38</f>
        <v>129</v>
      </c>
      <c r="AW183">
        <f>'Waterfall Creek'!AU38</f>
        <v>441472</v>
      </c>
      <c r="AX183">
        <f>'Waterfall Creek'!AV38</f>
        <v>3.4</v>
      </c>
    </row>
    <row r="184" spans="1:50">
      <c r="A184" t="str">
        <f>'Waterfall Creek'!A39</f>
        <v>/Users/christophermarjo/Documents/Python/Projects/data/bushfire Raman/Waterfall Creek/WFC 4.5 (5)</v>
      </c>
      <c r="B184" t="str">
        <f t="shared" si="2"/>
        <v>Waterfall Creek</v>
      </c>
      <c r="C184">
        <v>4.5</v>
      </c>
      <c r="D184" t="str">
        <f>'Waterfall Creek'!B39</f>
        <v>65.01 counts</v>
      </c>
      <c r="E184">
        <f>'Waterfall Creek'!C39</f>
        <v>0.98351100000000002</v>
      </c>
      <c r="F184">
        <f>'Waterfall Creek'!D39</f>
        <v>1369</v>
      </c>
      <c r="G184">
        <f>'Waterfall Creek'!E39</f>
        <v>31113</v>
      </c>
      <c r="H184">
        <f>'Waterfall Creek'!F39</f>
        <v>306</v>
      </c>
      <c r="I184">
        <f>'Waterfall Creek'!G39</f>
        <v>10134341</v>
      </c>
      <c r="J184">
        <f>'Waterfall Creek'!H39</f>
        <v>62.2</v>
      </c>
      <c r="K184">
        <f>'Waterfall Creek'!I39</f>
        <v>1584</v>
      </c>
      <c r="L184">
        <f>'Waterfall Creek'!J39</f>
        <v>40641</v>
      </c>
      <c r="M184">
        <f>'Waterfall Creek'!K39</f>
        <v>120</v>
      </c>
      <c r="N184">
        <f>'Waterfall Creek'!L39</f>
        <v>5191321</v>
      </c>
      <c r="O184">
        <f>'Waterfall Creek'!M39</f>
        <v>31.9</v>
      </c>
      <c r="P184">
        <f>'Waterfall Creek'!N39</f>
        <v>1043</v>
      </c>
      <c r="Q184">
        <f>'Waterfall Creek'!O39</f>
        <v>1083</v>
      </c>
      <c r="R184">
        <f>'Waterfall Creek'!P39</f>
        <v>55</v>
      </c>
      <c r="S184">
        <f>'Waterfall Creek'!Q39</f>
        <v>63405</v>
      </c>
      <c r="T184">
        <f>'Waterfall Creek'!R39</f>
        <v>0.4</v>
      </c>
      <c r="U184">
        <f>'Waterfall Creek'!S39</f>
        <v>1160</v>
      </c>
      <c r="V184">
        <f>'Waterfall Creek'!T39</f>
        <v>379</v>
      </c>
      <c r="W184">
        <f>'Waterfall Creek'!U39</f>
        <v>1</v>
      </c>
      <c r="X184">
        <f>'Waterfall Creek'!V39</f>
        <v>403</v>
      </c>
      <c r="Y184">
        <f>'Waterfall Creek'!W39</f>
        <v>0</v>
      </c>
      <c r="Z184">
        <f>'Waterfall Creek'!X39</f>
        <v>1256</v>
      </c>
      <c r="AA184">
        <f>'Waterfall Creek'!Y39</f>
        <v>1</v>
      </c>
      <c r="AB184">
        <f>'Waterfall Creek'!Z39</f>
        <v>1</v>
      </c>
      <c r="AC184">
        <f>'Waterfall Creek'!AA39</f>
        <v>1</v>
      </c>
      <c r="AD184">
        <f>'Waterfall Creek'!AB39</f>
        <v>0</v>
      </c>
      <c r="AE184">
        <f>'Waterfall Creek'!AC39</f>
        <v>1440</v>
      </c>
      <c r="AF184">
        <f>'Waterfall Creek'!AD39</f>
        <v>1993</v>
      </c>
      <c r="AG184">
        <f>'Waterfall Creek'!AE39</f>
        <v>87</v>
      </c>
      <c r="AH184">
        <f>'Waterfall Creek'!AF39</f>
        <v>184569</v>
      </c>
      <c r="AI184">
        <f>'Waterfall Creek'!AG39</f>
        <v>1.1000000000000001</v>
      </c>
      <c r="AJ184">
        <f>'Waterfall Creek'!AH39</f>
        <v>1484</v>
      </c>
      <c r="AK184">
        <f>'Waterfall Creek'!AI39</f>
        <v>1703</v>
      </c>
      <c r="AL184">
        <f>'Waterfall Creek'!AJ39</f>
        <v>31</v>
      </c>
      <c r="AM184">
        <f>'Waterfall Creek'!AK39</f>
        <v>56196</v>
      </c>
      <c r="AN184">
        <f>'Waterfall Creek'!AL39</f>
        <v>0.3</v>
      </c>
      <c r="AO184">
        <f>'Waterfall Creek'!AM39</f>
        <v>1582</v>
      </c>
      <c r="AP184">
        <f>'Waterfall Creek'!AN39</f>
        <v>1269</v>
      </c>
      <c r="AQ184">
        <f>'Waterfall Creek'!AO39</f>
        <v>21</v>
      </c>
      <c r="AR184">
        <f>'Waterfall Creek'!AP39</f>
        <v>28367</v>
      </c>
      <c r="AS184">
        <f>'Waterfall Creek'!AQ39</f>
        <v>0.2</v>
      </c>
      <c r="AT184">
        <f>'Waterfall Creek'!AR39</f>
        <v>1734</v>
      </c>
      <c r="AU184">
        <f>'Waterfall Creek'!AS39</f>
        <v>4677</v>
      </c>
      <c r="AV184">
        <f>'Waterfall Creek'!AT39</f>
        <v>127</v>
      </c>
      <c r="AW184">
        <f>'Waterfall Creek'!AU39</f>
        <v>632271</v>
      </c>
      <c r="AX184">
        <f>'Waterfall Creek'!AV39</f>
        <v>3.9</v>
      </c>
    </row>
    <row r="185" spans="1:50">
      <c r="A185" t="str">
        <f>'Waterfall Creek'!A40</f>
        <v>/Users/christophermarjo/Documents/Python/Projects/data/bushfire Raman/Waterfall Creek/WFC 5 (1)</v>
      </c>
      <c r="B185" t="str">
        <f t="shared" si="2"/>
        <v>Waterfall Creek</v>
      </c>
      <c r="C185">
        <v>5</v>
      </c>
      <c r="D185" t="str">
        <f>'Waterfall Creek'!B40</f>
        <v>31.63 counts</v>
      </c>
      <c r="E185">
        <f>'Waterfall Creek'!C40</f>
        <v>0.98384400000000005</v>
      </c>
      <c r="F185">
        <f>'Waterfall Creek'!D40</f>
        <v>1365</v>
      </c>
      <c r="G185">
        <f>'Waterfall Creek'!E40</f>
        <v>16685</v>
      </c>
      <c r="H185">
        <f>'Waterfall Creek'!F40</f>
        <v>256</v>
      </c>
      <c r="I185">
        <f>'Waterfall Creek'!G40</f>
        <v>4546722</v>
      </c>
      <c r="J185">
        <f>'Waterfall Creek'!H40</f>
        <v>58.7</v>
      </c>
      <c r="K185">
        <f>'Waterfall Creek'!I40</f>
        <v>1594</v>
      </c>
      <c r="L185">
        <f>'Waterfall Creek'!J40</f>
        <v>23631</v>
      </c>
      <c r="M185">
        <f>'Waterfall Creek'!K40</f>
        <v>100</v>
      </c>
      <c r="N185">
        <f>'Waterfall Creek'!L40</f>
        <v>2515442</v>
      </c>
      <c r="O185">
        <f>'Waterfall Creek'!M40</f>
        <v>32.5</v>
      </c>
      <c r="P185">
        <f>'Waterfall Creek'!N40</f>
        <v>1073</v>
      </c>
      <c r="Q185">
        <f>'Waterfall Creek'!O40</f>
        <v>281</v>
      </c>
      <c r="R185">
        <f>'Waterfall Creek'!P40</f>
        <v>117</v>
      </c>
      <c r="S185">
        <f>'Waterfall Creek'!Q40</f>
        <v>34996</v>
      </c>
      <c r="T185">
        <f>'Waterfall Creek'!R40</f>
        <v>0.5</v>
      </c>
      <c r="U185">
        <f>'Waterfall Creek'!S40</f>
        <v>1170</v>
      </c>
      <c r="V185">
        <f>'Waterfall Creek'!T40</f>
        <v>739</v>
      </c>
      <c r="W185">
        <f>'Waterfall Creek'!U40</f>
        <v>3</v>
      </c>
      <c r="X185">
        <f>'Waterfall Creek'!V40</f>
        <v>2360</v>
      </c>
      <c r="Y185">
        <f>'Waterfall Creek'!W40</f>
        <v>0</v>
      </c>
      <c r="Z185">
        <f>'Waterfall Creek'!X40</f>
        <v>1270</v>
      </c>
      <c r="AA185">
        <f>'Waterfall Creek'!Y40</f>
        <v>1</v>
      </c>
      <c r="AB185">
        <f>'Waterfall Creek'!Z40</f>
        <v>1</v>
      </c>
      <c r="AC185">
        <f>'Waterfall Creek'!AA40</f>
        <v>1</v>
      </c>
      <c r="AD185">
        <f>'Waterfall Creek'!AB40</f>
        <v>0</v>
      </c>
      <c r="AE185">
        <f>'Waterfall Creek'!AC40</f>
        <v>1456</v>
      </c>
      <c r="AF185">
        <f>'Waterfall Creek'!AD40</f>
        <v>965</v>
      </c>
      <c r="AG185">
        <f>'Waterfall Creek'!AE40</f>
        <v>91</v>
      </c>
      <c r="AH185">
        <f>'Waterfall Creek'!AF40</f>
        <v>93476</v>
      </c>
      <c r="AI185">
        <f>'Waterfall Creek'!AG40</f>
        <v>1.2</v>
      </c>
      <c r="AJ185">
        <f>'Waterfall Creek'!AH40</f>
        <v>1500</v>
      </c>
      <c r="AK185">
        <f>'Waterfall Creek'!AI40</f>
        <v>1775</v>
      </c>
      <c r="AL185">
        <f>'Waterfall Creek'!AJ40</f>
        <v>35</v>
      </c>
      <c r="AM185">
        <f>'Waterfall Creek'!AK40</f>
        <v>66130</v>
      </c>
      <c r="AN185">
        <f>'Waterfall Creek'!AL40</f>
        <v>0.9</v>
      </c>
      <c r="AO185">
        <f>'Waterfall Creek'!AM40</f>
        <v>1598</v>
      </c>
      <c r="AP185">
        <f>'Waterfall Creek'!AN40</f>
        <v>823</v>
      </c>
      <c r="AQ185">
        <f>'Waterfall Creek'!AO40</f>
        <v>25</v>
      </c>
      <c r="AR185">
        <f>'Waterfall Creek'!AP40</f>
        <v>21901</v>
      </c>
      <c r="AS185">
        <f>'Waterfall Creek'!AQ40</f>
        <v>0.3</v>
      </c>
      <c r="AT185">
        <f>'Waterfall Creek'!AR40</f>
        <v>1746</v>
      </c>
      <c r="AU185">
        <f>'Waterfall Creek'!AS40</f>
        <v>2239</v>
      </c>
      <c r="AV185">
        <f>'Waterfall Creek'!AT40</f>
        <v>195</v>
      </c>
      <c r="AW185">
        <f>'Waterfall Creek'!AU40</f>
        <v>464752</v>
      </c>
      <c r="AX185">
        <f>'Waterfall Creek'!AV40</f>
        <v>6</v>
      </c>
    </row>
    <row r="186" spans="1:50">
      <c r="A186" t="str">
        <f>'Waterfall Creek'!A41</f>
        <v>/Users/christophermarjo/Documents/Python/Projects/data/bushfire Raman/Waterfall Creek/WFC 5 (2)</v>
      </c>
      <c r="B186" t="str">
        <f t="shared" si="2"/>
        <v>Waterfall Creek</v>
      </c>
      <c r="C186">
        <v>5</v>
      </c>
      <c r="D186" t="str">
        <f>'Waterfall Creek'!B41</f>
        <v>27.02 counts</v>
      </c>
      <c r="E186">
        <f>'Waterfall Creek'!C41</f>
        <v>0.96851200000000004</v>
      </c>
      <c r="F186">
        <f>'Waterfall Creek'!D41</f>
        <v>1369</v>
      </c>
      <c r="G186">
        <f>'Waterfall Creek'!E41</f>
        <v>9037</v>
      </c>
      <c r="H186">
        <f>'Waterfall Creek'!F41</f>
        <v>278</v>
      </c>
      <c r="I186">
        <f>'Waterfall Creek'!G41</f>
        <v>2674246</v>
      </c>
      <c r="J186">
        <f>'Waterfall Creek'!H41</f>
        <v>56.6</v>
      </c>
      <c r="K186">
        <f>'Waterfall Creek'!I41</f>
        <v>1592</v>
      </c>
      <c r="L186">
        <f>'Waterfall Creek'!J41</f>
        <v>13613</v>
      </c>
      <c r="M186">
        <f>'Waterfall Creek'!K41</f>
        <v>112</v>
      </c>
      <c r="N186">
        <f>'Waterfall Creek'!L41</f>
        <v>1622946</v>
      </c>
      <c r="O186">
        <f>'Waterfall Creek'!M41</f>
        <v>34.299999999999997</v>
      </c>
      <c r="P186">
        <f>'Waterfall Creek'!N41</f>
        <v>1025</v>
      </c>
      <c r="Q186">
        <f>'Waterfall Creek'!O41</f>
        <v>315</v>
      </c>
      <c r="R186">
        <f>'Waterfall Creek'!P41</f>
        <v>7</v>
      </c>
      <c r="S186">
        <f>'Waterfall Creek'!Q41</f>
        <v>2347</v>
      </c>
      <c r="T186">
        <f>'Waterfall Creek'!R41</f>
        <v>0</v>
      </c>
      <c r="U186">
        <f>'Waterfall Creek'!S41</f>
        <v>1156</v>
      </c>
      <c r="V186">
        <f>'Waterfall Creek'!T41</f>
        <v>715</v>
      </c>
      <c r="W186">
        <f>'Waterfall Creek'!U41</f>
        <v>7</v>
      </c>
      <c r="X186">
        <f>'Waterfall Creek'!V41</f>
        <v>5328</v>
      </c>
      <c r="Y186">
        <f>'Waterfall Creek'!W41</f>
        <v>0.1</v>
      </c>
      <c r="Z186">
        <f>'Waterfall Creek'!X41</f>
        <v>1270</v>
      </c>
      <c r="AA186">
        <f>'Waterfall Creek'!Y41</f>
        <v>1</v>
      </c>
      <c r="AB186">
        <f>'Waterfall Creek'!Z41</f>
        <v>1</v>
      </c>
      <c r="AC186">
        <f>'Waterfall Creek'!AA41</f>
        <v>1</v>
      </c>
      <c r="AD186">
        <f>'Waterfall Creek'!AB41</f>
        <v>0</v>
      </c>
      <c r="AE186">
        <f>'Waterfall Creek'!AC41</f>
        <v>1456</v>
      </c>
      <c r="AF186">
        <f>'Waterfall Creek'!AD41</f>
        <v>1631</v>
      </c>
      <c r="AG186">
        <f>'Waterfall Creek'!AE41</f>
        <v>85</v>
      </c>
      <c r="AH186">
        <f>'Waterfall Creek'!AF41</f>
        <v>147572</v>
      </c>
      <c r="AI186">
        <f>'Waterfall Creek'!AG41</f>
        <v>3.1</v>
      </c>
      <c r="AJ186">
        <f>'Waterfall Creek'!AH41</f>
        <v>1498</v>
      </c>
      <c r="AK186">
        <f>'Waterfall Creek'!AI41</f>
        <v>437</v>
      </c>
      <c r="AL186">
        <f>'Waterfall Creek'!AJ41</f>
        <v>33</v>
      </c>
      <c r="AM186">
        <f>'Waterfall Creek'!AK41</f>
        <v>15351</v>
      </c>
      <c r="AN186">
        <f>'Waterfall Creek'!AL41</f>
        <v>0.3</v>
      </c>
      <c r="AO186">
        <f>'Waterfall Creek'!AM41</f>
        <v>1586</v>
      </c>
      <c r="AP186">
        <f>'Waterfall Creek'!AN41</f>
        <v>915</v>
      </c>
      <c r="AQ186">
        <f>'Waterfall Creek'!AO41</f>
        <v>1</v>
      </c>
      <c r="AR186">
        <f>'Waterfall Creek'!AP41</f>
        <v>974</v>
      </c>
      <c r="AS186">
        <f>'Waterfall Creek'!AQ41</f>
        <v>0</v>
      </c>
      <c r="AT186">
        <f>'Waterfall Creek'!AR41</f>
        <v>1742</v>
      </c>
      <c r="AU186">
        <f>'Waterfall Creek'!AS41</f>
        <v>1865</v>
      </c>
      <c r="AV186">
        <f>'Waterfall Creek'!AT41</f>
        <v>129</v>
      </c>
      <c r="AW186">
        <f>'Waterfall Creek'!AU41</f>
        <v>256095</v>
      </c>
      <c r="AX186">
        <f>'Waterfall Creek'!AV41</f>
        <v>5.4</v>
      </c>
    </row>
    <row r="187" spans="1:50">
      <c r="A187" t="str">
        <f>'Waterfall Creek'!A42</f>
        <v>/Users/christophermarjo/Documents/Python/Projects/data/bushfire Raman/Waterfall Creek/WFC 5 (3)</v>
      </c>
      <c r="B187" t="str">
        <f t="shared" si="2"/>
        <v>Waterfall Creek</v>
      </c>
      <c r="C187">
        <v>5</v>
      </c>
      <c r="D187" t="str">
        <f>'Waterfall Creek'!B42</f>
        <v>15.67 counts</v>
      </c>
      <c r="E187">
        <f>'Waterfall Creek'!C42</f>
        <v>0.98769499999999999</v>
      </c>
      <c r="F187">
        <f>'Waterfall Creek'!D42</f>
        <v>1369</v>
      </c>
      <c r="G187">
        <f>'Waterfall Creek'!E42</f>
        <v>9483</v>
      </c>
      <c r="H187">
        <f>'Waterfall Creek'!F42</f>
        <v>304</v>
      </c>
      <c r="I187">
        <f>'Waterfall Creek'!G42</f>
        <v>3068680</v>
      </c>
      <c r="J187">
        <f>'Waterfall Creek'!H42</f>
        <v>67</v>
      </c>
      <c r="K187">
        <f>'Waterfall Creek'!I42</f>
        <v>1590</v>
      </c>
      <c r="L187">
        <f>'Waterfall Creek'!J42</f>
        <v>11445</v>
      </c>
      <c r="M187">
        <f>'Waterfall Creek'!K42</f>
        <v>102</v>
      </c>
      <c r="N187">
        <f>'Waterfall Creek'!L42</f>
        <v>1242648</v>
      </c>
      <c r="O187">
        <f>'Waterfall Creek'!M42</f>
        <v>27.1</v>
      </c>
      <c r="P187">
        <f>'Waterfall Creek'!N42</f>
        <v>1047</v>
      </c>
      <c r="Q187">
        <f>'Waterfall Creek'!O42</f>
        <v>411</v>
      </c>
      <c r="R187">
        <f>'Waterfall Creek'!P42</f>
        <v>81</v>
      </c>
      <c r="S187">
        <f>'Waterfall Creek'!Q42</f>
        <v>35437</v>
      </c>
      <c r="T187">
        <f>'Waterfall Creek'!R42</f>
        <v>0.8</v>
      </c>
      <c r="U187">
        <f>'Waterfall Creek'!S42</f>
        <v>1158</v>
      </c>
      <c r="V187">
        <f>'Waterfall Creek'!T42</f>
        <v>1</v>
      </c>
      <c r="W187">
        <f>'Waterfall Creek'!U42</f>
        <v>1</v>
      </c>
      <c r="X187">
        <f>'Waterfall Creek'!V42</f>
        <v>1</v>
      </c>
      <c r="Y187">
        <f>'Waterfall Creek'!W42</f>
        <v>0</v>
      </c>
      <c r="Z187">
        <f>'Waterfall Creek'!X42</f>
        <v>1270</v>
      </c>
      <c r="AA187">
        <f>'Waterfall Creek'!Y42</f>
        <v>1</v>
      </c>
      <c r="AB187">
        <f>'Waterfall Creek'!Z42</f>
        <v>1</v>
      </c>
      <c r="AC187">
        <f>'Waterfall Creek'!AA42</f>
        <v>1</v>
      </c>
      <c r="AD187">
        <f>'Waterfall Creek'!AB42</f>
        <v>0</v>
      </c>
      <c r="AE187">
        <f>'Waterfall Creek'!AC42</f>
        <v>1402</v>
      </c>
      <c r="AF187">
        <f>'Waterfall Creek'!AD42</f>
        <v>173</v>
      </c>
      <c r="AG187">
        <f>'Waterfall Creek'!AE42</f>
        <v>1</v>
      </c>
      <c r="AH187">
        <f>'Waterfall Creek'!AF42</f>
        <v>184</v>
      </c>
      <c r="AI187">
        <f>'Waterfall Creek'!AG42</f>
        <v>0</v>
      </c>
      <c r="AJ187">
        <f>'Waterfall Creek'!AH42</f>
        <v>1500</v>
      </c>
      <c r="AK187">
        <f>'Waterfall Creek'!AI42</f>
        <v>557</v>
      </c>
      <c r="AL187">
        <f>'Waterfall Creek'!AJ42</f>
        <v>23</v>
      </c>
      <c r="AM187">
        <f>'Waterfall Creek'!AK42</f>
        <v>13637</v>
      </c>
      <c r="AN187">
        <f>'Waterfall Creek'!AL42</f>
        <v>0.3</v>
      </c>
      <c r="AO187">
        <f>'Waterfall Creek'!AM42</f>
        <v>1598</v>
      </c>
      <c r="AP187">
        <f>'Waterfall Creek'!AN42</f>
        <v>1043</v>
      </c>
      <c r="AQ187">
        <f>'Waterfall Creek'!AO42</f>
        <v>29</v>
      </c>
      <c r="AR187">
        <f>'Waterfall Creek'!AP42</f>
        <v>32197</v>
      </c>
      <c r="AS187">
        <f>'Waterfall Creek'!AQ42</f>
        <v>0.7</v>
      </c>
      <c r="AT187">
        <f>'Waterfall Creek'!AR42</f>
        <v>1734</v>
      </c>
      <c r="AU187">
        <f>'Waterfall Creek'!AS42</f>
        <v>1187</v>
      </c>
      <c r="AV187">
        <f>'Waterfall Creek'!AT42</f>
        <v>147</v>
      </c>
      <c r="AW187">
        <f>'Waterfall Creek'!AU42</f>
        <v>185738</v>
      </c>
      <c r="AX187">
        <f>'Waterfall Creek'!AV42</f>
        <v>4.0999999999999996</v>
      </c>
    </row>
    <row r="188" spans="1:50">
      <c r="A188" t="str">
        <f>'Waterfall Creek'!A43</f>
        <v>/Users/christophermarjo/Documents/Python/Projects/data/bushfire Raman/Waterfall Creek/WFC 5.5 (1)</v>
      </c>
      <c r="B188" t="str">
        <f t="shared" si="2"/>
        <v>Waterfall Creek</v>
      </c>
      <c r="C188">
        <v>5.5</v>
      </c>
      <c r="D188" t="str">
        <f>'Waterfall Creek'!B43</f>
        <v>23.47 counts</v>
      </c>
      <c r="E188">
        <f>'Waterfall Creek'!C43</f>
        <v>0.98552099999999998</v>
      </c>
      <c r="F188">
        <f>'Waterfall Creek'!D43</f>
        <v>1369</v>
      </c>
      <c r="G188">
        <f>'Waterfall Creek'!E43</f>
        <v>13237</v>
      </c>
      <c r="H188">
        <f>'Waterfall Creek'!F43</f>
        <v>330</v>
      </c>
      <c r="I188">
        <f>'Waterfall Creek'!G43</f>
        <v>4649816</v>
      </c>
      <c r="J188">
        <f>'Waterfall Creek'!H43</f>
        <v>70</v>
      </c>
      <c r="K188">
        <f>'Waterfall Creek'!I43</f>
        <v>1590</v>
      </c>
      <c r="L188">
        <f>'Waterfall Creek'!J43</f>
        <v>15169</v>
      </c>
      <c r="M188">
        <f>'Waterfall Creek'!K43</f>
        <v>102</v>
      </c>
      <c r="N188">
        <f>'Waterfall Creek'!L43</f>
        <v>1646984</v>
      </c>
      <c r="O188">
        <f>'Waterfall Creek'!M43</f>
        <v>24.8</v>
      </c>
      <c r="P188">
        <f>'Waterfall Creek'!N43</f>
        <v>1025</v>
      </c>
      <c r="Q188">
        <f>'Waterfall Creek'!O43</f>
        <v>441</v>
      </c>
      <c r="R188">
        <f>'Waterfall Creek'!P43</f>
        <v>63</v>
      </c>
      <c r="S188">
        <f>'Waterfall Creek'!Q43</f>
        <v>29574</v>
      </c>
      <c r="T188">
        <f>'Waterfall Creek'!R43</f>
        <v>0.4</v>
      </c>
      <c r="U188">
        <f>'Waterfall Creek'!S43</f>
        <v>1186</v>
      </c>
      <c r="V188">
        <f>'Waterfall Creek'!T43</f>
        <v>1</v>
      </c>
      <c r="W188">
        <f>'Waterfall Creek'!U43</f>
        <v>1</v>
      </c>
      <c r="X188">
        <f>'Waterfall Creek'!V43</f>
        <v>1</v>
      </c>
      <c r="Y188">
        <f>'Waterfall Creek'!W43</f>
        <v>0</v>
      </c>
      <c r="Z188">
        <f>'Waterfall Creek'!X43</f>
        <v>1256</v>
      </c>
      <c r="AA188">
        <f>'Waterfall Creek'!Y43</f>
        <v>1</v>
      </c>
      <c r="AB188">
        <f>'Waterfall Creek'!Z43</f>
        <v>1</v>
      </c>
      <c r="AC188">
        <f>'Waterfall Creek'!AA43</f>
        <v>1</v>
      </c>
      <c r="AD188">
        <f>'Waterfall Creek'!AB43</f>
        <v>0</v>
      </c>
      <c r="AE188">
        <f>'Waterfall Creek'!AC43</f>
        <v>1446</v>
      </c>
      <c r="AF188">
        <f>'Waterfall Creek'!AD43</f>
        <v>153</v>
      </c>
      <c r="AG188">
        <f>'Waterfall Creek'!AE43</f>
        <v>153</v>
      </c>
      <c r="AH188">
        <f>'Waterfall Creek'!AF43</f>
        <v>24918</v>
      </c>
      <c r="AI188">
        <f>'Waterfall Creek'!AG43</f>
        <v>0.4</v>
      </c>
      <c r="AJ188">
        <f>'Waterfall Creek'!AH43</f>
        <v>1506</v>
      </c>
      <c r="AK188">
        <f>'Waterfall Creek'!AI43</f>
        <v>461</v>
      </c>
      <c r="AL188">
        <f>'Waterfall Creek'!AJ43</f>
        <v>39</v>
      </c>
      <c r="AM188">
        <f>'Waterfall Creek'!AK43</f>
        <v>19138</v>
      </c>
      <c r="AN188">
        <f>'Waterfall Creek'!AL43</f>
        <v>0.3</v>
      </c>
      <c r="AO188">
        <f>'Waterfall Creek'!AM43</f>
        <v>1594</v>
      </c>
      <c r="AP188">
        <f>'Waterfall Creek'!AN43</f>
        <v>813</v>
      </c>
      <c r="AQ188">
        <f>'Waterfall Creek'!AO43</f>
        <v>15</v>
      </c>
      <c r="AR188">
        <f>'Waterfall Creek'!AP43</f>
        <v>12981</v>
      </c>
      <c r="AS188">
        <f>'Waterfall Creek'!AQ43</f>
        <v>0.2</v>
      </c>
      <c r="AT188">
        <f>'Waterfall Creek'!AR43</f>
        <v>1722</v>
      </c>
      <c r="AU188">
        <f>'Waterfall Creek'!AS43</f>
        <v>1969</v>
      </c>
      <c r="AV188">
        <f>'Waterfall Creek'!AT43</f>
        <v>125</v>
      </c>
      <c r="AW188">
        <f>'Waterfall Creek'!AU43</f>
        <v>261992</v>
      </c>
      <c r="AX188">
        <f>'Waterfall Creek'!AV43</f>
        <v>3.9</v>
      </c>
    </row>
    <row r="189" spans="1:50">
      <c r="A189" t="str">
        <f>'Waterfall Creek'!A44</f>
        <v>/Users/christophermarjo/Documents/Python/Projects/data/bushfire Raman/Waterfall Creek/WFC 5.5 (2)</v>
      </c>
      <c r="B189" t="str">
        <f t="shared" si="2"/>
        <v>Waterfall Creek</v>
      </c>
      <c r="C189">
        <v>5.5</v>
      </c>
      <c r="D189" t="str">
        <f>'Waterfall Creek'!B44</f>
        <v>42.14 counts</v>
      </c>
      <c r="E189">
        <f>'Waterfall Creek'!C44</f>
        <v>0.98153100000000004</v>
      </c>
      <c r="F189">
        <f>'Waterfall Creek'!D44</f>
        <v>1367</v>
      </c>
      <c r="G189">
        <f>'Waterfall Creek'!E44</f>
        <v>20953</v>
      </c>
      <c r="H189">
        <f>'Waterfall Creek'!F44</f>
        <v>322</v>
      </c>
      <c r="I189">
        <f>'Waterfall Creek'!G44</f>
        <v>7181816</v>
      </c>
      <c r="J189">
        <f>'Waterfall Creek'!H44</f>
        <v>68.7</v>
      </c>
      <c r="K189">
        <f>'Waterfall Creek'!I44</f>
        <v>1590</v>
      </c>
      <c r="L189">
        <f>'Waterfall Creek'!J44</f>
        <v>24893</v>
      </c>
      <c r="M189">
        <f>'Waterfall Creek'!K44</f>
        <v>102</v>
      </c>
      <c r="N189">
        <f>'Waterfall Creek'!L44</f>
        <v>2702773</v>
      </c>
      <c r="O189">
        <f>'Waterfall Creek'!M44</f>
        <v>25.8</v>
      </c>
      <c r="P189">
        <f>'Waterfall Creek'!N44</f>
        <v>1037</v>
      </c>
      <c r="Q189">
        <f>'Waterfall Creek'!O44</f>
        <v>599</v>
      </c>
      <c r="R189">
        <f>'Waterfall Creek'!P44</f>
        <v>61</v>
      </c>
      <c r="S189">
        <f>'Waterfall Creek'!Q44</f>
        <v>38895</v>
      </c>
      <c r="T189">
        <f>'Waterfall Creek'!R44</f>
        <v>0.4</v>
      </c>
      <c r="U189">
        <f>'Waterfall Creek'!S44</f>
        <v>1186</v>
      </c>
      <c r="V189">
        <f>'Waterfall Creek'!T44</f>
        <v>1</v>
      </c>
      <c r="W189">
        <f>'Waterfall Creek'!U44</f>
        <v>1</v>
      </c>
      <c r="X189">
        <f>'Waterfall Creek'!V44</f>
        <v>1</v>
      </c>
      <c r="Y189">
        <f>'Waterfall Creek'!W44</f>
        <v>0</v>
      </c>
      <c r="Z189">
        <f>'Waterfall Creek'!X44</f>
        <v>1256</v>
      </c>
      <c r="AA189">
        <f>'Waterfall Creek'!Y44</f>
        <v>1</v>
      </c>
      <c r="AB189">
        <f>'Waterfall Creek'!Z44</f>
        <v>1</v>
      </c>
      <c r="AC189">
        <f>'Waterfall Creek'!AA44</f>
        <v>1</v>
      </c>
      <c r="AD189">
        <f>'Waterfall Creek'!AB44</f>
        <v>0</v>
      </c>
      <c r="AE189">
        <f>'Waterfall Creek'!AC44</f>
        <v>1440</v>
      </c>
      <c r="AF189">
        <f>'Waterfall Creek'!AD44</f>
        <v>415</v>
      </c>
      <c r="AG189">
        <f>'Waterfall Creek'!AE44</f>
        <v>117</v>
      </c>
      <c r="AH189">
        <f>'Waterfall Creek'!AF44</f>
        <v>51685</v>
      </c>
      <c r="AI189">
        <f>'Waterfall Creek'!AG44</f>
        <v>0.5</v>
      </c>
      <c r="AJ189">
        <f>'Waterfall Creek'!AH44</f>
        <v>1500</v>
      </c>
      <c r="AK189">
        <f>'Waterfall Creek'!AI44</f>
        <v>1351</v>
      </c>
      <c r="AL189">
        <f>'Waterfall Creek'!AJ44</f>
        <v>41</v>
      </c>
      <c r="AM189">
        <f>'Waterfall Creek'!AK44</f>
        <v>58962</v>
      </c>
      <c r="AN189">
        <f>'Waterfall Creek'!AL44</f>
        <v>0.6</v>
      </c>
      <c r="AO189">
        <f>'Waterfall Creek'!AM44</f>
        <v>1598</v>
      </c>
      <c r="AP189">
        <f>'Waterfall Creek'!AN44</f>
        <v>271</v>
      </c>
      <c r="AQ189">
        <f>'Waterfall Creek'!AO44</f>
        <v>23</v>
      </c>
      <c r="AR189">
        <f>'Waterfall Creek'!AP44</f>
        <v>6635</v>
      </c>
      <c r="AS189">
        <f>'Waterfall Creek'!AQ44</f>
        <v>0.1</v>
      </c>
      <c r="AT189">
        <f>'Waterfall Creek'!AR44</f>
        <v>1720</v>
      </c>
      <c r="AU189">
        <f>'Waterfall Creek'!AS44</f>
        <v>3597</v>
      </c>
      <c r="AV189">
        <f>'Waterfall Creek'!AT44</f>
        <v>109</v>
      </c>
      <c r="AW189">
        <f>'Waterfall Creek'!AU44</f>
        <v>417349</v>
      </c>
      <c r="AX189">
        <f>'Waterfall Creek'!AV44</f>
        <v>4</v>
      </c>
    </row>
    <row r="190" spans="1:50">
      <c r="A190" t="str">
        <f>'Waterfall Creek'!A45</f>
        <v>/Users/christophermarjo/Documents/Python/Projects/data/bushfire Raman/Waterfall Creek/WFC 5.5 (3)</v>
      </c>
      <c r="B190" t="str">
        <f t="shared" si="2"/>
        <v>Waterfall Creek</v>
      </c>
      <c r="C190">
        <v>5.5</v>
      </c>
      <c r="D190" t="str">
        <f>'Waterfall Creek'!B45</f>
        <v>32.52 counts</v>
      </c>
      <c r="E190">
        <f>'Waterfall Creek'!C45</f>
        <v>0.98260499999999995</v>
      </c>
      <c r="F190">
        <f>'Waterfall Creek'!D45</f>
        <v>1369</v>
      </c>
      <c r="G190">
        <f>'Waterfall Creek'!E45</f>
        <v>16315</v>
      </c>
      <c r="H190">
        <f>'Waterfall Creek'!F45</f>
        <v>330</v>
      </c>
      <c r="I190">
        <f>'Waterfall Creek'!G45</f>
        <v>5731037</v>
      </c>
      <c r="J190">
        <f>'Waterfall Creek'!H45</f>
        <v>69.3</v>
      </c>
      <c r="K190">
        <f>'Waterfall Creek'!I45</f>
        <v>1590</v>
      </c>
      <c r="L190">
        <f>'Waterfall Creek'!J45</f>
        <v>19809</v>
      </c>
      <c r="M190">
        <f>'Waterfall Creek'!K45</f>
        <v>100</v>
      </c>
      <c r="N190">
        <f>'Waterfall Creek'!L45</f>
        <v>2108603</v>
      </c>
      <c r="O190">
        <f>'Waterfall Creek'!M45</f>
        <v>25.5</v>
      </c>
      <c r="P190">
        <f>'Waterfall Creek'!N45</f>
        <v>1043</v>
      </c>
      <c r="Q190">
        <f>'Waterfall Creek'!O45</f>
        <v>463</v>
      </c>
      <c r="R190">
        <f>'Waterfall Creek'!P45</f>
        <v>59</v>
      </c>
      <c r="S190">
        <f>'Waterfall Creek'!Q45</f>
        <v>29078</v>
      </c>
      <c r="T190">
        <f>'Waterfall Creek'!R45</f>
        <v>0.4</v>
      </c>
      <c r="U190">
        <f>'Waterfall Creek'!S45</f>
        <v>1186</v>
      </c>
      <c r="V190">
        <f>'Waterfall Creek'!T45</f>
        <v>1</v>
      </c>
      <c r="W190">
        <f>'Waterfall Creek'!U45</f>
        <v>1</v>
      </c>
      <c r="X190">
        <f>'Waterfall Creek'!V45</f>
        <v>1</v>
      </c>
      <c r="Y190">
        <f>'Waterfall Creek'!W45</f>
        <v>0</v>
      </c>
      <c r="Z190">
        <f>'Waterfall Creek'!X45</f>
        <v>1256</v>
      </c>
      <c r="AA190">
        <f>'Waterfall Creek'!Y45</f>
        <v>1</v>
      </c>
      <c r="AB190">
        <f>'Waterfall Creek'!Z45</f>
        <v>1</v>
      </c>
      <c r="AC190">
        <f>'Waterfall Creek'!AA45</f>
        <v>1</v>
      </c>
      <c r="AD190">
        <f>'Waterfall Creek'!AB45</f>
        <v>0</v>
      </c>
      <c r="AE190">
        <f>'Waterfall Creek'!AC45</f>
        <v>1440</v>
      </c>
      <c r="AF190">
        <f>'Waterfall Creek'!AD45</f>
        <v>129</v>
      </c>
      <c r="AG190">
        <f>'Waterfall Creek'!AE45</f>
        <v>127</v>
      </c>
      <c r="AH190">
        <f>'Waterfall Creek'!AF45</f>
        <v>17439</v>
      </c>
      <c r="AI190">
        <f>'Waterfall Creek'!AG45</f>
        <v>0.2</v>
      </c>
      <c r="AJ190">
        <f>'Waterfall Creek'!AH45</f>
        <v>1506</v>
      </c>
      <c r="AK190">
        <f>'Waterfall Creek'!AI45</f>
        <v>517</v>
      </c>
      <c r="AL190">
        <f>'Waterfall Creek'!AJ45</f>
        <v>39</v>
      </c>
      <c r="AM190">
        <f>'Waterfall Creek'!AK45</f>
        <v>21463</v>
      </c>
      <c r="AN190">
        <f>'Waterfall Creek'!AL45</f>
        <v>0.3</v>
      </c>
      <c r="AO190">
        <f>'Waterfall Creek'!AM45</f>
        <v>1598</v>
      </c>
      <c r="AP190">
        <f>'Waterfall Creek'!AN45</f>
        <v>1165</v>
      </c>
      <c r="AQ190">
        <f>'Waterfall Creek'!AO45</f>
        <v>29</v>
      </c>
      <c r="AR190">
        <f>'Waterfall Creek'!AP45</f>
        <v>35963</v>
      </c>
      <c r="AS190">
        <f>'Waterfall Creek'!AQ45</f>
        <v>0.4</v>
      </c>
      <c r="AT190">
        <f>'Waterfall Creek'!AR45</f>
        <v>1722</v>
      </c>
      <c r="AU190">
        <f>'Waterfall Creek'!AS45</f>
        <v>2663</v>
      </c>
      <c r="AV190">
        <f>'Waterfall Creek'!AT45</f>
        <v>117</v>
      </c>
      <c r="AW190">
        <f>'Waterfall Creek'!AU45</f>
        <v>331657</v>
      </c>
      <c r="AX190">
        <f>'Waterfall Creek'!AV45</f>
        <v>4</v>
      </c>
    </row>
    <row r="191" spans="1:50">
      <c r="A191" t="str">
        <f>'Waterfall Creek'!A46</f>
        <v>/Users/christophermarjo/Documents/Python/Projects/data/bushfire Raman/Waterfall Creek/WFC 5.5 (4)</v>
      </c>
      <c r="B191" t="str">
        <f t="shared" si="2"/>
        <v>Waterfall Creek</v>
      </c>
      <c r="C191">
        <v>5.5</v>
      </c>
      <c r="D191" t="str">
        <f>'Waterfall Creek'!B46</f>
        <v>40.92 counts</v>
      </c>
      <c r="E191">
        <f>'Waterfall Creek'!C46</f>
        <v>0.98399800000000004</v>
      </c>
      <c r="F191">
        <f>'Waterfall Creek'!D46</f>
        <v>1369</v>
      </c>
      <c r="G191">
        <f>'Waterfall Creek'!E46</f>
        <v>21651</v>
      </c>
      <c r="H191">
        <f>'Waterfall Creek'!F46</f>
        <v>328</v>
      </c>
      <c r="I191">
        <f>'Waterfall Creek'!G46</f>
        <v>7559342</v>
      </c>
      <c r="J191">
        <f>'Waterfall Creek'!H46</f>
        <v>69.099999999999994</v>
      </c>
      <c r="K191">
        <f>'Waterfall Creek'!I46</f>
        <v>1588</v>
      </c>
      <c r="L191">
        <f>'Waterfall Creek'!J46</f>
        <v>25519</v>
      </c>
      <c r="M191">
        <f>'Waterfall Creek'!K46</f>
        <v>104</v>
      </c>
      <c r="N191">
        <f>'Waterfall Creek'!L46</f>
        <v>2825070</v>
      </c>
      <c r="O191">
        <f>'Waterfall Creek'!M46</f>
        <v>25.8</v>
      </c>
      <c r="P191">
        <f>'Waterfall Creek'!N46</f>
        <v>1045</v>
      </c>
      <c r="Q191">
        <f>'Waterfall Creek'!O46</f>
        <v>769</v>
      </c>
      <c r="R191">
        <f>'Waterfall Creek'!P46</f>
        <v>65</v>
      </c>
      <c r="S191">
        <f>'Waterfall Creek'!Q46</f>
        <v>53207</v>
      </c>
      <c r="T191">
        <f>'Waterfall Creek'!R46</f>
        <v>0.5</v>
      </c>
      <c r="U191">
        <f>'Waterfall Creek'!S46</f>
        <v>1186</v>
      </c>
      <c r="V191">
        <f>'Waterfall Creek'!T46</f>
        <v>1</v>
      </c>
      <c r="W191">
        <f>'Waterfall Creek'!U46</f>
        <v>1</v>
      </c>
      <c r="X191">
        <f>'Waterfall Creek'!V46</f>
        <v>1</v>
      </c>
      <c r="Y191">
        <f>'Waterfall Creek'!W46</f>
        <v>0</v>
      </c>
      <c r="Z191">
        <f>'Waterfall Creek'!X46</f>
        <v>1256</v>
      </c>
      <c r="AA191">
        <f>'Waterfall Creek'!Y46</f>
        <v>1</v>
      </c>
      <c r="AB191">
        <f>'Waterfall Creek'!Z46</f>
        <v>1</v>
      </c>
      <c r="AC191">
        <f>'Waterfall Creek'!AA46</f>
        <v>1</v>
      </c>
      <c r="AD191">
        <f>'Waterfall Creek'!AB46</f>
        <v>0</v>
      </c>
      <c r="AE191">
        <f>'Waterfall Creek'!AC46</f>
        <v>1456</v>
      </c>
      <c r="AF191">
        <f>'Waterfall Creek'!AD46</f>
        <v>375</v>
      </c>
      <c r="AG191">
        <f>'Waterfall Creek'!AE46</f>
        <v>103</v>
      </c>
      <c r="AH191">
        <f>'Waterfall Creek'!AF46</f>
        <v>41115</v>
      </c>
      <c r="AI191">
        <f>'Waterfall Creek'!AG46</f>
        <v>0.4</v>
      </c>
      <c r="AJ191">
        <f>'Waterfall Creek'!AH46</f>
        <v>1498</v>
      </c>
      <c r="AK191">
        <f>'Waterfall Creek'!AI46</f>
        <v>677</v>
      </c>
      <c r="AL191">
        <f>'Waterfall Creek'!AJ46</f>
        <v>31</v>
      </c>
      <c r="AM191">
        <f>'Waterfall Creek'!AK46</f>
        <v>22340</v>
      </c>
      <c r="AN191">
        <f>'Waterfall Creek'!AL46</f>
        <v>0.2</v>
      </c>
      <c r="AO191">
        <f>'Waterfall Creek'!AM46</f>
        <v>1598</v>
      </c>
      <c r="AP191">
        <f>'Waterfall Creek'!AN46</f>
        <v>851</v>
      </c>
      <c r="AQ191">
        <f>'Waterfall Creek'!AO46</f>
        <v>23</v>
      </c>
      <c r="AR191">
        <f>'Waterfall Creek'!AP46</f>
        <v>20835</v>
      </c>
      <c r="AS191">
        <f>'Waterfall Creek'!AQ46</f>
        <v>0.2</v>
      </c>
      <c r="AT191">
        <f>'Waterfall Creek'!AR46</f>
        <v>1724</v>
      </c>
      <c r="AU191">
        <f>'Waterfall Creek'!AS46</f>
        <v>3477</v>
      </c>
      <c r="AV191">
        <f>'Waterfall Creek'!AT46</f>
        <v>115</v>
      </c>
      <c r="AW191">
        <f>'Waterfall Creek'!AU46</f>
        <v>425632</v>
      </c>
      <c r="AX191">
        <f>'Waterfall Creek'!AV46</f>
        <v>3.9</v>
      </c>
    </row>
    <row r="192" spans="1:50">
      <c r="A192" t="str">
        <f>'Waterfall Creek'!A47</f>
        <v>/Users/christophermarjo/Documents/Python/Projects/data/bushfire Raman/Waterfall Creek/WFC 5.5 (5)</v>
      </c>
      <c r="B192" t="str">
        <f t="shared" si="2"/>
        <v>Waterfall Creek</v>
      </c>
      <c r="C192">
        <v>5.5</v>
      </c>
      <c r="D192" t="str">
        <f>'Waterfall Creek'!B47</f>
        <v>39.52 counts</v>
      </c>
      <c r="E192">
        <f>'Waterfall Creek'!C47</f>
        <v>0.98365199999999997</v>
      </c>
      <c r="F192">
        <f>'Waterfall Creek'!D47</f>
        <v>1367</v>
      </c>
      <c r="G192">
        <f>'Waterfall Creek'!E47</f>
        <v>20649</v>
      </c>
      <c r="H192">
        <f>'Waterfall Creek'!F47</f>
        <v>318</v>
      </c>
      <c r="I192">
        <f>'Waterfall Creek'!G47</f>
        <v>6989697</v>
      </c>
      <c r="J192">
        <f>'Waterfall Creek'!H47</f>
        <v>67.599999999999994</v>
      </c>
      <c r="K192">
        <f>'Waterfall Creek'!I47</f>
        <v>1590</v>
      </c>
      <c r="L192">
        <f>'Waterfall Creek'!J47</f>
        <v>25433</v>
      </c>
      <c r="M192">
        <f>'Waterfall Creek'!K47</f>
        <v>102</v>
      </c>
      <c r="N192">
        <f>'Waterfall Creek'!L47</f>
        <v>2761404</v>
      </c>
      <c r="O192">
        <f>'Waterfall Creek'!M47</f>
        <v>26.7</v>
      </c>
      <c r="P192">
        <f>'Waterfall Creek'!N47</f>
        <v>1039</v>
      </c>
      <c r="Q192">
        <f>'Waterfall Creek'!O47</f>
        <v>703</v>
      </c>
      <c r="R192">
        <f>'Waterfall Creek'!P47</f>
        <v>57</v>
      </c>
      <c r="S192">
        <f>'Waterfall Creek'!Q47</f>
        <v>42654</v>
      </c>
      <c r="T192">
        <f>'Waterfall Creek'!R47</f>
        <v>0.4</v>
      </c>
      <c r="U192">
        <f>'Waterfall Creek'!S47</f>
        <v>1186</v>
      </c>
      <c r="V192">
        <f>'Waterfall Creek'!T47</f>
        <v>1</v>
      </c>
      <c r="W192">
        <f>'Waterfall Creek'!U47</f>
        <v>1</v>
      </c>
      <c r="X192">
        <f>'Waterfall Creek'!V47</f>
        <v>1</v>
      </c>
      <c r="Y192">
        <f>'Waterfall Creek'!W47</f>
        <v>0</v>
      </c>
      <c r="Z192">
        <f>'Waterfall Creek'!X47</f>
        <v>1256</v>
      </c>
      <c r="AA192">
        <f>'Waterfall Creek'!Y47</f>
        <v>1</v>
      </c>
      <c r="AB192">
        <f>'Waterfall Creek'!Z47</f>
        <v>1</v>
      </c>
      <c r="AC192">
        <f>'Waterfall Creek'!AA47</f>
        <v>1</v>
      </c>
      <c r="AD192">
        <f>'Waterfall Creek'!AB47</f>
        <v>0</v>
      </c>
      <c r="AE192">
        <f>'Waterfall Creek'!AC47</f>
        <v>1440</v>
      </c>
      <c r="AF192">
        <f>'Waterfall Creek'!AD47</f>
        <v>485</v>
      </c>
      <c r="AG192">
        <f>'Waterfall Creek'!AE47</f>
        <v>115</v>
      </c>
      <c r="AH192">
        <f>'Waterfall Creek'!AF47</f>
        <v>59371</v>
      </c>
      <c r="AI192">
        <f>'Waterfall Creek'!AG47</f>
        <v>0.6</v>
      </c>
      <c r="AJ192">
        <f>'Waterfall Creek'!AH47</f>
        <v>1504</v>
      </c>
      <c r="AK192">
        <f>'Waterfall Creek'!AI47</f>
        <v>1309</v>
      </c>
      <c r="AL192">
        <f>'Waterfall Creek'!AJ47</f>
        <v>43</v>
      </c>
      <c r="AM192">
        <f>'Waterfall Creek'!AK47</f>
        <v>59916</v>
      </c>
      <c r="AN192">
        <f>'Waterfall Creek'!AL47</f>
        <v>0.6</v>
      </c>
      <c r="AO192">
        <f>'Waterfall Creek'!AM47</f>
        <v>1594</v>
      </c>
      <c r="AP192">
        <f>'Waterfall Creek'!AN47</f>
        <v>441</v>
      </c>
      <c r="AQ192">
        <f>'Waterfall Creek'!AO47</f>
        <v>13</v>
      </c>
      <c r="AR192">
        <f>'Waterfall Creek'!AP47</f>
        <v>6103</v>
      </c>
      <c r="AS192">
        <f>'Waterfall Creek'!AQ47</f>
        <v>0.1</v>
      </c>
      <c r="AT192">
        <f>'Waterfall Creek'!AR47</f>
        <v>1724</v>
      </c>
      <c r="AU192">
        <f>'Waterfall Creek'!AS47</f>
        <v>3445</v>
      </c>
      <c r="AV192">
        <f>'Waterfall Creek'!AT47</f>
        <v>113</v>
      </c>
      <c r="AW192">
        <f>'Waterfall Creek'!AU47</f>
        <v>414381</v>
      </c>
      <c r="AX192">
        <f>'Waterfall Creek'!AV47</f>
        <v>4</v>
      </c>
    </row>
    <row r="193" spans="1:50">
      <c r="A193" t="str">
        <f>'Waterfall Creek'!A48</f>
        <v>/Users/christophermarjo/Documents/Python/Projects/data/bushfire Raman/Waterfall Creek/WFC 6 .5 (1)</v>
      </c>
      <c r="B193" t="str">
        <f t="shared" si="2"/>
        <v>Waterfall Creek</v>
      </c>
      <c r="C193">
        <v>6.5</v>
      </c>
      <c r="D193" t="str">
        <f>'Waterfall Creek'!B48</f>
        <v>39.51 counts</v>
      </c>
      <c r="E193">
        <f>'Waterfall Creek'!C48</f>
        <v>0.98949699999999996</v>
      </c>
      <c r="F193">
        <f>'Waterfall Creek'!D48</f>
        <v>1369</v>
      </c>
      <c r="G193">
        <f>'Waterfall Creek'!E48</f>
        <v>25033</v>
      </c>
      <c r="H193">
        <f>'Waterfall Creek'!F48</f>
        <v>338</v>
      </c>
      <c r="I193">
        <f>'Waterfall Creek'!G48</f>
        <v>9006620</v>
      </c>
      <c r="J193">
        <f>'Waterfall Creek'!H48</f>
        <v>69.900000000000006</v>
      </c>
      <c r="K193">
        <f>'Waterfall Creek'!I48</f>
        <v>1588</v>
      </c>
      <c r="L193">
        <f>'Waterfall Creek'!J48</f>
        <v>29977</v>
      </c>
      <c r="M193">
        <f>'Waterfall Creek'!K48</f>
        <v>104</v>
      </c>
      <c r="N193">
        <f>'Waterfall Creek'!L48</f>
        <v>3318591</v>
      </c>
      <c r="O193">
        <f>'Waterfall Creek'!M48</f>
        <v>25.8</v>
      </c>
      <c r="P193">
        <f>'Waterfall Creek'!N48</f>
        <v>1067</v>
      </c>
      <c r="Q193">
        <f>'Waterfall Creek'!O48</f>
        <v>611</v>
      </c>
      <c r="R193">
        <f>'Waterfall Creek'!P48</f>
        <v>39</v>
      </c>
      <c r="S193">
        <f>'Waterfall Creek'!Q48</f>
        <v>25365</v>
      </c>
      <c r="T193">
        <f>'Waterfall Creek'!R48</f>
        <v>0.2</v>
      </c>
      <c r="U193">
        <f>'Waterfall Creek'!S48</f>
        <v>1186</v>
      </c>
      <c r="V193">
        <f>'Waterfall Creek'!T48</f>
        <v>1</v>
      </c>
      <c r="W193">
        <f>'Waterfall Creek'!U48</f>
        <v>1</v>
      </c>
      <c r="X193">
        <f>'Waterfall Creek'!V48</f>
        <v>1</v>
      </c>
      <c r="Y193">
        <f>'Waterfall Creek'!W48</f>
        <v>0</v>
      </c>
      <c r="Z193">
        <f>'Waterfall Creek'!X48</f>
        <v>1256</v>
      </c>
      <c r="AA193">
        <f>'Waterfall Creek'!Y48</f>
        <v>1</v>
      </c>
      <c r="AB193">
        <f>'Waterfall Creek'!Z48</f>
        <v>1</v>
      </c>
      <c r="AC193">
        <f>'Waterfall Creek'!AA48</f>
        <v>1</v>
      </c>
      <c r="AD193">
        <f>'Waterfall Creek'!AB48</f>
        <v>0</v>
      </c>
      <c r="AE193">
        <f>'Waterfall Creek'!AC48</f>
        <v>1440</v>
      </c>
      <c r="AF193">
        <f>'Waterfall Creek'!AD48</f>
        <v>439</v>
      </c>
      <c r="AG193">
        <f>'Waterfall Creek'!AE48</f>
        <v>105</v>
      </c>
      <c r="AH193">
        <f>'Waterfall Creek'!AF48</f>
        <v>49067</v>
      </c>
      <c r="AI193">
        <f>'Waterfall Creek'!AG48</f>
        <v>0.4</v>
      </c>
      <c r="AJ193">
        <f>'Waterfall Creek'!AH48</f>
        <v>1496</v>
      </c>
      <c r="AK193">
        <f>'Waterfall Creek'!AI48</f>
        <v>1267</v>
      </c>
      <c r="AL193">
        <f>'Waterfall Creek'!AJ48</f>
        <v>51</v>
      </c>
      <c r="AM193">
        <f>'Waterfall Creek'!AK48</f>
        <v>68783</v>
      </c>
      <c r="AN193">
        <f>'Waterfall Creek'!AL48</f>
        <v>0.5</v>
      </c>
      <c r="AO193">
        <f>'Waterfall Creek'!AM48</f>
        <v>1598</v>
      </c>
      <c r="AP193">
        <f>'Waterfall Creek'!AN48</f>
        <v>1283</v>
      </c>
      <c r="AQ193">
        <f>'Waterfall Creek'!AO48</f>
        <v>21</v>
      </c>
      <c r="AR193">
        <f>'Waterfall Creek'!AP48</f>
        <v>28680</v>
      </c>
      <c r="AS193">
        <f>'Waterfall Creek'!AQ48</f>
        <v>0.2</v>
      </c>
      <c r="AT193">
        <f>'Waterfall Creek'!AR48</f>
        <v>1718</v>
      </c>
      <c r="AU193">
        <f>'Waterfall Creek'!AS48</f>
        <v>3817</v>
      </c>
      <c r="AV193">
        <f>'Waterfall Creek'!AT48</f>
        <v>95</v>
      </c>
      <c r="AW193">
        <f>'Waterfall Creek'!AU48</f>
        <v>385992</v>
      </c>
      <c r="AX193">
        <f>'Waterfall Creek'!AV48</f>
        <v>3</v>
      </c>
    </row>
    <row r="194" spans="1:50">
      <c r="A194" t="str">
        <f>'Waterfall Creek'!A49</f>
        <v>/Users/christophermarjo/Documents/Python/Projects/data/bushfire Raman/Waterfall Creek/WFC 6.5 (2)</v>
      </c>
      <c r="B194" t="str">
        <f t="shared" si="2"/>
        <v>Waterfall Creek</v>
      </c>
      <c r="C194">
        <v>6.5</v>
      </c>
      <c r="D194" t="str">
        <f>'Waterfall Creek'!B49</f>
        <v>58.67 counts</v>
      </c>
      <c r="E194">
        <f>'Waterfall Creek'!C49</f>
        <v>0.98792500000000005</v>
      </c>
      <c r="F194">
        <f>'Waterfall Creek'!D49</f>
        <v>1369</v>
      </c>
      <c r="G194">
        <f>'Waterfall Creek'!E49</f>
        <v>34799</v>
      </c>
      <c r="H194">
        <f>'Waterfall Creek'!F49</f>
        <v>340</v>
      </c>
      <c r="I194">
        <f>'Waterfall Creek'!G49</f>
        <v>12594412</v>
      </c>
      <c r="J194">
        <f>'Waterfall Creek'!H49</f>
        <v>69</v>
      </c>
      <c r="K194">
        <f>'Waterfall Creek'!I49</f>
        <v>1588</v>
      </c>
      <c r="L194">
        <f>'Waterfall Creek'!J49</f>
        <v>41959</v>
      </c>
      <c r="M194">
        <f>'Waterfall Creek'!K49</f>
        <v>104</v>
      </c>
      <c r="N194">
        <f>'Waterfall Creek'!L49</f>
        <v>4645053</v>
      </c>
      <c r="O194">
        <f>'Waterfall Creek'!M49</f>
        <v>25.4</v>
      </c>
      <c r="P194">
        <f>'Waterfall Creek'!N49</f>
        <v>1047</v>
      </c>
      <c r="Q194">
        <f>'Waterfall Creek'!O49</f>
        <v>1227</v>
      </c>
      <c r="R194">
        <f>'Waterfall Creek'!P49</f>
        <v>55</v>
      </c>
      <c r="S194">
        <f>'Waterfall Creek'!Q49</f>
        <v>71836</v>
      </c>
      <c r="T194">
        <f>'Waterfall Creek'!R49</f>
        <v>0.4</v>
      </c>
      <c r="U194">
        <f>'Waterfall Creek'!S49</f>
        <v>1186</v>
      </c>
      <c r="V194">
        <f>'Waterfall Creek'!T49</f>
        <v>1</v>
      </c>
      <c r="W194">
        <f>'Waterfall Creek'!U49</f>
        <v>1</v>
      </c>
      <c r="X194">
        <f>'Waterfall Creek'!V49</f>
        <v>1</v>
      </c>
      <c r="Y194">
        <f>'Waterfall Creek'!W49</f>
        <v>0</v>
      </c>
      <c r="Z194">
        <f>'Waterfall Creek'!X49</f>
        <v>1256</v>
      </c>
      <c r="AA194">
        <f>'Waterfall Creek'!Y49</f>
        <v>1</v>
      </c>
      <c r="AB194">
        <f>'Waterfall Creek'!Z49</f>
        <v>1</v>
      </c>
      <c r="AC194">
        <f>'Waterfall Creek'!AA49</f>
        <v>1</v>
      </c>
      <c r="AD194">
        <f>'Waterfall Creek'!AB49</f>
        <v>0</v>
      </c>
      <c r="AE194">
        <f>'Waterfall Creek'!AC49</f>
        <v>1440</v>
      </c>
      <c r="AF194">
        <f>'Waterfall Creek'!AD49</f>
        <v>1181</v>
      </c>
      <c r="AG194">
        <f>'Waterfall Creek'!AE49</f>
        <v>97</v>
      </c>
      <c r="AH194">
        <f>'Waterfall Creek'!AF49</f>
        <v>121942</v>
      </c>
      <c r="AI194">
        <f>'Waterfall Creek'!AG49</f>
        <v>0.7</v>
      </c>
      <c r="AJ194">
        <f>'Waterfall Creek'!AH49</f>
        <v>1500</v>
      </c>
      <c r="AK194">
        <f>'Waterfall Creek'!AI49</f>
        <v>1849</v>
      </c>
      <c r="AL194">
        <f>'Waterfall Creek'!AJ49</f>
        <v>47</v>
      </c>
      <c r="AM194">
        <f>'Waterfall Creek'!AK49</f>
        <v>92505</v>
      </c>
      <c r="AN194">
        <f>'Waterfall Creek'!AL49</f>
        <v>0.5</v>
      </c>
      <c r="AO194">
        <f>'Waterfall Creek'!AM49</f>
        <v>1582</v>
      </c>
      <c r="AP194">
        <f>'Waterfall Creek'!AN49</f>
        <v>831</v>
      </c>
      <c r="AQ194">
        <f>'Waterfall Creek'!AO49</f>
        <v>17</v>
      </c>
      <c r="AR194">
        <f>'Waterfall Creek'!AP49</f>
        <v>15038</v>
      </c>
      <c r="AS194">
        <f>'Waterfall Creek'!AQ49</f>
        <v>0.1</v>
      </c>
      <c r="AT194">
        <f>'Waterfall Creek'!AR49</f>
        <v>1722</v>
      </c>
      <c r="AU194">
        <f>'Waterfall Creek'!AS49</f>
        <v>5353</v>
      </c>
      <c r="AV194">
        <f>'Waterfall Creek'!AT49</f>
        <v>127</v>
      </c>
      <c r="AW194">
        <f>'Waterfall Creek'!AU49</f>
        <v>723658</v>
      </c>
      <c r="AX194">
        <f>'Waterfall Creek'!AV49</f>
        <v>4</v>
      </c>
    </row>
    <row r="195" spans="1:50">
      <c r="A195" t="str">
        <f>'Waterfall Creek'!A50</f>
        <v>/Users/christophermarjo/Documents/Python/Projects/data/bushfire Raman/Waterfall Creek/WFC 6.5 (3)</v>
      </c>
      <c r="B195" t="str">
        <f t="shared" si="2"/>
        <v>Waterfall Creek</v>
      </c>
      <c r="C195">
        <v>6.5</v>
      </c>
      <c r="D195" t="str">
        <f>'Waterfall Creek'!B50</f>
        <v>50.69 counts</v>
      </c>
      <c r="E195">
        <f>'Waterfall Creek'!C50</f>
        <v>0.989344</v>
      </c>
      <c r="F195">
        <f>'Waterfall Creek'!D50</f>
        <v>1369</v>
      </c>
      <c r="G195">
        <f>'Waterfall Creek'!E50</f>
        <v>32165</v>
      </c>
      <c r="H195">
        <f>'Waterfall Creek'!F50</f>
        <v>338</v>
      </c>
      <c r="I195">
        <f>'Waterfall Creek'!G50</f>
        <v>11572641</v>
      </c>
      <c r="J195">
        <f>'Waterfall Creek'!H50</f>
        <v>69.900000000000006</v>
      </c>
      <c r="K195">
        <f>'Waterfall Creek'!I50</f>
        <v>1588</v>
      </c>
      <c r="L195">
        <f>'Waterfall Creek'!J50</f>
        <v>38089</v>
      </c>
      <c r="M195">
        <f>'Waterfall Creek'!K50</f>
        <v>104</v>
      </c>
      <c r="N195">
        <f>'Waterfall Creek'!L50</f>
        <v>4216626</v>
      </c>
      <c r="O195">
        <f>'Waterfall Creek'!M50</f>
        <v>25.5</v>
      </c>
      <c r="P195">
        <f>'Waterfall Creek'!N50</f>
        <v>1073</v>
      </c>
      <c r="Q195">
        <f>'Waterfall Creek'!O50</f>
        <v>539</v>
      </c>
      <c r="R195">
        <f>'Waterfall Creek'!P50</f>
        <v>43</v>
      </c>
      <c r="S195">
        <f>'Waterfall Creek'!Q50</f>
        <v>24671</v>
      </c>
      <c r="T195">
        <f>'Waterfall Creek'!R50</f>
        <v>0.1</v>
      </c>
      <c r="U195">
        <f>'Waterfall Creek'!S50</f>
        <v>1186</v>
      </c>
      <c r="V195">
        <f>'Waterfall Creek'!T50</f>
        <v>1</v>
      </c>
      <c r="W195">
        <f>'Waterfall Creek'!U50</f>
        <v>1</v>
      </c>
      <c r="X195">
        <f>'Waterfall Creek'!V50</f>
        <v>1</v>
      </c>
      <c r="Y195">
        <f>'Waterfall Creek'!W50</f>
        <v>0</v>
      </c>
      <c r="Z195">
        <f>'Waterfall Creek'!X50</f>
        <v>1256</v>
      </c>
      <c r="AA195">
        <f>'Waterfall Creek'!Y50</f>
        <v>1</v>
      </c>
      <c r="AB195">
        <f>'Waterfall Creek'!Z50</f>
        <v>1</v>
      </c>
      <c r="AC195">
        <f>'Waterfall Creek'!AA50</f>
        <v>1</v>
      </c>
      <c r="AD195">
        <f>'Waterfall Creek'!AB50</f>
        <v>0</v>
      </c>
      <c r="AE195">
        <f>'Waterfall Creek'!AC50</f>
        <v>1440</v>
      </c>
      <c r="AF195">
        <f>'Waterfall Creek'!AD50</f>
        <v>795</v>
      </c>
      <c r="AG195">
        <f>'Waterfall Creek'!AE50</f>
        <v>101</v>
      </c>
      <c r="AH195">
        <f>'Waterfall Creek'!AF50</f>
        <v>85471</v>
      </c>
      <c r="AI195">
        <f>'Waterfall Creek'!AG50</f>
        <v>0.5</v>
      </c>
      <c r="AJ195">
        <f>'Waterfall Creek'!AH50</f>
        <v>1498</v>
      </c>
      <c r="AK195">
        <f>'Waterfall Creek'!AI50</f>
        <v>1565</v>
      </c>
      <c r="AL195">
        <f>'Waterfall Creek'!AJ50</f>
        <v>47</v>
      </c>
      <c r="AM195">
        <f>'Waterfall Creek'!AK50</f>
        <v>78297</v>
      </c>
      <c r="AN195">
        <f>'Waterfall Creek'!AL50</f>
        <v>0.5</v>
      </c>
      <c r="AO195">
        <f>'Waterfall Creek'!AM50</f>
        <v>1594</v>
      </c>
      <c r="AP195">
        <f>'Waterfall Creek'!AN50</f>
        <v>1215</v>
      </c>
      <c r="AQ195">
        <f>'Waterfall Creek'!AO50</f>
        <v>25</v>
      </c>
      <c r="AR195">
        <f>'Waterfall Creek'!AP50</f>
        <v>32333</v>
      </c>
      <c r="AS195">
        <f>'Waterfall Creek'!AQ50</f>
        <v>0.2</v>
      </c>
      <c r="AT195">
        <f>'Waterfall Creek'!AR50</f>
        <v>1716</v>
      </c>
      <c r="AU195">
        <f>'Waterfall Creek'!AS50</f>
        <v>4979</v>
      </c>
      <c r="AV195">
        <f>'Waterfall Creek'!AT50</f>
        <v>103</v>
      </c>
      <c r="AW195">
        <f>'Waterfall Creek'!AU50</f>
        <v>545898</v>
      </c>
      <c r="AX195">
        <f>'Waterfall Creek'!AV50</f>
        <v>3.3</v>
      </c>
    </row>
    <row r="196" spans="1:50">
      <c r="A196" t="str">
        <f>'Waterfall Creek'!A51</f>
        <v>/Users/christophermarjo/Documents/Python/Projects/data/bushfire Raman/Waterfall Creek/WFC 6.5 (4)</v>
      </c>
      <c r="B196" t="str">
        <f t="shared" si="2"/>
        <v>Waterfall Creek</v>
      </c>
      <c r="C196">
        <v>6.5</v>
      </c>
      <c r="D196" t="str">
        <f>'Waterfall Creek'!B51</f>
        <v>29.55 counts</v>
      </c>
      <c r="E196">
        <f>'Waterfall Creek'!C51</f>
        <v>0.98664300000000005</v>
      </c>
      <c r="F196">
        <f>'Waterfall Creek'!D51</f>
        <v>1369</v>
      </c>
      <c r="G196">
        <f>'Waterfall Creek'!E51</f>
        <v>16655</v>
      </c>
      <c r="H196">
        <f>'Waterfall Creek'!F51</f>
        <v>344</v>
      </c>
      <c r="I196">
        <f>'Waterfall Creek'!G51</f>
        <v>6098672</v>
      </c>
      <c r="J196">
        <f>'Waterfall Creek'!H51</f>
        <v>69.900000000000006</v>
      </c>
      <c r="K196">
        <f>'Waterfall Creek'!I51</f>
        <v>1588</v>
      </c>
      <c r="L196">
        <f>'Waterfall Creek'!J51</f>
        <v>20149</v>
      </c>
      <c r="M196">
        <f>'Waterfall Creek'!K51</f>
        <v>104</v>
      </c>
      <c r="N196">
        <f>'Waterfall Creek'!L51</f>
        <v>2230586</v>
      </c>
      <c r="O196">
        <f>'Waterfall Creek'!M51</f>
        <v>25.6</v>
      </c>
      <c r="P196">
        <f>'Waterfall Creek'!N51</f>
        <v>1043</v>
      </c>
      <c r="Q196">
        <f>'Waterfall Creek'!O51</f>
        <v>227</v>
      </c>
      <c r="R196">
        <f>'Waterfall Creek'!P51</f>
        <v>67</v>
      </c>
      <c r="S196">
        <f>'Waterfall Creek'!Q51</f>
        <v>16189</v>
      </c>
      <c r="T196">
        <f>'Waterfall Creek'!R51</f>
        <v>0.2</v>
      </c>
      <c r="U196">
        <f>'Waterfall Creek'!S51</f>
        <v>1186</v>
      </c>
      <c r="V196">
        <f>'Waterfall Creek'!T51</f>
        <v>1</v>
      </c>
      <c r="W196">
        <f>'Waterfall Creek'!U51</f>
        <v>1</v>
      </c>
      <c r="X196">
        <f>'Waterfall Creek'!V51</f>
        <v>1</v>
      </c>
      <c r="Y196">
        <f>'Waterfall Creek'!W51</f>
        <v>0</v>
      </c>
      <c r="Z196">
        <f>'Waterfall Creek'!X51</f>
        <v>1256</v>
      </c>
      <c r="AA196">
        <f>'Waterfall Creek'!Y51</f>
        <v>1</v>
      </c>
      <c r="AB196">
        <f>'Waterfall Creek'!Z51</f>
        <v>1</v>
      </c>
      <c r="AC196">
        <f>'Waterfall Creek'!AA51</f>
        <v>1</v>
      </c>
      <c r="AD196">
        <f>'Waterfall Creek'!AB51</f>
        <v>0</v>
      </c>
      <c r="AE196">
        <f>'Waterfall Creek'!AC51</f>
        <v>1440</v>
      </c>
      <c r="AF196">
        <f>'Waterfall Creek'!AD51</f>
        <v>411</v>
      </c>
      <c r="AG196">
        <f>'Waterfall Creek'!AE51</f>
        <v>111</v>
      </c>
      <c r="AH196">
        <f>'Waterfall Creek'!AF51</f>
        <v>48562</v>
      </c>
      <c r="AI196">
        <f>'Waterfall Creek'!AG51</f>
        <v>0.6</v>
      </c>
      <c r="AJ196">
        <f>'Waterfall Creek'!AH51</f>
        <v>1490</v>
      </c>
      <c r="AK196">
        <f>'Waterfall Creek'!AI51</f>
        <v>655</v>
      </c>
      <c r="AL196">
        <f>'Waterfall Creek'!AJ51</f>
        <v>51</v>
      </c>
      <c r="AM196">
        <f>'Waterfall Creek'!AK51</f>
        <v>35559</v>
      </c>
      <c r="AN196">
        <f>'Waterfall Creek'!AL51</f>
        <v>0.4</v>
      </c>
      <c r="AO196">
        <f>'Waterfall Creek'!AM51</f>
        <v>1596</v>
      </c>
      <c r="AP196">
        <f>'Waterfall Creek'!AN51</f>
        <v>101</v>
      </c>
      <c r="AQ196">
        <f>'Waterfall Creek'!AO51</f>
        <v>23</v>
      </c>
      <c r="AR196">
        <f>'Waterfall Creek'!AP51</f>
        <v>2473</v>
      </c>
      <c r="AS196">
        <f>'Waterfall Creek'!AQ51</f>
        <v>0</v>
      </c>
      <c r="AT196">
        <f>'Waterfall Creek'!AR51</f>
        <v>1716</v>
      </c>
      <c r="AU196">
        <f>'Waterfall Creek'!AS51</f>
        <v>2813</v>
      </c>
      <c r="AV196">
        <f>'Waterfall Creek'!AT51</f>
        <v>99</v>
      </c>
      <c r="AW196">
        <f>'Waterfall Creek'!AU51</f>
        <v>296440</v>
      </c>
      <c r="AX196">
        <f>'Waterfall Creek'!AV51</f>
        <v>3.4</v>
      </c>
    </row>
    <row r="197" spans="1:50">
      <c r="A197" t="str">
        <f>'Waterfall Creek'!A52</f>
        <v>/Users/christophermarjo/Documents/Python/Projects/data/bushfire Raman/Waterfall Creek/WFC 6.5 (5)</v>
      </c>
      <c r="B197" t="str">
        <f t="shared" si="2"/>
        <v>Waterfall Creek</v>
      </c>
      <c r="C197">
        <v>6.5</v>
      </c>
      <c r="D197" t="str">
        <f>'Waterfall Creek'!B52</f>
        <v>21.95 counts</v>
      </c>
      <c r="E197">
        <f>'Waterfall Creek'!C52</f>
        <v>0.99032500000000001</v>
      </c>
      <c r="F197">
        <f>'Waterfall Creek'!D52</f>
        <v>1369</v>
      </c>
      <c r="G197">
        <f>'Waterfall Creek'!E52</f>
        <v>14561</v>
      </c>
      <c r="H197">
        <f>'Waterfall Creek'!F52</f>
        <v>336</v>
      </c>
      <c r="I197">
        <f>'Waterfall Creek'!G52</f>
        <v>5207901</v>
      </c>
      <c r="J197">
        <f>'Waterfall Creek'!H52</f>
        <v>69.599999999999994</v>
      </c>
      <c r="K197">
        <f>'Waterfall Creek'!I52</f>
        <v>1588</v>
      </c>
      <c r="L197">
        <f>'Waterfall Creek'!J52</f>
        <v>17217</v>
      </c>
      <c r="M197">
        <f>'Waterfall Creek'!K52</f>
        <v>104</v>
      </c>
      <c r="N197">
        <f>'Waterfall Creek'!L52</f>
        <v>1906001</v>
      </c>
      <c r="O197">
        <f>'Waterfall Creek'!M52</f>
        <v>25.5</v>
      </c>
      <c r="P197">
        <f>'Waterfall Creek'!N52</f>
        <v>1055</v>
      </c>
      <c r="Q197">
        <f>'Waterfall Creek'!O52</f>
        <v>419</v>
      </c>
      <c r="R197">
        <f>'Waterfall Creek'!P52</f>
        <v>59</v>
      </c>
      <c r="S197">
        <f>'Waterfall Creek'!Q52</f>
        <v>26315</v>
      </c>
      <c r="T197">
        <f>'Waterfall Creek'!R52</f>
        <v>0.4</v>
      </c>
      <c r="U197">
        <f>'Waterfall Creek'!S52</f>
        <v>1186</v>
      </c>
      <c r="V197">
        <f>'Waterfall Creek'!T52</f>
        <v>1</v>
      </c>
      <c r="W197">
        <f>'Waterfall Creek'!U52</f>
        <v>1</v>
      </c>
      <c r="X197">
        <f>'Waterfall Creek'!V52</f>
        <v>1</v>
      </c>
      <c r="Y197">
        <f>'Waterfall Creek'!W52</f>
        <v>0</v>
      </c>
      <c r="Z197">
        <f>'Waterfall Creek'!X52</f>
        <v>1256</v>
      </c>
      <c r="AA197">
        <f>'Waterfall Creek'!Y52</f>
        <v>1</v>
      </c>
      <c r="AB197">
        <f>'Waterfall Creek'!Z52</f>
        <v>1</v>
      </c>
      <c r="AC197">
        <f>'Waterfall Creek'!AA52</f>
        <v>1</v>
      </c>
      <c r="AD197">
        <f>'Waterfall Creek'!AB52</f>
        <v>0</v>
      </c>
      <c r="AE197">
        <f>'Waterfall Creek'!AC52</f>
        <v>1440</v>
      </c>
      <c r="AF197">
        <f>'Waterfall Creek'!AD52</f>
        <v>439</v>
      </c>
      <c r="AG197">
        <f>'Waterfall Creek'!AE52</f>
        <v>115</v>
      </c>
      <c r="AH197">
        <f>'Waterfall Creek'!AF52</f>
        <v>53740</v>
      </c>
      <c r="AI197">
        <f>'Waterfall Creek'!AG52</f>
        <v>0.7</v>
      </c>
      <c r="AJ197">
        <f>'Waterfall Creek'!AH52</f>
        <v>1498</v>
      </c>
      <c r="AK197">
        <f>'Waterfall Creek'!AI52</f>
        <v>879</v>
      </c>
      <c r="AL197">
        <f>'Waterfall Creek'!AJ52</f>
        <v>49</v>
      </c>
      <c r="AM197">
        <f>'Waterfall Creek'!AK52</f>
        <v>45848</v>
      </c>
      <c r="AN197">
        <f>'Waterfall Creek'!AL52</f>
        <v>0.6</v>
      </c>
      <c r="AO197">
        <f>'Waterfall Creek'!AM52</f>
        <v>1598</v>
      </c>
      <c r="AP197">
        <f>'Waterfall Creek'!AN52</f>
        <v>607</v>
      </c>
      <c r="AQ197">
        <f>'Waterfall Creek'!AO52</f>
        <v>15</v>
      </c>
      <c r="AR197">
        <f>'Waterfall Creek'!AP52</f>
        <v>9692</v>
      </c>
      <c r="AS197">
        <f>'Waterfall Creek'!AQ52</f>
        <v>0.1</v>
      </c>
      <c r="AT197">
        <f>'Waterfall Creek'!AR52</f>
        <v>1716</v>
      </c>
      <c r="AU197">
        <f>'Waterfall Creek'!AS52</f>
        <v>2345</v>
      </c>
      <c r="AV197">
        <f>'Waterfall Creek'!AT52</f>
        <v>93</v>
      </c>
      <c r="AW197">
        <f>'Waterfall Creek'!AU52</f>
        <v>232144</v>
      </c>
      <c r="AX197">
        <f>'Waterfall Creek'!AV52</f>
        <v>3.1</v>
      </c>
    </row>
    <row r="198" spans="1:50">
      <c r="A198" t="str">
        <f>'Waterfall Creek'!A53</f>
        <v>/Users/christophermarjo/Documents/Python/Projects/data/bushfire Raman/Waterfall Creek/WFC 7 .5 (1)</v>
      </c>
      <c r="B198" t="str">
        <f t="shared" si="2"/>
        <v>Waterfall Creek</v>
      </c>
      <c r="C198">
        <v>7.5</v>
      </c>
      <c r="D198" t="str">
        <f>'Waterfall Creek'!B53</f>
        <v>18.84 counts</v>
      </c>
      <c r="E198">
        <f>'Waterfall Creek'!C53</f>
        <v>0.98487400000000003</v>
      </c>
      <c r="F198">
        <f>'Waterfall Creek'!D53</f>
        <v>1369</v>
      </c>
      <c r="G198">
        <f>'Waterfall Creek'!E53</f>
        <v>10845</v>
      </c>
      <c r="H198">
        <f>'Waterfall Creek'!F53</f>
        <v>336</v>
      </c>
      <c r="I198">
        <f>'Waterfall Creek'!G53</f>
        <v>3878833</v>
      </c>
      <c r="J198">
        <f>'Waterfall Creek'!H53</f>
        <v>74.3</v>
      </c>
      <c r="K198">
        <f>'Waterfall Creek'!I53</f>
        <v>1590</v>
      </c>
      <c r="L198">
        <f>'Waterfall Creek'!J53</f>
        <v>10443</v>
      </c>
      <c r="M198">
        <f>'Waterfall Creek'!K53</f>
        <v>102</v>
      </c>
      <c r="N198">
        <f>'Waterfall Creek'!L53</f>
        <v>1133855</v>
      </c>
      <c r="O198">
        <f>'Waterfall Creek'!M53</f>
        <v>21.7</v>
      </c>
      <c r="P198">
        <f>'Waterfall Creek'!N53</f>
        <v>1033</v>
      </c>
      <c r="Q198">
        <f>'Waterfall Creek'!O53</f>
        <v>397</v>
      </c>
      <c r="R198">
        <f>'Waterfall Creek'!P53</f>
        <v>73</v>
      </c>
      <c r="S198">
        <f>'Waterfall Creek'!Q53</f>
        <v>30849</v>
      </c>
      <c r="T198">
        <f>'Waterfall Creek'!R53</f>
        <v>0.6</v>
      </c>
      <c r="U198">
        <f>'Waterfall Creek'!S53</f>
        <v>1186</v>
      </c>
      <c r="V198">
        <f>'Waterfall Creek'!T53</f>
        <v>1</v>
      </c>
      <c r="W198">
        <f>'Waterfall Creek'!U53</f>
        <v>1</v>
      </c>
      <c r="X198">
        <f>'Waterfall Creek'!V53</f>
        <v>1</v>
      </c>
      <c r="Y198">
        <f>'Waterfall Creek'!W53</f>
        <v>0</v>
      </c>
      <c r="Z198">
        <f>'Waterfall Creek'!X53</f>
        <v>1256</v>
      </c>
      <c r="AA198">
        <f>'Waterfall Creek'!Y53</f>
        <v>1</v>
      </c>
      <c r="AB198">
        <f>'Waterfall Creek'!Z53</f>
        <v>1</v>
      </c>
      <c r="AC198">
        <f>'Waterfall Creek'!AA53</f>
        <v>1</v>
      </c>
      <c r="AD198">
        <f>'Waterfall Creek'!AB53</f>
        <v>0</v>
      </c>
      <c r="AE198">
        <f>'Waterfall Creek'!AC53</f>
        <v>1404</v>
      </c>
      <c r="AF198">
        <f>'Waterfall Creek'!AD53</f>
        <v>51</v>
      </c>
      <c r="AG198">
        <f>'Waterfall Creek'!AE53</f>
        <v>1</v>
      </c>
      <c r="AH198">
        <f>'Waterfall Creek'!AF53</f>
        <v>54</v>
      </c>
      <c r="AI198">
        <f>'Waterfall Creek'!AG53</f>
        <v>0</v>
      </c>
      <c r="AJ198">
        <f>'Waterfall Creek'!AH53</f>
        <v>1506</v>
      </c>
      <c r="AK198">
        <f>'Waterfall Creek'!AI53</f>
        <v>549</v>
      </c>
      <c r="AL198">
        <f>'Waterfall Creek'!AJ53</f>
        <v>25</v>
      </c>
      <c r="AM198">
        <f>'Waterfall Creek'!AK53</f>
        <v>14610</v>
      </c>
      <c r="AN198">
        <f>'Waterfall Creek'!AL53</f>
        <v>0.3</v>
      </c>
      <c r="AO198">
        <f>'Waterfall Creek'!AM53</f>
        <v>1594</v>
      </c>
      <c r="AP198">
        <f>'Waterfall Creek'!AN53</f>
        <v>323</v>
      </c>
      <c r="AQ198">
        <f>'Waterfall Creek'!AO53</f>
        <v>19</v>
      </c>
      <c r="AR198">
        <f>'Waterfall Creek'!AP53</f>
        <v>6533</v>
      </c>
      <c r="AS198">
        <f>'Waterfall Creek'!AQ53</f>
        <v>0.1</v>
      </c>
      <c r="AT198">
        <f>'Waterfall Creek'!AR53</f>
        <v>1720</v>
      </c>
      <c r="AU198">
        <f>'Waterfall Creek'!AS53</f>
        <v>1199</v>
      </c>
      <c r="AV198">
        <f>'Waterfall Creek'!AT53</f>
        <v>121</v>
      </c>
      <c r="AW198">
        <f>'Waterfall Creek'!AU53</f>
        <v>154432</v>
      </c>
      <c r="AX198">
        <f>'Waterfall Creek'!AV53</f>
        <v>3</v>
      </c>
    </row>
    <row r="199" spans="1:50">
      <c r="A199" t="str">
        <f>'Waterfall Creek'!A54</f>
        <v>/Users/christophermarjo/Documents/Python/Projects/data/bushfire Raman/Waterfall Creek/WFC 7 .5 (2)</v>
      </c>
      <c r="B199" t="str">
        <f t="shared" si="2"/>
        <v>Waterfall Creek</v>
      </c>
      <c r="C199">
        <v>7.5</v>
      </c>
      <c r="D199" t="str">
        <f>'Waterfall Creek'!B54</f>
        <v>24.82 counts</v>
      </c>
      <c r="E199">
        <f>'Waterfall Creek'!C54</f>
        <v>0.98560999999999999</v>
      </c>
      <c r="F199">
        <f>'Waterfall Creek'!D54</f>
        <v>1369</v>
      </c>
      <c r="G199">
        <f>'Waterfall Creek'!E54</f>
        <v>14517</v>
      </c>
      <c r="H199">
        <f>'Waterfall Creek'!F54</f>
        <v>336</v>
      </c>
      <c r="I199">
        <f>'Waterfall Creek'!G54</f>
        <v>5192164</v>
      </c>
      <c r="J199">
        <f>'Waterfall Creek'!H54</f>
        <v>73.400000000000006</v>
      </c>
      <c r="K199">
        <f>'Waterfall Creek'!I54</f>
        <v>1588</v>
      </c>
      <c r="L199">
        <f>'Waterfall Creek'!J54</f>
        <v>14167</v>
      </c>
      <c r="M199">
        <f>'Waterfall Creek'!K54</f>
        <v>102</v>
      </c>
      <c r="N199">
        <f>'Waterfall Creek'!L54</f>
        <v>1538191</v>
      </c>
      <c r="O199">
        <f>'Waterfall Creek'!M54</f>
        <v>21.8</v>
      </c>
      <c r="P199">
        <f>'Waterfall Creek'!N54</f>
        <v>1039</v>
      </c>
      <c r="Q199">
        <f>'Waterfall Creek'!O54</f>
        <v>681</v>
      </c>
      <c r="R199">
        <f>'Waterfall Creek'!P54</f>
        <v>75</v>
      </c>
      <c r="S199">
        <f>'Waterfall Creek'!Q54</f>
        <v>54368</v>
      </c>
      <c r="T199">
        <f>'Waterfall Creek'!R54</f>
        <v>0.8</v>
      </c>
      <c r="U199">
        <f>'Waterfall Creek'!S54</f>
        <v>1186</v>
      </c>
      <c r="V199">
        <f>'Waterfall Creek'!T54</f>
        <v>1</v>
      </c>
      <c r="W199">
        <f>'Waterfall Creek'!U54</f>
        <v>1</v>
      </c>
      <c r="X199">
        <f>'Waterfall Creek'!V54</f>
        <v>1</v>
      </c>
      <c r="Y199">
        <f>'Waterfall Creek'!W54</f>
        <v>0</v>
      </c>
      <c r="Z199">
        <f>'Waterfall Creek'!X54</f>
        <v>1256</v>
      </c>
      <c r="AA199">
        <f>'Waterfall Creek'!Y54</f>
        <v>1</v>
      </c>
      <c r="AB199">
        <f>'Waterfall Creek'!Z54</f>
        <v>1</v>
      </c>
      <c r="AC199">
        <f>'Waterfall Creek'!AA54</f>
        <v>1</v>
      </c>
      <c r="AD199">
        <f>'Waterfall Creek'!AB54</f>
        <v>0</v>
      </c>
      <c r="AE199">
        <f>'Waterfall Creek'!AC54</f>
        <v>1406</v>
      </c>
      <c r="AF199">
        <f>'Waterfall Creek'!AD54</f>
        <v>1</v>
      </c>
      <c r="AG199">
        <f>'Waterfall Creek'!AE54</f>
        <v>1</v>
      </c>
      <c r="AH199">
        <f>'Waterfall Creek'!AF54</f>
        <v>1</v>
      </c>
      <c r="AI199">
        <f>'Waterfall Creek'!AG54</f>
        <v>0</v>
      </c>
      <c r="AJ199">
        <f>'Waterfall Creek'!AH54</f>
        <v>1506</v>
      </c>
      <c r="AK199">
        <f>'Waterfall Creek'!AI54</f>
        <v>495</v>
      </c>
      <c r="AL199">
        <f>'Waterfall Creek'!AJ54</f>
        <v>33</v>
      </c>
      <c r="AM199">
        <f>'Waterfall Creek'!AK54</f>
        <v>17388</v>
      </c>
      <c r="AN199">
        <f>'Waterfall Creek'!AL54</f>
        <v>0.2</v>
      </c>
      <c r="AO199">
        <f>'Waterfall Creek'!AM54</f>
        <v>1598</v>
      </c>
      <c r="AP199">
        <f>'Waterfall Creek'!AN54</f>
        <v>1111</v>
      </c>
      <c r="AQ199">
        <f>'Waterfall Creek'!AO54</f>
        <v>23</v>
      </c>
      <c r="AR199">
        <f>'Waterfall Creek'!AP54</f>
        <v>27200</v>
      </c>
      <c r="AS199">
        <f>'Waterfall Creek'!AQ54</f>
        <v>0.4</v>
      </c>
      <c r="AT199">
        <f>'Waterfall Creek'!AR54</f>
        <v>1720</v>
      </c>
      <c r="AU199">
        <f>'Waterfall Creek'!AS54</f>
        <v>1697</v>
      </c>
      <c r="AV199">
        <f>'Waterfall Creek'!AT54</f>
        <v>133</v>
      </c>
      <c r="AW199">
        <f>'Waterfall Creek'!AU54</f>
        <v>240251</v>
      </c>
      <c r="AX199">
        <f>'Waterfall Creek'!AV54</f>
        <v>3.4</v>
      </c>
    </row>
    <row r="200" spans="1:50">
      <c r="A200" t="str">
        <f>'Waterfall Creek'!A55</f>
        <v>/Users/christophermarjo/Documents/Python/Projects/data/bushfire Raman/Waterfall Creek/WFC 7 .5 (3)</v>
      </c>
      <c r="B200" t="str">
        <f t="shared" si="2"/>
        <v>Waterfall Creek</v>
      </c>
      <c r="C200">
        <v>7.5</v>
      </c>
      <c r="D200" t="str">
        <f>'Waterfall Creek'!B55</f>
        <v>21.05 counts</v>
      </c>
      <c r="E200">
        <f>'Waterfall Creek'!C55</f>
        <v>0.98563800000000001</v>
      </c>
      <c r="F200">
        <f>'Waterfall Creek'!D55</f>
        <v>1369</v>
      </c>
      <c r="G200">
        <f>'Waterfall Creek'!E55</f>
        <v>12137</v>
      </c>
      <c r="H200">
        <f>'Waterfall Creek'!F55</f>
        <v>324</v>
      </c>
      <c r="I200">
        <f>'Waterfall Creek'!G55</f>
        <v>4185897</v>
      </c>
      <c r="J200">
        <f>'Waterfall Creek'!H55</f>
        <v>71.900000000000006</v>
      </c>
      <c r="K200">
        <f>'Waterfall Creek'!I55</f>
        <v>1590</v>
      </c>
      <c r="L200">
        <f>'Waterfall Creek'!J55</f>
        <v>12639</v>
      </c>
      <c r="M200">
        <f>'Waterfall Creek'!K55</f>
        <v>100</v>
      </c>
      <c r="N200">
        <f>'Waterfall Creek'!L55</f>
        <v>1345380</v>
      </c>
      <c r="O200">
        <f>'Waterfall Creek'!M55</f>
        <v>23.1</v>
      </c>
      <c r="P200">
        <f>'Waterfall Creek'!N55</f>
        <v>1047</v>
      </c>
      <c r="Q200">
        <f>'Waterfall Creek'!O55</f>
        <v>575</v>
      </c>
      <c r="R200">
        <f>'Waterfall Creek'!P55</f>
        <v>77</v>
      </c>
      <c r="S200">
        <f>'Waterfall Creek'!Q55</f>
        <v>47129</v>
      </c>
      <c r="T200">
        <f>'Waterfall Creek'!R55</f>
        <v>0.8</v>
      </c>
      <c r="U200">
        <f>'Waterfall Creek'!S55</f>
        <v>1186</v>
      </c>
      <c r="V200">
        <f>'Waterfall Creek'!T55</f>
        <v>1</v>
      </c>
      <c r="W200">
        <f>'Waterfall Creek'!U55</f>
        <v>1</v>
      </c>
      <c r="X200">
        <f>'Waterfall Creek'!V55</f>
        <v>1</v>
      </c>
      <c r="Y200">
        <f>'Waterfall Creek'!W55</f>
        <v>0</v>
      </c>
      <c r="Z200">
        <f>'Waterfall Creek'!X55</f>
        <v>1256</v>
      </c>
      <c r="AA200">
        <f>'Waterfall Creek'!Y55</f>
        <v>1</v>
      </c>
      <c r="AB200">
        <f>'Waterfall Creek'!Z55</f>
        <v>1</v>
      </c>
      <c r="AC200">
        <f>'Waterfall Creek'!AA55</f>
        <v>1</v>
      </c>
      <c r="AD200">
        <f>'Waterfall Creek'!AB55</f>
        <v>0</v>
      </c>
      <c r="AE200">
        <f>'Waterfall Creek'!AC55</f>
        <v>1406</v>
      </c>
      <c r="AF200">
        <f>'Waterfall Creek'!AD55</f>
        <v>1</v>
      </c>
      <c r="AG200">
        <f>'Waterfall Creek'!AE55</f>
        <v>1</v>
      </c>
      <c r="AH200">
        <f>'Waterfall Creek'!AF55</f>
        <v>1</v>
      </c>
      <c r="AI200">
        <f>'Waterfall Creek'!AG55</f>
        <v>0</v>
      </c>
      <c r="AJ200">
        <f>'Waterfall Creek'!AH55</f>
        <v>1506</v>
      </c>
      <c r="AK200">
        <f>'Waterfall Creek'!AI55</f>
        <v>447</v>
      </c>
      <c r="AL200">
        <f>'Waterfall Creek'!AJ55</f>
        <v>33</v>
      </c>
      <c r="AM200">
        <f>'Waterfall Creek'!AK55</f>
        <v>15702</v>
      </c>
      <c r="AN200">
        <f>'Waterfall Creek'!AL55</f>
        <v>0.3</v>
      </c>
      <c r="AO200">
        <f>'Waterfall Creek'!AM55</f>
        <v>1594</v>
      </c>
      <c r="AP200">
        <f>'Waterfall Creek'!AN55</f>
        <v>905</v>
      </c>
      <c r="AQ200">
        <f>'Waterfall Creek'!AO55</f>
        <v>23</v>
      </c>
      <c r="AR200">
        <f>'Waterfall Creek'!AP55</f>
        <v>22157</v>
      </c>
      <c r="AS200">
        <f>'Waterfall Creek'!AQ55</f>
        <v>0.4</v>
      </c>
      <c r="AT200">
        <f>'Waterfall Creek'!AR55</f>
        <v>1720</v>
      </c>
      <c r="AU200">
        <f>'Waterfall Creek'!AS55</f>
        <v>1575</v>
      </c>
      <c r="AV200">
        <f>'Waterfall Creek'!AT55</f>
        <v>125</v>
      </c>
      <c r="AW200">
        <f>'Waterfall Creek'!AU55</f>
        <v>209567</v>
      </c>
      <c r="AX200">
        <f>'Waterfall Creek'!AV55</f>
        <v>3.6</v>
      </c>
    </row>
    <row r="201" spans="1:50">
      <c r="A201" t="str">
        <f>'Waterfall Creek'!A56</f>
        <v>/Users/christophermarjo/Documents/Python/Projects/data/bushfire Raman/Waterfall Creek/WFC 7 .5 (4)</v>
      </c>
      <c r="B201" t="str">
        <f t="shared" si="2"/>
        <v>Waterfall Creek</v>
      </c>
      <c r="C201">
        <v>7.5</v>
      </c>
      <c r="D201" t="str">
        <f>'Waterfall Creek'!B56</f>
        <v>18.44 counts</v>
      </c>
      <c r="E201">
        <f>'Waterfall Creek'!C56</f>
        <v>0.98558400000000002</v>
      </c>
      <c r="F201">
        <f>'Waterfall Creek'!D56</f>
        <v>1369</v>
      </c>
      <c r="G201">
        <f>'Waterfall Creek'!E56</f>
        <v>10647</v>
      </c>
      <c r="H201">
        <f>'Waterfall Creek'!F56</f>
        <v>314</v>
      </c>
      <c r="I201">
        <f>'Waterfall Creek'!G56</f>
        <v>3558681</v>
      </c>
      <c r="J201">
        <f>'Waterfall Creek'!H56</f>
        <v>69.900000000000006</v>
      </c>
      <c r="K201">
        <f>'Waterfall Creek'!I56</f>
        <v>1592</v>
      </c>
      <c r="L201">
        <f>'Waterfall Creek'!J56</f>
        <v>11299</v>
      </c>
      <c r="M201">
        <f>'Waterfall Creek'!K56</f>
        <v>100</v>
      </c>
      <c r="N201">
        <f>'Waterfall Creek'!L56</f>
        <v>1202741</v>
      </c>
      <c r="O201">
        <f>'Waterfall Creek'!M56</f>
        <v>23.6</v>
      </c>
      <c r="P201">
        <f>'Waterfall Creek'!N56</f>
        <v>1045</v>
      </c>
      <c r="Q201">
        <f>'Waterfall Creek'!O56</f>
        <v>587</v>
      </c>
      <c r="R201">
        <f>'Waterfall Creek'!P56</f>
        <v>107</v>
      </c>
      <c r="S201">
        <f>'Waterfall Creek'!Q56</f>
        <v>66858</v>
      </c>
      <c r="T201">
        <f>'Waterfall Creek'!R56</f>
        <v>1.3</v>
      </c>
      <c r="U201">
        <f>'Waterfall Creek'!S56</f>
        <v>1186</v>
      </c>
      <c r="V201">
        <f>'Waterfall Creek'!T56</f>
        <v>1</v>
      </c>
      <c r="W201">
        <f>'Waterfall Creek'!U56</f>
        <v>1</v>
      </c>
      <c r="X201">
        <f>'Waterfall Creek'!V56</f>
        <v>1</v>
      </c>
      <c r="Y201">
        <f>'Waterfall Creek'!W56</f>
        <v>0</v>
      </c>
      <c r="Z201">
        <f>'Waterfall Creek'!X56</f>
        <v>1256</v>
      </c>
      <c r="AA201">
        <f>'Waterfall Creek'!Y56</f>
        <v>1</v>
      </c>
      <c r="AB201">
        <f>'Waterfall Creek'!Z56</f>
        <v>1</v>
      </c>
      <c r="AC201">
        <f>'Waterfall Creek'!AA56</f>
        <v>1</v>
      </c>
      <c r="AD201">
        <f>'Waterfall Creek'!AB56</f>
        <v>0</v>
      </c>
      <c r="AE201">
        <f>'Waterfall Creek'!AC56</f>
        <v>1406</v>
      </c>
      <c r="AF201">
        <f>'Waterfall Creek'!AD56</f>
        <v>1</v>
      </c>
      <c r="AG201">
        <f>'Waterfall Creek'!AE56</f>
        <v>1</v>
      </c>
      <c r="AH201">
        <f>'Waterfall Creek'!AF56</f>
        <v>1</v>
      </c>
      <c r="AI201">
        <f>'Waterfall Creek'!AG56</f>
        <v>0</v>
      </c>
      <c r="AJ201">
        <f>'Waterfall Creek'!AH56</f>
        <v>1506</v>
      </c>
      <c r="AK201">
        <f>'Waterfall Creek'!AI56</f>
        <v>323</v>
      </c>
      <c r="AL201">
        <f>'Waterfall Creek'!AJ56</f>
        <v>29</v>
      </c>
      <c r="AM201">
        <f>'Waterfall Creek'!AK56</f>
        <v>9971</v>
      </c>
      <c r="AN201">
        <f>'Waterfall Creek'!AL56</f>
        <v>0.2</v>
      </c>
      <c r="AO201">
        <f>'Waterfall Creek'!AM56</f>
        <v>1594</v>
      </c>
      <c r="AP201">
        <f>'Waterfall Creek'!AN56</f>
        <v>1359</v>
      </c>
      <c r="AQ201">
        <f>'Waterfall Creek'!AO56</f>
        <v>25</v>
      </c>
      <c r="AR201">
        <f>'Waterfall Creek'!AP56</f>
        <v>36165</v>
      </c>
      <c r="AS201">
        <f>'Waterfall Creek'!AQ56</f>
        <v>0.7</v>
      </c>
      <c r="AT201">
        <f>'Waterfall Creek'!AR56</f>
        <v>1726</v>
      </c>
      <c r="AU201">
        <f>'Waterfall Creek'!AS56</f>
        <v>1301</v>
      </c>
      <c r="AV201">
        <f>'Waterfall Creek'!AT56</f>
        <v>155</v>
      </c>
      <c r="AW201">
        <f>'Waterfall Creek'!AU56</f>
        <v>214655</v>
      </c>
      <c r="AX201">
        <f>'Waterfall Creek'!AV56</f>
        <v>4.2</v>
      </c>
    </row>
    <row r="202" spans="1:50">
      <c r="A202" t="str">
        <f>'Waterfall Creek'!A57</f>
        <v>/Users/christophermarjo/Documents/Python/Projects/data/bushfire Raman/Waterfall Creek/WFC 7 .5 (5)</v>
      </c>
      <c r="B202" t="str">
        <f t="shared" si="2"/>
        <v>Waterfall Creek</v>
      </c>
      <c r="C202">
        <v>7.5</v>
      </c>
      <c r="D202" t="str">
        <f>'Waterfall Creek'!B57</f>
        <v>17.07 counts</v>
      </c>
      <c r="E202">
        <f>'Waterfall Creek'!C57</f>
        <v>0.98050700000000002</v>
      </c>
      <c r="F202">
        <f>'Waterfall Creek'!D57</f>
        <v>1369</v>
      </c>
      <c r="G202">
        <f>'Waterfall Creek'!E57</f>
        <v>8521</v>
      </c>
      <c r="H202">
        <f>'Waterfall Creek'!F57</f>
        <v>338</v>
      </c>
      <c r="I202">
        <f>'Waterfall Creek'!G57</f>
        <v>3065769</v>
      </c>
      <c r="J202">
        <f>'Waterfall Creek'!H57</f>
        <v>71.3</v>
      </c>
      <c r="K202">
        <f>'Waterfall Creek'!I57</f>
        <v>1590</v>
      </c>
      <c r="L202">
        <f>'Waterfall Creek'!J57</f>
        <v>8465</v>
      </c>
      <c r="M202">
        <f>'Waterfall Creek'!K57</f>
        <v>100</v>
      </c>
      <c r="N202">
        <f>'Waterfall Creek'!L57</f>
        <v>901071</v>
      </c>
      <c r="O202">
        <f>'Waterfall Creek'!M57</f>
        <v>21</v>
      </c>
      <c r="P202">
        <f>'Waterfall Creek'!N57</f>
        <v>1037</v>
      </c>
      <c r="Q202">
        <f>'Waterfall Creek'!O57</f>
        <v>467</v>
      </c>
      <c r="R202">
        <f>'Waterfall Creek'!P57</f>
        <v>61</v>
      </c>
      <c r="S202">
        <f>'Waterfall Creek'!Q57</f>
        <v>30323</v>
      </c>
      <c r="T202">
        <f>'Waterfall Creek'!R57</f>
        <v>0.7</v>
      </c>
      <c r="U202">
        <f>'Waterfall Creek'!S57</f>
        <v>1186</v>
      </c>
      <c r="V202">
        <f>'Waterfall Creek'!T57</f>
        <v>1</v>
      </c>
      <c r="W202">
        <f>'Waterfall Creek'!U57</f>
        <v>1</v>
      </c>
      <c r="X202">
        <f>'Waterfall Creek'!V57</f>
        <v>1</v>
      </c>
      <c r="Y202">
        <f>'Waterfall Creek'!W57</f>
        <v>0</v>
      </c>
      <c r="Z202">
        <f>'Waterfall Creek'!X57</f>
        <v>1256</v>
      </c>
      <c r="AA202">
        <f>'Waterfall Creek'!Y57</f>
        <v>1</v>
      </c>
      <c r="AB202">
        <f>'Waterfall Creek'!Z57</f>
        <v>1</v>
      </c>
      <c r="AC202">
        <f>'Waterfall Creek'!AA57</f>
        <v>1</v>
      </c>
      <c r="AD202">
        <f>'Waterfall Creek'!AB57</f>
        <v>0</v>
      </c>
      <c r="AE202">
        <f>'Waterfall Creek'!AC57</f>
        <v>1404</v>
      </c>
      <c r="AF202">
        <f>'Waterfall Creek'!AD57</f>
        <v>5</v>
      </c>
      <c r="AG202">
        <f>'Waterfall Creek'!AE57</f>
        <v>155</v>
      </c>
      <c r="AH202">
        <f>'Waterfall Creek'!AF57</f>
        <v>825</v>
      </c>
      <c r="AI202">
        <f>'Waterfall Creek'!AG57</f>
        <v>0</v>
      </c>
      <c r="AJ202">
        <f>'Waterfall Creek'!AH57</f>
        <v>1506</v>
      </c>
      <c r="AK202">
        <f>'Waterfall Creek'!AI57</f>
        <v>325</v>
      </c>
      <c r="AL202">
        <f>'Waterfall Creek'!AJ57</f>
        <v>31</v>
      </c>
      <c r="AM202">
        <f>'Waterfall Creek'!AK57</f>
        <v>10725</v>
      </c>
      <c r="AN202">
        <f>'Waterfall Creek'!AL57</f>
        <v>0.2</v>
      </c>
      <c r="AO202">
        <f>'Waterfall Creek'!AM57</f>
        <v>1598</v>
      </c>
      <c r="AP202">
        <f>'Waterfall Creek'!AN57</f>
        <v>941</v>
      </c>
      <c r="AQ202">
        <f>'Waterfall Creek'!AO57</f>
        <v>23</v>
      </c>
      <c r="AR202">
        <f>'Waterfall Creek'!AP57</f>
        <v>23038</v>
      </c>
      <c r="AS202">
        <f>'Waterfall Creek'!AQ57</f>
        <v>0.5</v>
      </c>
      <c r="AT202">
        <f>'Waterfall Creek'!AR57</f>
        <v>1738</v>
      </c>
      <c r="AU202">
        <f>'Waterfall Creek'!AS57</f>
        <v>1261</v>
      </c>
      <c r="AV202">
        <f>'Waterfall Creek'!AT57</f>
        <v>199</v>
      </c>
      <c r="AW202">
        <f>'Waterfall Creek'!AU57</f>
        <v>267116</v>
      </c>
      <c r="AX202">
        <f>'Waterfall Creek'!AV57</f>
        <v>6.2</v>
      </c>
    </row>
    <row r="203" spans="1:50">
      <c r="A203" t="str">
        <f>'Waterfall Creek'!A58</f>
        <v>/Users/christophermarjo/Documents/Python/Projects/data/bushfire Raman/Waterfall Creek/WFC 8.5 (1)</v>
      </c>
      <c r="B203" t="str">
        <f t="shared" si="2"/>
        <v>Waterfall Creek</v>
      </c>
      <c r="C203">
        <v>8.5</v>
      </c>
      <c r="D203" t="str">
        <f>'Waterfall Creek'!B58</f>
        <v>52.60 counts</v>
      </c>
      <c r="E203">
        <f>'Waterfall Creek'!C58</f>
        <v>0.98732399999999998</v>
      </c>
      <c r="F203">
        <f>'Waterfall Creek'!D58</f>
        <v>1369</v>
      </c>
      <c r="G203">
        <f>'Waterfall Creek'!E58</f>
        <v>29955</v>
      </c>
      <c r="H203">
        <f>'Waterfall Creek'!F58</f>
        <v>330</v>
      </c>
      <c r="I203">
        <f>'Waterfall Creek'!G58</f>
        <v>10522416</v>
      </c>
      <c r="J203">
        <f>'Waterfall Creek'!H58</f>
        <v>66.900000000000006</v>
      </c>
      <c r="K203">
        <f>'Waterfall Creek'!I58</f>
        <v>1586</v>
      </c>
      <c r="L203">
        <f>'Waterfall Creek'!J58</f>
        <v>36677</v>
      </c>
      <c r="M203">
        <f>'Waterfall Creek'!K58</f>
        <v>112</v>
      </c>
      <c r="N203">
        <f>'Waterfall Creek'!L58</f>
        <v>4372643</v>
      </c>
      <c r="O203">
        <f>'Waterfall Creek'!M58</f>
        <v>27.8</v>
      </c>
      <c r="P203">
        <f>'Waterfall Creek'!N58</f>
        <v>1043</v>
      </c>
      <c r="Q203">
        <f>'Waterfall Creek'!O58</f>
        <v>971</v>
      </c>
      <c r="R203">
        <f>'Waterfall Creek'!P58</f>
        <v>67</v>
      </c>
      <c r="S203">
        <f>'Waterfall Creek'!Q58</f>
        <v>69251</v>
      </c>
      <c r="T203">
        <f>'Waterfall Creek'!R58</f>
        <v>0.4</v>
      </c>
      <c r="U203">
        <f>'Waterfall Creek'!S58</f>
        <v>1186</v>
      </c>
      <c r="V203">
        <f>'Waterfall Creek'!T58</f>
        <v>1</v>
      </c>
      <c r="W203">
        <f>'Waterfall Creek'!U58</f>
        <v>1</v>
      </c>
      <c r="X203">
        <f>'Waterfall Creek'!V58</f>
        <v>1</v>
      </c>
      <c r="Y203">
        <f>'Waterfall Creek'!W58</f>
        <v>0</v>
      </c>
      <c r="Z203">
        <f>'Waterfall Creek'!X58</f>
        <v>1256</v>
      </c>
      <c r="AA203">
        <f>'Waterfall Creek'!Y58</f>
        <v>1</v>
      </c>
      <c r="AB203">
        <f>'Waterfall Creek'!Z58</f>
        <v>1</v>
      </c>
      <c r="AC203">
        <f>'Waterfall Creek'!AA58</f>
        <v>1</v>
      </c>
      <c r="AD203">
        <f>'Waterfall Creek'!AB58</f>
        <v>0</v>
      </c>
      <c r="AE203">
        <f>'Waterfall Creek'!AC58</f>
        <v>1440</v>
      </c>
      <c r="AF203">
        <f>'Waterfall Creek'!AD58</f>
        <v>603</v>
      </c>
      <c r="AG203">
        <f>'Waterfall Creek'!AE58</f>
        <v>105</v>
      </c>
      <c r="AH203">
        <f>'Waterfall Creek'!AF58</f>
        <v>67397</v>
      </c>
      <c r="AI203">
        <f>'Waterfall Creek'!AG58</f>
        <v>0.4</v>
      </c>
      <c r="AJ203">
        <f>'Waterfall Creek'!AH58</f>
        <v>1506</v>
      </c>
      <c r="AK203">
        <f>'Waterfall Creek'!AI58</f>
        <v>571</v>
      </c>
      <c r="AL203">
        <f>'Waterfall Creek'!AJ58</f>
        <v>21</v>
      </c>
      <c r="AM203">
        <f>'Waterfall Creek'!AK58</f>
        <v>12764</v>
      </c>
      <c r="AN203">
        <f>'Waterfall Creek'!AL58</f>
        <v>0.1</v>
      </c>
      <c r="AO203">
        <f>'Waterfall Creek'!AM58</f>
        <v>1596</v>
      </c>
      <c r="AP203">
        <f>'Waterfall Creek'!AN58</f>
        <v>1485</v>
      </c>
      <c r="AQ203">
        <f>'Waterfall Creek'!AO58</f>
        <v>25</v>
      </c>
      <c r="AR203">
        <f>'Waterfall Creek'!AP58</f>
        <v>39518</v>
      </c>
      <c r="AS203">
        <f>'Waterfall Creek'!AQ58</f>
        <v>0.3</v>
      </c>
      <c r="AT203">
        <f>'Waterfall Creek'!AR58</f>
        <v>1738</v>
      </c>
      <c r="AU203">
        <f>'Waterfall Creek'!AS58</f>
        <v>4135</v>
      </c>
      <c r="AV203">
        <f>'Waterfall Creek'!AT58</f>
        <v>149</v>
      </c>
      <c r="AW203">
        <f>'Waterfall Creek'!AU58</f>
        <v>655834</v>
      </c>
      <c r="AX203">
        <f>'Waterfall Creek'!AV58</f>
        <v>4.2</v>
      </c>
    </row>
    <row r="204" spans="1:50">
      <c r="A204" t="str">
        <f>'Waterfall Creek'!A59</f>
        <v>/Users/christophermarjo/Documents/Python/Projects/data/bushfire Raman/Waterfall Creek/WFC 8.5 (2)</v>
      </c>
      <c r="B204" t="str">
        <f t="shared" si="2"/>
        <v>Waterfall Creek</v>
      </c>
      <c r="C204">
        <v>8.5</v>
      </c>
      <c r="D204" t="str">
        <f>'Waterfall Creek'!B59</f>
        <v>27.84 counts</v>
      </c>
      <c r="E204">
        <f>'Waterfall Creek'!C59</f>
        <v>0.98063599999999995</v>
      </c>
      <c r="F204">
        <f>'Waterfall Creek'!D59</f>
        <v>1369</v>
      </c>
      <c r="G204">
        <f>'Waterfall Creek'!E59</f>
        <v>12905</v>
      </c>
      <c r="H204">
        <f>'Waterfall Creek'!F59</f>
        <v>330</v>
      </c>
      <c r="I204">
        <f>'Waterfall Creek'!G59</f>
        <v>4533193</v>
      </c>
      <c r="J204">
        <f>'Waterfall Creek'!H59</f>
        <v>67.599999999999994</v>
      </c>
      <c r="K204">
        <f>'Waterfall Creek'!I59</f>
        <v>1590</v>
      </c>
      <c r="L204">
        <f>'Waterfall Creek'!J59</f>
        <v>16541</v>
      </c>
      <c r="M204">
        <f>'Waterfall Creek'!K59</f>
        <v>104</v>
      </c>
      <c r="N204">
        <f>'Waterfall Creek'!L59</f>
        <v>1831164</v>
      </c>
      <c r="O204">
        <f>'Waterfall Creek'!M59</f>
        <v>27.3</v>
      </c>
      <c r="P204">
        <f>'Waterfall Creek'!N59</f>
        <v>1033</v>
      </c>
      <c r="Q204">
        <f>'Waterfall Creek'!O59</f>
        <v>387</v>
      </c>
      <c r="R204">
        <f>'Waterfall Creek'!P59</f>
        <v>63</v>
      </c>
      <c r="S204">
        <f>'Waterfall Creek'!Q59</f>
        <v>25953</v>
      </c>
      <c r="T204">
        <f>'Waterfall Creek'!R59</f>
        <v>0.4</v>
      </c>
      <c r="U204">
        <f>'Waterfall Creek'!S59</f>
        <v>1186</v>
      </c>
      <c r="V204">
        <f>'Waterfall Creek'!T59</f>
        <v>1</v>
      </c>
      <c r="W204">
        <f>'Waterfall Creek'!U59</f>
        <v>1</v>
      </c>
      <c r="X204">
        <f>'Waterfall Creek'!V59</f>
        <v>1</v>
      </c>
      <c r="Y204">
        <f>'Waterfall Creek'!W59</f>
        <v>0</v>
      </c>
      <c r="Z204">
        <f>'Waterfall Creek'!X59</f>
        <v>1256</v>
      </c>
      <c r="AA204">
        <f>'Waterfall Creek'!Y59</f>
        <v>1</v>
      </c>
      <c r="AB204">
        <f>'Waterfall Creek'!Z59</f>
        <v>1</v>
      </c>
      <c r="AC204">
        <f>'Waterfall Creek'!AA59</f>
        <v>1</v>
      </c>
      <c r="AD204">
        <f>'Waterfall Creek'!AB59</f>
        <v>0</v>
      </c>
      <c r="AE204">
        <f>'Waterfall Creek'!AC59</f>
        <v>1440</v>
      </c>
      <c r="AF204">
        <f>'Waterfall Creek'!AD59</f>
        <v>141</v>
      </c>
      <c r="AG204">
        <f>'Waterfall Creek'!AE59</f>
        <v>121</v>
      </c>
      <c r="AH204">
        <f>'Waterfall Creek'!AF59</f>
        <v>18161</v>
      </c>
      <c r="AI204">
        <f>'Waterfall Creek'!AG59</f>
        <v>0.3</v>
      </c>
      <c r="AJ204">
        <f>'Waterfall Creek'!AH59</f>
        <v>1498</v>
      </c>
      <c r="AK204">
        <f>'Waterfall Creek'!AI59</f>
        <v>659</v>
      </c>
      <c r="AL204">
        <f>'Waterfall Creek'!AJ59</f>
        <v>47</v>
      </c>
      <c r="AM204">
        <f>'Waterfall Creek'!AK59</f>
        <v>32970</v>
      </c>
      <c r="AN204">
        <f>'Waterfall Creek'!AL59</f>
        <v>0.5</v>
      </c>
      <c r="AO204">
        <f>'Waterfall Creek'!AM59</f>
        <v>1598</v>
      </c>
      <c r="AP204">
        <f>'Waterfall Creek'!AN59</f>
        <v>539</v>
      </c>
      <c r="AQ204">
        <f>'Waterfall Creek'!AO59</f>
        <v>19</v>
      </c>
      <c r="AR204">
        <f>'Waterfall Creek'!AP59</f>
        <v>10901</v>
      </c>
      <c r="AS204">
        <f>'Waterfall Creek'!AQ59</f>
        <v>0.2</v>
      </c>
      <c r="AT204">
        <f>'Waterfall Creek'!AR59</f>
        <v>1722</v>
      </c>
      <c r="AU204">
        <f>'Waterfall Creek'!AS59</f>
        <v>2333</v>
      </c>
      <c r="AV204">
        <f>'Waterfall Creek'!AT59</f>
        <v>101</v>
      </c>
      <c r="AW204">
        <f>'Waterfall Creek'!AU59</f>
        <v>250824</v>
      </c>
      <c r="AX204">
        <f>'Waterfall Creek'!AV59</f>
        <v>3.7</v>
      </c>
    </row>
    <row r="205" spans="1:50">
      <c r="A205" t="str">
        <f>'Waterfall Creek'!A60</f>
        <v>/Users/christophermarjo/Documents/Python/Projects/data/bushfire Raman/Waterfall Creek/WFC 8.5 (3)</v>
      </c>
      <c r="B205" t="str">
        <f t="shared" si="2"/>
        <v>Waterfall Creek</v>
      </c>
      <c r="C205">
        <v>8.5</v>
      </c>
      <c r="D205" t="str">
        <f>'Waterfall Creek'!B60</f>
        <v>51.65 counts</v>
      </c>
      <c r="E205">
        <f>'Waterfall Creek'!C60</f>
        <v>0.98629599999999995</v>
      </c>
      <c r="F205">
        <f>'Waterfall Creek'!D60</f>
        <v>1367</v>
      </c>
      <c r="G205">
        <f>'Waterfall Creek'!E60</f>
        <v>27699</v>
      </c>
      <c r="H205">
        <f>'Waterfall Creek'!F60</f>
        <v>340</v>
      </c>
      <c r="I205">
        <f>'Waterfall Creek'!G60</f>
        <v>10024789</v>
      </c>
      <c r="J205">
        <f>'Waterfall Creek'!H60</f>
        <v>66.900000000000006</v>
      </c>
      <c r="K205">
        <f>'Waterfall Creek'!I60</f>
        <v>1586</v>
      </c>
      <c r="L205">
        <f>'Waterfall Creek'!J60</f>
        <v>35615</v>
      </c>
      <c r="M205">
        <f>'Waterfall Creek'!K60</f>
        <v>112</v>
      </c>
      <c r="N205">
        <f>'Waterfall Creek'!L60</f>
        <v>4246031</v>
      </c>
      <c r="O205">
        <f>'Waterfall Creek'!M60</f>
        <v>28.4</v>
      </c>
      <c r="P205">
        <f>'Waterfall Creek'!N60</f>
        <v>1043</v>
      </c>
      <c r="Q205">
        <f>'Waterfall Creek'!O60</f>
        <v>679</v>
      </c>
      <c r="R205">
        <f>'Waterfall Creek'!P60</f>
        <v>65</v>
      </c>
      <c r="S205">
        <f>'Waterfall Creek'!Q60</f>
        <v>46980</v>
      </c>
      <c r="T205">
        <f>'Waterfall Creek'!R60</f>
        <v>0.3</v>
      </c>
      <c r="U205">
        <f>'Waterfall Creek'!S60</f>
        <v>1186</v>
      </c>
      <c r="V205">
        <f>'Waterfall Creek'!T60</f>
        <v>1</v>
      </c>
      <c r="W205">
        <f>'Waterfall Creek'!U60</f>
        <v>1</v>
      </c>
      <c r="X205">
        <f>'Waterfall Creek'!V60</f>
        <v>1</v>
      </c>
      <c r="Y205">
        <f>'Waterfall Creek'!W60</f>
        <v>0</v>
      </c>
      <c r="Z205">
        <f>'Waterfall Creek'!X60</f>
        <v>1256</v>
      </c>
      <c r="AA205">
        <f>'Waterfall Creek'!Y60</f>
        <v>1</v>
      </c>
      <c r="AB205">
        <f>'Waterfall Creek'!Z60</f>
        <v>1</v>
      </c>
      <c r="AC205">
        <f>'Waterfall Creek'!AA60</f>
        <v>1</v>
      </c>
      <c r="AD205">
        <f>'Waterfall Creek'!AB60</f>
        <v>0</v>
      </c>
      <c r="AE205">
        <f>'Waterfall Creek'!AC60</f>
        <v>1440</v>
      </c>
      <c r="AF205">
        <f>'Waterfall Creek'!AD60</f>
        <v>803</v>
      </c>
      <c r="AG205">
        <f>'Waterfall Creek'!AE60</f>
        <v>93</v>
      </c>
      <c r="AH205">
        <f>'Waterfall Creek'!AF60</f>
        <v>79493</v>
      </c>
      <c r="AI205">
        <f>'Waterfall Creek'!AG60</f>
        <v>0.5</v>
      </c>
      <c r="AJ205">
        <f>'Waterfall Creek'!AH60</f>
        <v>1484</v>
      </c>
      <c r="AK205">
        <f>'Waterfall Creek'!AI60</f>
        <v>359</v>
      </c>
      <c r="AL205">
        <f>'Waterfall Creek'!AJ60</f>
        <v>37</v>
      </c>
      <c r="AM205">
        <f>'Waterfall Creek'!AK60</f>
        <v>14139</v>
      </c>
      <c r="AN205">
        <f>'Waterfall Creek'!AL60</f>
        <v>0.1</v>
      </c>
      <c r="AO205">
        <f>'Waterfall Creek'!AM60</f>
        <v>1594</v>
      </c>
      <c r="AP205">
        <f>'Waterfall Creek'!AN60</f>
        <v>1597</v>
      </c>
      <c r="AQ205">
        <f>'Waterfall Creek'!AO60</f>
        <v>23</v>
      </c>
      <c r="AR205">
        <f>'Waterfall Creek'!AP60</f>
        <v>39099</v>
      </c>
      <c r="AS205">
        <f>'Waterfall Creek'!AQ60</f>
        <v>0.3</v>
      </c>
      <c r="AT205">
        <f>'Waterfall Creek'!AR60</f>
        <v>1730</v>
      </c>
      <c r="AU205">
        <f>'Waterfall Creek'!AS60</f>
        <v>4539</v>
      </c>
      <c r="AV205">
        <f>'Waterfall Creek'!AT60</f>
        <v>109</v>
      </c>
      <c r="AW205">
        <f>'Waterfall Creek'!AU60</f>
        <v>526646</v>
      </c>
      <c r="AX205">
        <f>'Waterfall Creek'!AV60</f>
        <v>3.5</v>
      </c>
    </row>
    <row r="206" spans="1:50">
      <c r="A206" t="str">
        <f>'Waterfall Creek'!A61</f>
        <v>/Users/christophermarjo/Documents/Python/Projects/data/bushfire Raman/Waterfall Creek/WFC 8.5 (4)</v>
      </c>
      <c r="B206" t="str">
        <f t="shared" si="2"/>
        <v>Waterfall Creek</v>
      </c>
      <c r="C206">
        <v>8.5</v>
      </c>
      <c r="D206" t="str">
        <f>'Waterfall Creek'!B61</f>
        <v>24.63 counts</v>
      </c>
      <c r="E206">
        <f>'Waterfall Creek'!C61</f>
        <v>0.98609800000000003</v>
      </c>
      <c r="F206">
        <f>'Waterfall Creek'!D61</f>
        <v>1369</v>
      </c>
      <c r="G206">
        <f>'Waterfall Creek'!E61</f>
        <v>13147</v>
      </c>
      <c r="H206">
        <f>'Waterfall Creek'!F61</f>
        <v>336</v>
      </c>
      <c r="I206">
        <f>'Waterfall Creek'!G61</f>
        <v>4702168</v>
      </c>
      <c r="J206">
        <f>'Waterfall Creek'!H61</f>
        <v>68.2</v>
      </c>
      <c r="K206">
        <f>'Waterfall Creek'!I61</f>
        <v>1588</v>
      </c>
      <c r="L206">
        <f>'Waterfall Creek'!J61</f>
        <v>16397</v>
      </c>
      <c r="M206">
        <f>'Waterfall Creek'!K61</f>
        <v>112</v>
      </c>
      <c r="N206">
        <f>'Waterfall Creek'!L61</f>
        <v>1954855</v>
      </c>
      <c r="O206">
        <f>'Waterfall Creek'!M61</f>
        <v>28.4</v>
      </c>
      <c r="P206">
        <f>'Waterfall Creek'!N61</f>
        <v>1043</v>
      </c>
      <c r="Q206">
        <f>'Waterfall Creek'!O61</f>
        <v>255</v>
      </c>
      <c r="R206">
        <f>'Waterfall Creek'!P61</f>
        <v>59</v>
      </c>
      <c r="S206">
        <f>'Waterfall Creek'!Q61</f>
        <v>16015</v>
      </c>
      <c r="T206">
        <f>'Waterfall Creek'!R61</f>
        <v>0.2</v>
      </c>
      <c r="U206">
        <f>'Waterfall Creek'!S61</f>
        <v>1186</v>
      </c>
      <c r="V206">
        <f>'Waterfall Creek'!T61</f>
        <v>1</v>
      </c>
      <c r="W206">
        <f>'Waterfall Creek'!U61</f>
        <v>1</v>
      </c>
      <c r="X206">
        <f>'Waterfall Creek'!V61</f>
        <v>1</v>
      </c>
      <c r="Y206">
        <f>'Waterfall Creek'!W61</f>
        <v>0</v>
      </c>
      <c r="Z206">
        <f>'Waterfall Creek'!X61</f>
        <v>1256</v>
      </c>
      <c r="AA206">
        <f>'Waterfall Creek'!Y61</f>
        <v>1</v>
      </c>
      <c r="AB206">
        <f>'Waterfall Creek'!Z61</f>
        <v>1</v>
      </c>
      <c r="AC206">
        <f>'Waterfall Creek'!AA61</f>
        <v>1</v>
      </c>
      <c r="AD206">
        <f>'Waterfall Creek'!AB61</f>
        <v>0</v>
      </c>
      <c r="AE206">
        <f>'Waterfall Creek'!AC61</f>
        <v>1456</v>
      </c>
      <c r="AF206">
        <f>'Waterfall Creek'!AD61</f>
        <v>457</v>
      </c>
      <c r="AG206">
        <f>'Waterfall Creek'!AE61</f>
        <v>65</v>
      </c>
      <c r="AH206">
        <f>'Waterfall Creek'!AF61</f>
        <v>31620</v>
      </c>
      <c r="AI206">
        <f>'Waterfall Creek'!AG61</f>
        <v>0.5</v>
      </c>
      <c r="AJ206">
        <f>'Waterfall Creek'!AH61</f>
        <v>1506</v>
      </c>
      <c r="AK206">
        <f>'Waterfall Creek'!AI61</f>
        <v>261</v>
      </c>
      <c r="AL206">
        <f>'Waterfall Creek'!AJ61</f>
        <v>13</v>
      </c>
      <c r="AM206">
        <f>'Waterfall Creek'!AK61</f>
        <v>3612</v>
      </c>
      <c r="AN206">
        <f>'Waterfall Creek'!AL61</f>
        <v>0.1</v>
      </c>
      <c r="AO206">
        <f>'Waterfall Creek'!AM61</f>
        <v>1588</v>
      </c>
      <c r="AP206">
        <f>'Waterfall Creek'!AN61</f>
        <v>875</v>
      </c>
      <c r="AQ206">
        <f>'Waterfall Creek'!AO61</f>
        <v>5</v>
      </c>
      <c r="AR206">
        <f>'Waterfall Creek'!AP61</f>
        <v>4657</v>
      </c>
      <c r="AS206">
        <f>'Waterfall Creek'!AQ61</f>
        <v>0.1</v>
      </c>
      <c r="AT206">
        <f>'Waterfall Creek'!AR61</f>
        <v>1722</v>
      </c>
      <c r="AU206">
        <f>'Waterfall Creek'!AS61</f>
        <v>1957</v>
      </c>
      <c r="AV206">
        <f>'Waterfall Creek'!AT61</f>
        <v>85</v>
      </c>
      <c r="AW206">
        <f>'Waterfall Creek'!AU61</f>
        <v>177069</v>
      </c>
      <c r="AX206">
        <f>'Waterfall Creek'!AV61</f>
        <v>2.6</v>
      </c>
    </row>
    <row r="207" spans="1:50">
      <c r="A207" t="str">
        <f>'Waterfall Creek'!A62</f>
        <v>/Users/christophermarjo/Documents/Python/Projects/data/bushfire Raman/Waterfall Creek/WFC 8.5 (5)</v>
      </c>
      <c r="B207" t="str">
        <f t="shared" si="2"/>
        <v>Waterfall Creek</v>
      </c>
      <c r="C207">
        <v>8.5</v>
      </c>
      <c r="D207" t="str">
        <f>'Waterfall Creek'!B62</f>
        <v>44.69 counts</v>
      </c>
      <c r="E207">
        <f>'Waterfall Creek'!C62</f>
        <v>0.98517200000000005</v>
      </c>
      <c r="F207">
        <f>'Waterfall Creek'!D62</f>
        <v>1365</v>
      </c>
      <c r="G207">
        <f>'Waterfall Creek'!E62</f>
        <v>23433</v>
      </c>
      <c r="H207">
        <f>'Waterfall Creek'!F62</f>
        <v>328</v>
      </c>
      <c r="I207">
        <f>'Waterfall Creek'!G62</f>
        <v>8181519</v>
      </c>
      <c r="J207">
        <f>'Waterfall Creek'!H62</f>
        <v>66.5</v>
      </c>
      <c r="K207">
        <f>'Waterfall Creek'!I62</f>
        <v>1588</v>
      </c>
      <c r="L207">
        <f>'Waterfall Creek'!J62</f>
        <v>30039</v>
      </c>
      <c r="M207">
        <f>'Waterfall Creek'!K62</f>
        <v>112</v>
      </c>
      <c r="N207">
        <f>'Waterfall Creek'!L62</f>
        <v>3581259</v>
      </c>
      <c r="O207">
        <f>'Waterfall Creek'!M62</f>
        <v>29.1</v>
      </c>
      <c r="P207">
        <f>'Waterfall Creek'!N62</f>
        <v>1043</v>
      </c>
      <c r="Q207">
        <f>'Waterfall Creek'!O62</f>
        <v>733</v>
      </c>
      <c r="R207">
        <f>'Waterfall Creek'!P62</f>
        <v>61</v>
      </c>
      <c r="S207">
        <f>'Waterfall Creek'!Q62</f>
        <v>47596</v>
      </c>
      <c r="T207">
        <f>'Waterfall Creek'!R62</f>
        <v>0.4</v>
      </c>
      <c r="U207">
        <f>'Waterfall Creek'!S62</f>
        <v>1186</v>
      </c>
      <c r="V207">
        <f>'Waterfall Creek'!T62</f>
        <v>1</v>
      </c>
      <c r="W207">
        <f>'Waterfall Creek'!U62</f>
        <v>1</v>
      </c>
      <c r="X207">
        <f>'Waterfall Creek'!V62</f>
        <v>1</v>
      </c>
      <c r="Y207">
        <f>'Waterfall Creek'!W62</f>
        <v>0</v>
      </c>
      <c r="Z207">
        <f>'Waterfall Creek'!X62</f>
        <v>1256</v>
      </c>
      <c r="AA207">
        <f>'Waterfall Creek'!Y62</f>
        <v>1</v>
      </c>
      <c r="AB207">
        <f>'Waterfall Creek'!Z62</f>
        <v>1</v>
      </c>
      <c r="AC207">
        <f>'Waterfall Creek'!AA62</f>
        <v>1</v>
      </c>
      <c r="AD207">
        <f>'Waterfall Creek'!AB62</f>
        <v>0</v>
      </c>
      <c r="AE207">
        <f>'Waterfall Creek'!AC62</f>
        <v>1440</v>
      </c>
      <c r="AF207">
        <f>'Waterfall Creek'!AD62</f>
        <v>525</v>
      </c>
      <c r="AG207">
        <f>'Waterfall Creek'!AE62</f>
        <v>111</v>
      </c>
      <c r="AH207">
        <f>'Waterfall Creek'!AF62</f>
        <v>62032</v>
      </c>
      <c r="AI207">
        <f>'Waterfall Creek'!AG62</f>
        <v>0.5</v>
      </c>
      <c r="AJ207">
        <f>'Waterfall Creek'!AH62</f>
        <v>1506</v>
      </c>
      <c r="AK207">
        <f>'Waterfall Creek'!AI62</f>
        <v>695</v>
      </c>
      <c r="AL207">
        <f>'Waterfall Creek'!AJ62</f>
        <v>33</v>
      </c>
      <c r="AM207">
        <f>'Waterfall Creek'!AK62</f>
        <v>24414</v>
      </c>
      <c r="AN207">
        <f>'Waterfall Creek'!AL62</f>
        <v>0.2</v>
      </c>
      <c r="AO207">
        <f>'Waterfall Creek'!AM62</f>
        <v>1582</v>
      </c>
      <c r="AP207">
        <f>'Waterfall Creek'!AN62</f>
        <v>651</v>
      </c>
      <c r="AQ207">
        <f>'Waterfall Creek'!AO62</f>
        <v>7</v>
      </c>
      <c r="AR207">
        <f>'Waterfall Creek'!AP62</f>
        <v>4851</v>
      </c>
      <c r="AS207">
        <f>'Waterfall Creek'!AQ62</f>
        <v>0</v>
      </c>
      <c r="AT207">
        <f>'Waterfall Creek'!AR62</f>
        <v>1724</v>
      </c>
      <c r="AU207">
        <f>'Waterfall Creek'!AS62</f>
        <v>4115</v>
      </c>
      <c r="AV207">
        <f>'Waterfall Creek'!AT62</f>
        <v>91</v>
      </c>
      <c r="AW207">
        <f>'Waterfall Creek'!AU62</f>
        <v>398606</v>
      </c>
      <c r="AX207">
        <f>'Waterfall Creek'!AV62</f>
        <v>3.2</v>
      </c>
    </row>
    <row r="208" spans="1:50">
      <c r="A208" t="str">
        <f>'Fortress Creek'!A2</f>
        <v>/Users/christophermarjo/Documents/Python/Projects/data/bushfire Raman/Fortress Creek/FCM 0 (1)</v>
      </c>
      <c r="B208" t="str">
        <f>MID(A208,71,14)</f>
        <v>Fortress Creek</v>
      </c>
      <c r="C208">
        <v>0</v>
      </c>
      <c r="D208" t="str">
        <f>'Fortress Creek'!B2</f>
        <v>18.60 counts</v>
      </c>
      <c r="E208">
        <f>'Fortress Creek'!C2</f>
        <v>0.987479</v>
      </c>
      <c r="F208">
        <f>'Fortress Creek'!D2</f>
        <v>1369</v>
      </c>
      <c r="G208">
        <f>'Fortress Creek'!E2</f>
        <v>10809</v>
      </c>
      <c r="H208">
        <f>'Fortress Creek'!F2</f>
        <v>336</v>
      </c>
      <c r="I208">
        <f>'Fortress Creek'!G2</f>
        <v>3865957</v>
      </c>
      <c r="J208">
        <f>'Fortress Creek'!H2</f>
        <v>68.8</v>
      </c>
      <c r="K208">
        <f>'Fortress Creek'!I2</f>
        <v>1588</v>
      </c>
      <c r="L208">
        <f>'Fortress Creek'!J2</f>
        <v>13093</v>
      </c>
      <c r="M208">
        <f>'Fortress Creek'!K2</f>
        <v>106</v>
      </c>
      <c r="N208">
        <f>'Fortress Creek'!L2</f>
        <v>1477329</v>
      </c>
      <c r="O208">
        <f>'Fortress Creek'!M2</f>
        <v>26.3</v>
      </c>
      <c r="P208">
        <f>'Fortress Creek'!N2</f>
        <v>1035</v>
      </c>
      <c r="Q208">
        <f>'Fortress Creek'!O2</f>
        <v>389</v>
      </c>
      <c r="R208">
        <f>'Fortress Creek'!P2</f>
        <v>51</v>
      </c>
      <c r="S208">
        <f>'Fortress Creek'!Q2</f>
        <v>21118</v>
      </c>
      <c r="T208">
        <f>'Fortress Creek'!R2</f>
        <v>0.4</v>
      </c>
      <c r="U208">
        <f>'Fortress Creek'!S2</f>
        <v>1154</v>
      </c>
      <c r="V208">
        <f>'Fortress Creek'!T2</f>
        <v>1</v>
      </c>
      <c r="W208">
        <f>'Fortress Creek'!U2</f>
        <v>1</v>
      </c>
      <c r="X208">
        <f>'Fortress Creek'!V2</f>
        <v>1</v>
      </c>
      <c r="Y208">
        <f>'Fortress Creek'!W2</f>
        <v>0</v>
      </c>
      <c r="Z208">
        <f>'Fortress Creek'!X2</f>
        <v>1270</v>
      </c>
      <c r="AA208">
        <f>'Fortress Creek'!Y2</f>
        <v>1</v>
      </c>
      <c r="AB208">
        <f>'Fortress Creek'!Z2</f>
        <v>1</v>
      </c>
      <c r="AC208">
        <f>'Fortress Creek'!AA2</f>
        <v>1</v>
      </c>
      <c r="AD208">
        <f>'Fortress Creek'!AB2</f>
        <v>0</v>
      </c>
      <c r="AE208">
        <f>'Fortress Creek'!AC2</f>
        <v>1456</v>
      </c>
      <c r="AF208">
        <f>'Fortress Creek'!AD2</f>
        <v>243</v>
      </c>
      <c r="AG208">
        <f>'Fortress Creek'!AE2</f>
        <v>95</v>
      </c>
      <c r="AH208">
        <f>'Fortress Creek'!AF2</f>
        <v>24573</v>
      </c>
      <c r="AI208">
        <f>'Fortress Creek'!AG2</f>
        <v>0.4</v>
      </c>
      <c r="AJ208">
        <f>'Fortress Creek'!AH2</f>
        <v>1492</v>
      </c>
      <c r="AK208">
        <f>'Fortress Creek'!AI2</f>
        <v>423</v>
      </c>
      <c r="AL208">
        <f>'Fortress Creek'!AJ2</f>
        <v>43</v>
      </c>
      <c r="AM208">
        <f>'Fortress Creek'!AK2</f>
        <v>19362</v>
      </c>
      <c r="AN208">
        <f>'Fortress Creek'!AL2</f>
        <v>0.3</v>
      </c>
      <c r="AO208">
        <f>'Fortress Creek'!AM2</f>
        <v>1592</v>
      </c>
      <c r="AP208">
        <f>'Fortress Creek'!AN2</f>
        <v>305</v>
      </c>
      <c r="AQ208">
        <f>'Fortress Creek'!AO2</f>
        <v>15</v>
      </c>
      <c r="AR208">
        <f>'Fortress Creek'!AP2</f>
        <v>4870</v>
      </c>
      <c r="AS208">
        <f>'Fortress Creek'!AQ2</f>
        <v>0.1</v>
      </c>
      <c r="AT208">
        <f>'Fortress Creek'!AR2</f>
        <v>1738</v>
      </c>
      <c r="AU208">
        <f>'Fortress Creek'!AS2</f>
        <v>1239</v>
      </c>
      <c r="AV208">
        <f>'Fortress Creek'!AT2</f>
        <v>155</v>
      </c>
      <c r="AW208">
        <f>'Fortress Creek'!AU2</f>
        <v>204426</v>
      </c>
      <c r="AX208">
        <f>'Fortress Creek'!AV2</f>
        <v>3.6</v>
      </c>
    </row>
    <row r="209" spans="1:50">
      <c r="A209" t="str">
        <f>'Fortress Creek'!A3</f>
        <v>/Users/christophermarjo/Documents/Python/Projects/data/bushfire Raman/Fortress Creek/FCM 0 (2)</v>
      </c>
      <c r="B209" t="str">
        <f t="shared" ref="B209:B264" si="3">MID(A209,71,14)</f>
        <v>Fortress Creek</v>
      </c>
      <c r="C209">
        <v>0</v>
      </c>
      <c r="D209" t="str">
        <f>'Fortress Creek'!B3</f>
        <v>21.66 counts</v>
      </c>
      <c r="E209">
        <f>'Fortress Creek'!C3</f>
        <v>0.99059600000000003</v>
      </c>
      <c r="F209">
        <f>'Fortress Creek'!D3</f>
        <v>1369</v>
      </c>
      <c r="G209">
        <f>'Fortress Creek'!E3</f>
        <v>14261</v>
      </c>
      <c r="H209">
        <f>'Fortress Creek'!F3</f>
        <v>336</v>
      </c>
      <c r="I209">
        <f>'Fortress Creek'!G3</f>
        <v>5100602</v>
      </c>
      <c r="J209">
        <f>'Fortress Creek'!H3</f>
        <v>68.099999999999994</v>
      </c>
      <c r="K209">
        <f>'Fortress Creek'!I3</f>
        <v>1588</v>
      </c>
      <c r="L209">
        <f>'Fortress Creek'!J3</f>
        <v>18185</v>
      </c>
      <c r="M209">
        <f>'Fortress Creek'!K3</f>
        <v>104</v>
      </c>
      <c r="N209">
        <f>'Fortress Creek'!L3</f>
        <v>2013163</v>
      </c>
      <c r="O209">
        <f>'Fortress Creek'!M3</f>
        <v>26.9</v>
      </c>
      <c r="P209">
        <f>'Fortress Creek'!N3</f>
        <v>1035</v>
      </c>
      <c r="Q209">
        <f>'Fortress Creek'!O3</f>
        <v>611</v>
      </c>
      <c r="R209">
        <f>'Fortress Creek'!P3</f>
        <v>71</v>
      </c>
      <c r="S209">
        <f>'Fortress Creek'!Q3</f>
        <v>46178</v>
      </c>
      <c r="T209">
        <f>'Fortress Creek'!R3</f>
        <v>0.6</v>
      </c>
      <c r="U209">
        <f>'Fortress Creek'!S3</f>
        <v>1154</v>
      </c>
      <c r="V209">
        <f>'Fortress Creek'!T3</f>
        <v>1</v>
      </c>
      <c r="W209">
        <f>'Fortress Creek'!U3</f>
        <v>1</v>
      </c>
      <c r="X209">
        <f>'Fortress Creek'!V3</f>
        <v>1</v>
      </c>
      <c r="Y209">
        <f>'Fortress Creek'!W3</f>
        <v>0</v>
      </c>
      <c r="Z209">
        <f>'Fortress Creek'!X3</f>
        <v>1270</v>
      </c>
      <c r="AA209">
        <f>'Fortress Creek'!Y3</f>
        <v>1</v>
      </c>
      <c r="AB209">
        <f>'Fortress Creek'!Z3</f>
        <v>1</v>
      </c>
      <c r="AC209">
        <f>'Fortress Creek'!AA3</f>
        <v>1</v>
      </c>
      <c r="AD209">
        <f>'Fortress Creek'!AB3</f>
        <v>0</v>
      </c>
      <c r="AE209">
        <f>'Fortress Creek'!AC3</f>
        <v>1456</v>
      </c>
      <c r="AF209">
        <f>'Fortress Creek'!AD3</f>
        <v>311</v>
      </c>
      <c r="AG209">
        <f>'Fortress Creek'!AE3</f>
        <v>101</v>
      </c>
      <c r="AH209">
        <f>'Fortress Creek'!AF3</f>
        <v>33436</v>
      </c>
      <c r="AI209">
        <f>'Fortress Creek'!AG3</f>
        <v>0.4</v>
      </c>
      <c r="AJ209">
        <f>'Fortress Creek'!AH3</f>
        <v>1500</v>
      </c>
      <c r="AK209">
        <f>'Fortress Creek'!AI3</f>
        <v>483</v>
      </c>
      <c r="AL209">
        <f>'Fortress Creek'!AJ3</f>
        <v>39</v>
      </c>
      <c r="AM209">
        <f>'Fortress Creek'!AK3</f>
        <v>20051</v>
      </c>
      <c r="AN209">
        <f>'Fortress Creek'!AL3</f>
        <v>0.3</v>
      </c>
      <c r="AO209">
        <f>'Fortress Creek'!AM3</f>
        <v>1598</v>
      </c>
      <c r="AP209">
        <f>'Fortress Creek'!AN3</f>
        <v>589</v>
      </c>
      <c r="AQ209">
        <f>'Fortress Creek'!AO3</f>
        <v>17</v>
      </c>
      <c r="AR209">
        <f>'Fortress Creek'!AP3</f>
        <v>10659</v>
      </c>
      <c r="AS209">
        <f>'Fortress Creek'!AQ3</f>
        <v>0.1</v>
      </c>
      <c r="AT209">
        <f>'Fortress Creek'!AR3</f>
        <v>1734</v>
      </c>
      <c r="AU209">
        <f>'Fortress Creek'!AS3</f>
        <v>1871</v>
      </c>
      <c r="AV209">
        <f>'Fortress Creek'!AT3</f>
        <v>133</v>
      </c>
      <c r="AW209">
        <f>'Fortress Creek'!AU3</f>
        <v>264885</v>
      </c>
      <c r="AX209">
        <f>'Fortress Creek'!AV3</f>
        <v>3.5</v>
      </c>
    </row>
    <row r="210" spans="1:50">
      <c r="A210" t="str">
        <f>'Fortress Creek'!A4</f>
        <v>/Users/christophermarjo/Documents/Python/Projects/data/bushfire Raman/Fortress Creek/FCM 0 (3)</v>
      </c>
      <c r="B210" t="str">
        <f t="shared" si="3"/>
        <v>Fortress Creek</v>
      </c>
      <c r="C210">
        <v>0</v>
      </c>
      <c r="D210" t="str">
        <f>'Fortress Creek'!B4</f>
        <v>21.66 counts</v>
      </c>
      <c r="E210">
        <f>'Fortress Creek'!C4</f>
        <v>0.99059600000000003</v>
      </c>
      <c r="F210">
        <f>'Fortress Creek'!D4</f>
        <v>1369</v>
      </c>
      <c r="G210">
        <f>'Fortress Creek'!E4</f>
        <v>14261</v>
      </c>
      <c r="H210">
        <f>'Fortress Creek'!F4</f>
        <v>336</v>
      </c>
      <c r="I210">
        <f>'Fortress Creek'!G4</f>
        <v>5100602</v>
      </c>
      <c r="J210">
        <f>'Fortress Creek'!H4</f>
        <v>68.099999999999994</v>
      </c>
      <c r="K210">
        <f>'Fortress Creek'!I4</f>
        <v>1588</v>
      </c>
      <c r="L210">
        <f>'Fortress Creek'!J4</f>
        <v>18185</v>
      </c>
      <c r="M210">
        <f>'Fortress Creek'!K4</f>
        <v>104</v>
      </c>
      <c r="N210">
        <f>'Fortress Creek'!L4</f>
        <v>2013163</v>
      </c>
      <c r="O210">
        <f>'Fortress Creek'!M4</f>
        <v>26.9</v>
      </c>
      <c r="P210">
        <f>'Fortress Creek'!N4</f>
        <v>1035</v>
      </c>
      <c r="Q210">
        <f>'Fortress Creek'!O4</f>
        <v>611</v>
      </c>
      <c r="R210">
        <f>'Fortress Creek'!P4</f>
        <v>71</v>
      </c>
      <c r="S210">
        <f>'Fortress Creek'!Q4</f>
        <v>46178</v>
      </c>
      <c r="T210">
        <f>'Fortress Creek'!R4</f>
        <v>0.6</v>
      </c>
      <c r="U210">
        <f>'Fortress Creek'!S4</f>
        <v>1154</v>
      </c>
      <c r="V210">
        <f>'Fortress Creek'!T4</f>
        <v>1</v>
      </c>
      <c r="W210">
        <f>'Fortress Creek'!U4</f>
        <v>1</v>
      </c>
      <c r="X210">
        <f>'Fortress Creek'!V4</f>
        <v>1</v>
      </c>
      <c r="Y210">
        <f>'Fortress Creek'!W4</f>
        <v>0</v>
      </c>
      <c r="Z210">
        <f>'Fortress Creek'!X4</f>
        <v>1270</v>
      </c>
      <c r="AA210">
        <f>'Fortress Creek'!Y4</f>
        <v>1</v>
      </c>
      <c r="AB210">
        <f>'Fortress Creek'!Z4</f>
        <v>1</v>
      </c>
      <c r="AC210">
        <f>'Fortress Creek'!AA4</f>
        <v>1</v>
      </c>
      <c r="AD210">
        <f>'Fortress Creek'!AB4</f>
        <v>0</v>
      </c>
      <c r="AE210">
        <f>'Fortress Creek'!AC4</f>
        <v>1456</v>
      </c>
      <c r="AF210">
        <f>'Fortress Creek'!AD4</f>
        <v>311</v>
      </c>
      <c r="AG210">
        <f>'Fortress Creek'!AE4</f>
        <v>101</v>
      </c>
      <c r="AH210">
        <f>'Fortress Creek'!AF4</f>
        <v>33436</v>
      </c>
      <c r="AI210">
        <f>'Fortress Creek'!AG4</f>
        <v>0.4</v>
      </c>
      <c r="AJ210">
        <f>'Fortress Creek'!AH4</f>
        <v>1500</v>
      </c>
      <c r="AK210">
        <f>'Fortress Creek'!AI4</f>
        <v>483</v>
      </c>
      <c r="AL210">
        <f>'Fortress Creek'!AJ4</f>
        <v>39</v>
      </c>
      <c r="AM210">
        <f>'Fortress Creek'!AK4</f>
        <v>20051</v>
      </c>
      <c r="AN210">
        <f>'Fortress Creek'!AL4</f>
        <v>0.3</v>
      </c>
      <c r="AO210">
        <f>'Fortress Creek'!AM4</f>
        <v>1598</v>
      </c>
      <c r="AP210">
        <f>'Fortress Creek'!AN4</f>
        <v>589</v>
      </c>
      <c r="AQ210">
        <f>'Fortress Creek'!AO4</f>
        <v>17</v>
      </c>
      <c r="AR210">
        <f>'Fortress Creek'!AP4</f>
        <v>10659</v>
      </c>
      <c r="AS210">
        <f>'Fortress Creek'!AQ4</f>
        <v>0.1</v>
      </c>
      <c r="AT210">
        <f>'Fortress Creek'!AR4</f>
        <v>1734</v>
      </c>
      <c r="AU210">
        <f>'Fortress Creek'!AS4</f>
        <v>1871</v>
      </c>
      <c r="AV210">
        <f>'Fortress Creek'!AT4</f>
        <v>133</v>
      </c>
      <c r="AW210">
        <f>'Fortress Creek'!AU4</f>
        <v>264885</v>
      </c>
      <c r="AX210">
        <f>'Fortress Creek'!AV4</f>
        <v>3.5</v>
      </c>
    </row>
    <row r="211" spans="1:50">
      <c r="A211" t="str">
        <f>'Fortress Creek'!A5</f>
        <v>/Users/christophermarjo/Documents/Python/Projects/data/bushfire Raman/Fortress Creek/FCM 0 (4)</v>
      </c>
      <c r="B211" t="str">
        <f t="shared" si="3"/>
        <v>Fortress Creek</v>
      </c>
      <c r="C211">
        <v>0</v>
      </c>
      <c r="D211" t="str">
        <f>'Fortress Creek'!B5</f>
        <v>21.53 counts</v>
      </c>
      <c r="E211">
        <f>'Fortress Creek'!C5</f>
        <v>0.98953000000000002</v>
      </c>
      <c r="F211">
        <f>'Fortress Creek'!D5</f>
        <v>1369</v>
      </c>
      <c r="G211">
        <f>'Fortress Creek'!E5</f>
        <v>13359</v>
      </c>
      <c r="H211">
        <f>'Fortress Creek'!F5</f>
        <v>338</v>
      </c>
      <c r="I211">
        <f>'Fortress Creek'!G5</f>
        <v>4806433</v>
      </c>
      <c r="J211">
        <f>'Fortress Creek'!H5</f>
        <v>68.400000000000006</v>
      </c>
      <c r="K211">
        <f>'Fortress Creek'!I5</f>
        <v>1588</v>
      </c>
      <c r="L211">
        <f>'Fortress Creek'!J5</f>
        <v>17109</v>
      </c>
      <c r="M211">
        <f>'Fortress Creek'!K5</f>
        <v>104</v>
      </c>
      <c r="N211">
        <f>'Fortress Creek'!L5</f>
        <v>1894045</v>
      </c>
      <c r="O211">
        <f>'Fortress Creek'!M5</f>
        <v>26.9</v>
      </c>
      <c r="P211">
        <f>'Fortress Creek'!N5</f>
        <v>1035</v>
      </c>
      <c r="Q211">
        <f>'Fortress Creek'!O5</f>
        <v>533</v>
      </c>
      <c r="R211">
        <f>'Fortress Creek'!P5</f>
        <v>55</v>
      </c>
      <c r="S211">
        <f>'Fortress Creek'!Q5</f>
        <v>31205</v>
      </c>
      <c r="T211">
        <f>'Fortress Creek'!R5</f>
        <v>0.4</v>
      </c>
      <c r="U211">
        <f>'Fortress Creek'!S5</f>
        <v>1154</v>
      </c>
      <c r="V211">
        <f>'Fortress Creek'!T5</f>
        <v>1</v>
      </c>
      <c r="W211">
        <f>'Fortress Creek'!U5</f>
        <v>1</v>
      </c>
      <c r="X211">
        <f>'Fortress Creek'!V5</f>
        <v>1</v>
      </c>
      <c r="Y211">
        <f>'Fortress Creek'!W5</f>
        <v>0</v>
      </c>
      <c r="Z211">
        <f>'Fortress Creek'!X5</f>
        <v>1270</v>
      </c>
      <c r="AA211">
        <f>'Fortress Creek'!Y5</f>
        <v>1</v>
      </c>
      <c r="AB211">
        <f>'Fortress Creek'!Z5</f>
        <v>1</v>
      </c>
      <c r="AC211">
        <f>'Fortress Creek'!AA5</f>
        <v>1</v>
      </c>
      <c r="AD211">
        <f>'Fortress Creek'!AB5</f>
        <v>0</v>
      </c>
      <c r="AE211">
        <f>'Fortress Creek'!AC5</f>
        <v>1456</v>
      </c>
      <c r="AF211">
        <f>'Fortress Creek'!AD5</f>
        <v>237</v>
      </c>
      <c r="AG211">
        <f>'Fortress Creek'!AE5</f>
        <v>103</v>
      </c>
      <c r="AH211">
        <f>'Fortress Creek'!AF5</f>
        <v>25985</v>
      </c>
      <c r="AI211">
        <f>'Fortress Creek'!AG5</f>
        <v>0.4</v>
      </c>
      <c r="AJ211">
        <f>'Fortress Creek'!AH5</f>
        <v>1496</v>
      </c>
      <c r="AK211">
        <f>'Fortress Creek'!AI5</f>
        <v>577</v>
      </c>
      <c r="AL211">
        <f>'Fortress Creek'!AJ5</f>
        <v>43</v>
      </c>
      <c r="AM211">
        <f>'Fortress Creek'!AK5</f>
        <v>26410</v>
      </c>
      <c r="AN211">
        <f>'Fortress Creek'!AL5</f>
        <v>0.4</v>
      </c>
      <c r="AO211">
        <f>'Fortress Creek'!AM5</f>
        <v>1584</v>
      </c>
      <c r="AP211">
        <f>'Fortress Creek'!AN5</f>
        <v>807</v>
      </c>
      <c r="AQ211">
        <f>'Fortress Creek'!AO5</f>
        <v>3</v>
      </c>
      <c r="AR211">
        <f>'Fortress Creek'!AP5</f>
        <v>2577</v>
      </c>
      <c r="AS211">
        <f>'Fortress Creek'!AQ5</f>
        <v>0</v>
      </c>
      <c r="AT211">
        <f>'Fortress Creek'!AR5</f>
        <v>1740</v>
      </c>
      <c r="AU211">
        <f>'Fortress Creek'!AS5</f>
        <v>1533</v>
      </c>
      <c r="AV211">
        <f>'Fortress Creek'!AT5</f>
        <v>149</v>
      </c>
      <c r="AW211">
        <f>'Fortress Creek'!AU5</f>
        <v>243142</v>
      </c>
      <c r="AX211">
        <f>'Fortress Creek'!AV5</f>
        <v>3.5</v>
      </c>
    </row>
    <row r="212" spans="1:50">
      <c r="A212" t="str">
        <f>'Fortress Creek'!A6</f>
        <v>/Users/christophermarjo/Documents/Python/Projects/data/bushfire Raman/Fortress Creek/FCM 0.5 (1)</v>
      </c>
      <c r="B212" t="str">
        <f t="shared" si="3"/>
        <v>Fortress Creek</v>
      </c>
      <c r="C212">
        <v>0.5</v>
      </c>
      <c r="D212" t="str">
        <f>'Fortress Creek'!B6</f>
        <v>16.23 counts</v>
      </c>
      <c r="E212">
        <f>'Fortress Creek'!C6</f>
        <v>0.99155499999999996</v>
      </c>
      <c r="F212">
        <f>'Fortress Creek'!D6</f>
        <v>1369</v>
      </c>
      <c r="G212">
        <f>'Fortress Creek'!E6</f>
        <v>11223</v>
      </c>
      <c r="H212">
        <f>'Fortress Creek'!F6</f>
        <v>340</v>
      </c>
      <c r="I212">
        <f>'Fortress Creek'!G6</f>
        <v>4061815</v>
      </c>
      <c r="J212">
        <f>'Fortress Creek'!H6</f>
        <v>67.900000000000006</v>
      </c>
      <c r="K212">
        <f>'Fortress Creek'!I6</f>
        <v>1584</v>
      </c>
      <c r="L212">
        <f>'Fortress Creek'!J6</f>
        <v>12747</v>
      </c>
      <c r="M212">
        <f>'Fortress Creek'!K6</f>
        <v>124</v>
      </c>
      <c r="N212">
        <f>'Fortress Creek'!L6</f>
        <v>1682526</v>
      </c>
      <c r="O212">
        <f>'Fortress Creek'!M6</f>
        <v>28.1</v>
      </c>
      <c r="P212">
        <f>'Fortress Creek'!N6</f>
        <v>1061</v>
      </c>
      <c r="Q212">
        <f>'Fortress Creek'!O6</f>
        <v>341</v>
      </c>
      <c r="R212">
        <f>'Fortress Creek'!P6</f>
        <v>55</v>
      </c>
      <c r="S212">
        <f>'Fortress Creek'!Q6</f>
        <v>19964</v>
      </c>
      <c r="T212">
        <f>'Fortress Creek'!R6</f>
        <v>0.3</v>
      </c>
      <c r="U212">
        <f>'Fortress Creek'!S6</f>
        <v>1154</v>
      </c>
      <c r="V212">
        <f>'Fortress Creek'!T6</f>
        <v>1</v>
      </c>
      <c r="W212">
        <f>'Fortress Creek'!U6</f>
        <v>1</v>
      </c>
      <c r="X212">
        <f>'Fortress Creek'!V6</f>
        <v>1</v>
      </c>
      <c r="Y212">
        <f>'Fortress Creek'!W6</f>
        <v>0</v>
      </c>
      <c r="Z212">
        <f>'Fortress Creek'!X6</f>
        <v>1270</v>
      </c>
      <c r="AA212">
        <f>'Fortress Creek'!Y6</f>
        <v>1</v>
      </c>
      <c r="AB212">
        <f>'Fortress Creek'!Z6</f>
        <v>1</v>
      </c>
      <c r="AC212">
        <f>'Fortress Creek'!AA6</f>
        <v>1</v>
      </c>
      <c r="AD212">
        <f>'Fortress Creek'!AB6</f>
        <v>0</v>
      </c>
      <c r="AE212">
        <f>'Fortress Creek'!AC6</f>
        <v>1456</v>
      </c>
      <c r="AF212">
        <f>'Fortress Creek'!AD6</f>
        <v>637</v>
      </c>
      <c r="AG212">
        <f>'Fortress Creek'!AE6</f>
        <v>59</v>
      </c>
      <c r="AH212">
        <f>'Fortress Creek'!AF6</f>
        <v>40006</v>
      </c>
      <c r="AI212">
        <f>'Fortress Creek'!AG6</f>
        <v>0.7</v>
      </c>
      <c r="AJ212">
        <f>'Fortress Creek'!AH6</f>
        <v>1496</v>
      </c>
      <c r="AK212">
        <f>'Fortress Creek'!AI6</f>
        <v>1</v>
      </c>
      <c r="AL212">
        <f>'Fortress Creek'!AJ6</f>
        <v>17</v>
      </c>
      <c r="AM212">
        <f>'Fortress Creek'!AK6</f>
        <v>18</v>
      </c>
      <c r="AN212">
        <f>'Fortress Creek'!AL6</f>
        <v>0</v>
      </c>
      <c r="AO212">
        <f>'Fortress Creek'!AM6</f>
        <v>1596</v>
      </c>
      <c r="AP212">
        <f>'Fortress Creek'!AN6</f>
        <v>575</v>
      </c>
      <c r="AQ212">
        <f>'Fortress Creek'!AO6</f>
        <v>21</v>
      </c>
      <c r="AR212">
        <f>'Fortress Creek'!AP6</f>
        <v>12853</v>
      </c>
      <c r="AS212">
        <f>'Fortress Creek'!AQ6</f>
        <v>0.2</v>
      </c>
      <c r="AT212">
        <f>'Fortress Creek'!AR6</f>
        <v>1748</v>
      </c>
      <c r="AU212">
        <f>'Fortress Creek'!AS6</f>
        <v>1095</v>
      </c>
      <c r="AV212">
        <f>'Fortress Creek'!AT6</f>
        <v>139</v>
      </c>
      <c r="AW212">
        <f>'Fortress Creek'!AU6</f>
        <v>162017</v>
      </c>
      <c r="AX212">
        <f>'Fortress Creek'!AV6</f>
        <v>2.7</v>
      </c>
    </row>
    <row r="213" spans="1:50">
      <c r="A213" t="str">
        <f>'Fortress Creek'!A7</f>
        <v>/Users/christophermarjo/Documents/Python/Projects/data/bushfire Raman/Fortress Creek/FCM 0.5 (2 )</v>
      </c>
      <c r="B213" t="str">
        <f t="shared" si="3"/>
        <v>Fortress Creek</v>
      </c>
      <c r="C213">
        <v>0.5</v>
      </c>
      <c r="D213" t="str">
        <f>'Fortress Creek'!B7</f>
        <v>21.71 counts</v>
      </c>
      <c r="E213">
        <f>'Fortress Creek'!C7</f>
        <v>0.98895100000000002</v>
      </c>
      <c r="F213">
        <f>'Fortress Creek'!D7</f>
        <v>1369</v>
      </c>
      <c r="G213">
        <f>'Fortress Creek'!E7</f>
        <v>13081</v>
      </c>
      <c r="H213">
        <f>'Fortress Creek'!F7</f>
        <v>344</v>
      </c>
      <c r="I213">
        <f>'Fortress Creek'!G7</f>
        <v>4789957</v>
      </c>
      <c r="J213">
        <f>'Fortress Creek'!H7</f>
        <v>68.3</v>
      </c>
      <c r="K213">
        <f>'Fortress Creek'!I7</f>
        <v>1586</v>
      </c>
      <c r="L213">
        <f>'Fortress Creek'!J7</f>
        <v>15793</v>
      </c>
      <c r="M213">
        <f>'Fortress Creek'!K7</f>
        <v>116</v>
      </c>
      <c r="N213">
        <f>'Fortress Creek'!L7</f>
        <v>1950091</v>
      </c>
      <c r="O213">
        <f>'Fortress Creek'!M7</f>
        <v>27.8</v>
      </c>
      <c r="P213">
        <f>'Fortress Creek'!N7</f>
        <v>1051</v>
      </c>
      <c r="Q213">
        <f>'Fortress Creek'!O7</f>
        <v>293</v>
      </c>
      <c r="R213">
        <f>'Fortress Creek'!P7</f>
        <v>47</v>
      </c>
      <c r="S213">
        <f>'Fortress Creek'!Q7</f>
        <v>14659</v>
      </c>
      <c r="T213">
        <f>'Fortress Creek'!R7</f>
        <v>0.2</v>
      </c>
      <c r="U213">
        <f>'Fortress Creek'!S7</f>
        <v>1154</v>
      </c>
      <c r="V213">
        <f>'Fortress Creek'!T7</f>
        <v>1</v>
      </c>
      <c r="W213">
        <f>'Fortress Creek'!U7</f>
        <v>1</v>
      </c>
      <c r="X213">
        <f>'Fortress Creek'!V7</f>
        <v>1</v>
      </c>
      <c r="Y213">
        <f>'Fortress Creek'!W7</f>
        <v>0</v>
      </c>
      <c r="Z213">
        <f>'Fortress Creek'!X7</f>
        <v>1270</v>
      </c>
      <c r="AA213">
        <f>'Fortress Creek'!Y7</f>
        <v>1</v>
      </c>
      <c r="AB213">
        <f>'Fortress Creek'!Z7</f>
        <v>1</v>
      </c>
      <c r="AC213">
        <f>'Fortress Creek'!AA7</f>
        <v>1</v>
      </c>
      <c r="AD213">
        <f>'Fortress Creek'!AB7</f>
        <v>0</v>
      </c>
      <c r="AE213">
        <f>'Fortress Creek'!AC7</f>
        <v>1456</v>
      </c>
      <c r="AF213">
        <f>'Fortress Creek'!AD7</f>
        <v>751</v>
      </c>
      <c r="AG213">
        <f>'Fortress Creek'!AE7</f>
        <v>53</v>
      </c>
      <c r="AH213">
        <f>'Fortress Creek'!AF7</f>
        <v>42369</v>
      </c>
      <c r="AI213">
        <f>'Fortress Creek'!AG7</f>
        <v>0.6</v>
      </c>
      <c r="AJ213">
        <f>'Fortress Creek'!AH7</f>
        <v>1498</v>
      </c>
      <c r="AK213">
        <f>'Fortress Creek'!AI7</f>
        <v>263</v>
      </c>
      <c r="AL213">
        <f>'Fortress Creek'!AJ7</f>
        <v>29</v>
      </c>
      <c r="AM213">
        <f>'Fortress Creek'!AK7</f>
        <v>8119</v>
      </c>
      <c r="AN213">
        <f>'Fortress Creek'!AL7</f>
        <v>0.1</v>
      </c>
      <c r="AO213">
        <f>'Fortress Creek'!AM7</f>
        <v>1592</v>
      </c>
      <c r="AP213">
        <f>'Fortress Creek'!AN7</f>
        <v>191</v>
      </c>
      <c r="AQ213">
        <f>'Fortress Creek'!AO7</f>
        <v>3</v>
      </c>
      <c r="AR213">
        <f>'Fortress Creek'!AP7</f>
        <v>610</v>
      </c>
      <c r="AS213">
        <f>'Fortress Creek'!AQ7</f>
        <v>0</v>
      </c>
      <c r="AT213">
        <f>'Fortress Creek'!AR7</f>
        <v>1746</v>
      </c>
      <c r="AU213">
        <f>'Fortress Creek'!AS7</f>
        <v>1389</v>
      </c>
      <c r="AV213">
        <f>'Fortress Creek'!AT7</f>
        <v>137</v>
      </c>
      <c r="AW213">
        <f>'Fortress Creek'!AU7</f>
        <v>202561</v>
      </c>
      <c r="AX213">
        <f>'Fortress Creek'!AV7</f>
        <v>2.9</v>
      </c>
    </row>
    <row r="214" spans="1:50">
      <c r="A214" t="str">
        <f>'Fortress Creek'!A8</f>
        <v>/Users/christophermarjo/Documents/Python/Projects/data/bushfire Raman/Fortress Creek/FCM 0.5 (3)</v>
      </c>
      <c r="B214" t="str">
        <f t="shared" si="3"/>
        <v>Fortress Creek</v>
      </c>
      <c r="C214">
        <v>0.5</v>
      </c>
      <c r="D214" t="str">
        <f>'Fortress Creek'!B8</f>
        <v>11.05 counts</v>
      </c>
      <c r="E214">
        <f>'Fortress Creek'!C8</f>
        <v>0.99091499999999999</v>
      </c>
      <c r="F214">
        <f>'Fortress Creek'!D8</f>
        <v>1369</v>
      </c>
      <c r="G214">
        <f>'Fortress Creek'!E8</f>
        <v>7425</v>
      </c>
      <c r="H214">
        <f>'Fortress Creek'!F8</f>
        <v>338</v>
      </c>
      <c r="I214">
        <f>'Fortress Creek'!G8</f>
        <v>2671440</v>
      </c>
      <c r="J214">
        <f>'Fortress Creek'!H8</f>
        <v>69</v>
      </c>
      <c r="K214">
        <f>'Fortress Creek'!I8</f>
        <v>1584</v>
      </c>
      <c r="L214">
        <f>'Fortress Creek'!J8</f>
        <v>8557</v>
      </c>
      <c r="M214">
        <f>'Fortress Creek'!K8</f>
        <v>116</v>
      </c>
      <c r="N214">
        <f>'Fortress Creek'!L8</f>
        <v>1056603</v>
      </c>
      <c r="O214">
        <f>'Fortress Creek'!M8</f>
        <v>27.3</v>
      </c>
      <c r="P214">
        <f>'Fortress Creek'!N8</f>
        <v>1037</v>
      </c>
      <c r="Q214">
        <f>'Fortress Creek'!O8</f>
        <v>319</v>
      </c>
      <c r="R214">
        <f>'Fortress Creek'!P8</f>
        <v>61</v>
      </c>
      <c r="S214">
        <f>'Fortress Creek'!Q8</f>
        <v>20713</v>
      </c>
      <c r="T214">
        <f>'Fortress Creek'!R8</f>
        <v>0.5</v>
      </c>
      <c r="U214">
        <f>'Fortress Creek'!S8</f>
        <v>1154</v>
      </c>
      <c r="V214">
        <f>'Fortress Creek'!T8</f>
        <v>1</v>
      </c>
      <c r="W214">
        <f>'Fortress Creek'!U8</f>
        <v>1</v>
      </c>
      <c r="X214">
        <f>'Fortress Creek'!V8</f>
        <v>1</v>
      </c>
      <c r="Y214">
        <f>'Fortress Creek'!W8</f>
        <v>0</v>
      </c>
      <c r="Z214">
        <f>'Fortress Creek'!X8</f>
        <v>1270</v>
      </c>
      <c r="AA214">
        <f>'Fortress Creek'!Y8</f>
        <v>1</v>
      </c>
      <c r="AB214">
        <f>'Fortress Creek'!Z8</f>
        <v>1</v>
      </c>
      <c r="AC214">
        <f>'Fortress Creek'!AA8</f>
        <v>1</v>
      </c>
      <c r="AD214">
        <f>'Fortress Creek'!AB8</f>
        <v>0</v>
      </c>
      <c r="AE214">
        <f>'Fortress Creek'!AC8</f>
        <v>1456</v>
      </c>
      <c r="AF214">
        <f>'Fortress Creek'!AD8</f>
        <v>387</v>
      </c>
      <c r="AG214">
        <f>'Fortress Creek'!AE8</f>
        <v>67</v>
      </c>
      <c r="AH214">
        <f>'Fortress Creek'!AF8</f>
        <v>27601</v>
      </c>
      <c r="AI214">
        <f>'Fortress Creek'!AG8</f>
        <v>0.7</v>
      </c>
      <c r="AJ214">
        <f>'Fortress Creek'!AH8</f>
        <v>1496</v>
      </c>
      <c r="AK214">
        <f>'Fortress Creek'!AI8</f>
        <v>223</v>
      </c>
      <c r="AL214">
        <f>'Fortress Creek'!AJ8</f>
        <v>39</v>
      </c>
      <c r="AM214">
        <f>'Fortress Creek'!AK8</f>
        <v>9258</v>
      </c>
      <c r="AN214">
        <f>'Fortress Creek'!AL8</f>
        <v>0.2</v>
      </c>
      <c r="AO214">
        <f>'Fortress Creek'!AM8</f>
        <v>1596</v>
      </c>
      <c r="AP214">
        <f>'Fortress Creek'!AN8</f>
        <v>41</v>
      </c>
      <c r="AQ214">
        <f>'Fortress Creek'!AO8</f>
        <v>21</v>
      </c>
      <c r="AR214">
        <f>'Fortress Creek'!AP8</f>
        <v>917</v>
      </c>
      <c r="AS214">
        <f>'Fortress Creek'!AQ8</f>
        <v>0</v>
      </c>
      <c r="AT214">
        <f>'Fortress Creek'!AR8</f>
        <v>1734</v>
      </c>
      <c r="AU214">
        <f>'Fortress Creek'!AS8</f>
        <v>779</v>
      </c>
      <c r="AV214">
        <f>'Fortress Creek'!AT8</f>
        <v>103</v>
      </c>
      <c r="AW214">
        <f>'Fortress Creek'!AU8</f>
        <v>85410</v>
      </c>
      <c r="AX214">
        <f>'Fortress Creek'!AV8</f>
        <v>2.2000000000000002</v>
      </c>
    </row>
    <row r="215" spans="1:50">
      <c r="A215" t="str">
        <f>'Fortress Creek'!A9</f>
        <v>/Users/christophermarjo/Documents/Python/Projects/data/bushfire Raman/Fortress Creek/FCM 1.5 (1)</v>
      </c>
      <c r="B215" t="str">
        <f t="shared" si="3"/>
        <v>Fortress Creek</v>
      </c>
      <c r="C215">
        <v>1.5</v>
      </c>
      <c r="D215" t="str">
        <f>'Fortress Creek'!B9</f>
        <v>9.01 counts</v>
      </c>
      <c r="E215">
        <f>'Fortress Creek'!C9</f>
        <v>0.99125700000000005</v>
      </c>
      <c r="F215">
        <f>'Fortress Creek'!D9</f>
        <v>1369</v>
      </c>
      <c r="G215">
        <f>'Fortress Creek'!E9</f>
        <v>6353</v>
      </c>
      <c r="H215">
        <f>'Fortress Creek'!F9</f>
        <v>318</v>
      </c>
      <c r="I215">
        <f>'Fortress Creek'!G9</f>
        <v>2150494</v>
      </c>
      <c r="J215">
        <f>'Fortress Creek'!H9</f>
        <v>68.7</v>
      </c>
      <c r="K215">
        <f>'Fortress Creek'!I9</f>
        <v>1592</v>
      </c>
      <c r="L215">
        <f>'Fortress Creek'!J9</f>
        <v>7577</v>
      </c>
      <c r="M215">
        <f>'Fortress Creek'!K9</f>
        <v>100</v>
      </c>
      <c r="N215">
        <f>'Fortress Creek'!L9</f>
        <v>806547</v>
      </c>
      <c r="O215">
        <f>'Fortress Creek'!M9</f>
        <v>25.8</v>
      </c>
      <c r="P215">
        <f>'Fortress Creek'!N9</f>
        <v>1031</v>
      </c>
      <c r="Q215">
        <f>'Fortress Creek'!O9</f>
        <v>255</v>
      </c>
      <c r="R215">
        <f>'Fortress Creek'!P9</f>
        <v>57</v>
      </c>
      <c r="S215">
        <f>'Fortress Creek'!Q9</f>
        <v>15472</v>
      </c>
      <c r="T215">
        <f>'Fortress Creek'!R9</f>
        <v>0.5</v>
      </c>
      <c r="U215">
        <f>'Fortress Creek'!S9</f>
        <v>1152</v>
      </c>
      <c r="V215">
        <f>'Fortress Creek'!T9</f>
        <v>129</v>
      </c>
      <c r="W215">
        <f>'Fortress Creek'!U9</f>
        <v>1</v>
      </c>
      <c r="X215">
        <f>'Fortress Creek'!V9</f>
        <v>137</v>
      </c>
      <c r="Y215">
        <f>'Fortress Creek'!W9</f>
        <v>0</v>
      </c>
      <c r="Z215">
        <f>'Fortress Creek'!X9</f>
        <v>1270</v>
      </c>
      <c r="AA215">
        <f>'Fortress Creek'!Y9</f>
        <v>1</v>
      </c>
      <c r="AB215">
        <f>'Fortress Creek'!Z9</f>
        <v>1</v>
      </c>
      <c r="AC215">
        <f>'Fortress Creek'!AA9</f>
        <v>1</v>
      </c>
      <c r="AD215">
        <f>'Fortress Creek'!AB9</f>
        <v>0</v>
      </c>
      <c r="AE215">
        <f>'Fortress Creek'!AC9</f>
        <v>1402</v>
      </c>
      <c r="AF215">
        <f>'Fortress Creek'!AD9</f>
        <v>5</v>
      </c>
      <c r="AG215">
        <f>'Fortress Creek'!AE9</f>
        <v>1</v>
      </c>
      <c r="AH215">
        <f>'Fortress Creek'!AF9</f>
        <v>5</v>
      </c>
      <c r="AI215">
        <f>'Fortress Creek'!AG9</f>
        <v>0</v>
      </c>
      <c r="AJ215">
        <f>'Fortress Creek'!AH9</f>
        <v>1500</v>
      </c>
      <c r="AK215">
        <f>'Fortress Creek'!AI9</f>
        <v>183</v>
      </c>
      <c r="AL215">
        <f>'Fortress Creek'!AJ9</f>
        <v>33</v>
      </c>
      <c r="AM215">
        <f>'Fortress Creek'!AK9</f>
        <v>6428</v>
      </c>
      <c r="AN215">
        <f>'Fortress Creek'!AL9</f>
        <v>0.2</v>
      </c>
      <c r="AO215">
        <f>'Fortress Creek'!AM9</f>
        <v>1594</v>
      </c>
      <c r="AP215">
        <f>'Fortress Creek'!AN9</f>
        <v>995</v>
      </c>
      <c r="AQ215">
        <f>'Fortress Creek'!AO9</f>
        <v>31</v>
      </c>
      <c r="AR215">
        <f>'Fortress Creek'!AP9</f>
        <v>32833</v>
      </c>
      <c r="AS215">
        <f>'Fortress Creek'!AQ9</f>
        <v>1</v>
      </c>
      <c r="AT215">
        <f>'Fortress Creek'!AR9</f>
        <v>1730</v>
      </c>
      <c r="AU215">
        <f>'Fortress Creek'!AS9</f>
        <v>817</v>
      </c>
      <c r="AV215">
        <f>'Fortress Creek'!AT9</f>
        <v>135</v>
      </c>
      <c r="AW215">
        <f>'Fortress Creek'!AU9</f>
        <v>117405</v>
      </c>
      <c r="AX215">
        <f>'Fortress Creek'!AV9</f>
        <v>3.8</v>
      </c>
    </row>
    <row r="216" spans="1:50">
      <c r="A216" t="str">
        <f>'Fortress Creek'!A10</f>
        <v>/Users/christophermarjo/Documents/Python/Projects/data/bushfire Raman/Fortress Creek/FCM 1.5 (2)</v>
      </c>
      <c r="B216" t="str">
        <f t="shared" si="3"/>
        <v>Fortress Creek</v>
      </c>
      <c r="C216">
        <v>1.5</v>
      </c>
      <c r="D216" t="str">
        <f>'Fortress Creek'!B10</f>
        <v>8.43 counts</v>
      </c>
      <c r="E216">
        <f>'Fortress Creek'!C10</f>
        <v>0.99158599999999997</v>
      </c>
      <c r="F216">
        <f>'Fortress Creek'!D10</f>
        <v>1369</v>
      </c>
      <c r="G216">
        <f>'Fortress Creek'!E10</f>
        <v>6167</v>
      </c>
      <c r="H216">
        <f>'Fortress Creek'!F10</f>
        <v>328</v>
      </c>
      <c r="I216">
        <f>'Fortress Creek'!G10</f>
        <v>2153178</v>
      </c>
      <c r="J216">
        <f>'Fortress Creek'!H10</f>
        <v>70.3</v>
      </c>
      <c r="K216">
        <f>'Fortress Creek'!I10</f>
        <v>1590</v>
      </c>
      <c r="L216">
        <f>'Fortress Creek'!J10</f>
        <v>7095</v>
      </c>
      <c r="M216">
        <f>'Fortress Creek'!K10</f>
        <v>100</v>
      </c>
      <c r="N216">
        <f>'Fortress Creek'!L10</f>
        <v>755239</v>
      </c>
      <c r="O216">
        <f>'Fortress Creek'!M10</f>
        <v>24.7</v>
      </c>
      <c r="P216">
        <f>'Fortress Creek'!N10</f>
        <v>1039</v>
      </c>
      <c r="Q216">
        <f>'Fortress Creek'!O10</f>
        <v>219</v>
      </c>
      <c r="R216">
        <f>'Fortress Creek'!P10</f>
        <v>75</v>
      </c>
      <c r="S216">
        <f>'Fortress Creek'!Q10</f>
        <v>17484</v>
      </c>
      <c r="T216">
        <f>'Fortress Creek'!R10</f>
        <v>0.6</v>
      </c>
      <c r="U216">
        <f>'Fortress Creek'!S10</f>
        <v>1154</v>
      </c>
      <c r="V216">
        <f>'Fortress Creek'!T10</f>
        <v>1</v>
      </c>
      <c r="W216">
        <f>'Fortress Creek'!U10</f>
        <v>1</v>
      </c>
      <c r="X216">
        <f>'Fortress Creek'!V10</f>
        <v>1</v>
      </c>
      <c r="Y216">
        <f>'Fortress Creek'!W10</f>
        <v>0</v>
      </c>
      <c r="Z216">
        <f>'Fortress Creek'!X10</f>
        <v>1270</v>
      </c>
      <c r="AA216">
        <f>'Fortress Creek'!Y10</f>
        <v>1</v>
      </c>
      <c r="AB216">
        <f>'Fortress Creek'!Z10</f>
        <v>1</v>
      </c>
      <c r="AC216">
        <f>'Fortress Creek'!AA10</f>
        <v>1</v>
      </c>
      <c r="AD216">
        <f>'Fortress Creek'!AB10</f>
        <v>0</v>
      </c>
      <c r="AE216">
        <f>'Fortress Creek'!AC10</f>
        <v>1400</v>
      </c>
      <c r="AF216">
        <f>'Fortress Creek'!AD10</f>
        <v>91</v>
      </c>
      <c r="AG216">
        <f>'Fortress Creek'!AE10</f>
        <v>1</v>
      </c>
      <c r="AH216">
        <f>'Fortress Creek'!AF10</f>
        <v>97</v>
      </c>
      <c r="AI216">
        <f>'Fortress Creek'!AG10</f>
        <v>0</v>
      </c>
      <c r="AJ216">
        <f>'Fortress Creek'!AH10</f>
        <v>1500</v>
      </c>
      <c r="AK216">
        <f>'Fortress Creek'!AI10</f>
        <v>217</v>
      </c>
      <c r="AL216">
        <f>'Fortress Creek'!AJ10</f>
        <v>35</v>
      </c>
      <c r="AM216">
        <f>'Fortress Creek'!AK10</f>
        <v>8085</v>
      </c>
      <c r="AN216">
        <f>'Fortress Creek'!AL10</f>
        <v>0.3</v>
      </c>
      <c r="AO216">
        <f>'Fortress Creek'!AM10</f>
        <v>1596</v>
      </c>
      <c r="AP216">
        <f>'Fortress Creek'!AN10</f>
        <v>433</v>
      </c>
      <c r="AQ216">
        <f>'Fortress Creek'!AO10</f>
        <v>25</v>
      </c>
      <c r="AR216">
        <f>'Fortress Creek'!AP10</f>
        <v>11523</v>
      </c>
      <c r="AS216">
        <f>'Fortress Creek'!AQ10</f>
        <v>0.4</v>
      </c>
      <c r="AT216">
        <f>'Fortress Creek'!AR10</f>
        <v>1736</v>
      </c>
      <c r="AU216">
        <f>'Fortress Creek'!AS10</f>
        <v>659</v>
      </c>
      <c r="AV216">
        <f>'Fortress Creek'!AT10</f>
        <v>167</v>
      </c>
      <c r="AW216">
        <f>'Fortress Creek'!AU10</f>
        <v>117148</v>
      </c>
      <c r="AX216">
        <f>'Fortress Creek'!AV10</f>
        <v>3.8</v>
      </c>
    </row>
    <row r="217" spans="1:50">
      <c r="A217" t="str">
        <f>'Fortress Creek'!A11</f>
        <v>/Users/christophermarjo/Documents/Python/Projects/data/bushfire Raman/Fortress Creek/FCM 1.5 (3)</v>
      </c>
      <c r="B217" t="str">
        <f t="shared" si="3"/>
        <v>Fortress Creek</v>
      </c>
      <c r="C217">
        <v>1.5</v>
      </c>
      <c r="D217" t="str">
        <f>'Fortress Creek'!B11</f>
        <v>12.19 counts</v>
      </c>
      <c r="E217">
        <f>'Fortress Creek'!C11</f>
        <v>0.98763100000000004</v>
      </c>
      <c r="F217">
        <f>'Fortress Creek'!D11</f>
        <v>1369</v>
      </c>
      <c r="G217">
        <f>'Fortress Creek'!E11</f>
        <v>7161</v>
      </c>
      <c r="H217">
        <f>'Fortress Creek'!F11</f>
        <v>326</v>
      </c>
      <c r="I217">
        <f>'Fortress Creek'!G11</f>
        <v>2484983</v>
      </c>
      <c r="J217">
        <f>'Fortress Creek'!H11</f>
        <v>68.5</v>
      </c>
      <c r="K217">
        <f>'Fortress Creek'!I11</f>
        <v>1590</v>
      </c>
      <c r="L217">
        <f>'Fortress Creek'!J11</f>
        <v>8819</v>
      </c>
      <c r="M217">
        <f>'Fortress Creek'!K11</f>
        <v>102</v>
      </c>
      <c r="N217">
        <f>'Fortress Creek'!L11</f>
        <v>957529</v>
      </c>
      <c r="O217">
        <f>'Fortress Creek'!M11</f>
        <v>26.4</v>
      </c>
      <c r="P217">
        <f>'Fortress Creek'!N11</f>
        <v>1031</v>
      </c>
      <c r="Q217">
        <f>'Fortress Creek'!O11</f>
        <v>253</v>
      </c>
      <c r="R217">
        <f>'Fortress Creek'!P11</f>
        <v>67</v>
      </c>
      <c r="S217">
        <f>'Fortress Creek'!Q11</f>
        <v>18044</v>
      </c>
      <c r="T217">
        <f>'Fortress Creek'!R11</f>
        <v>0.5</v>
      </c>
      <c r="U217">
        <f>'Fortress Creek'!S11</f>
        <v>1154</v>
      </c>
      <c r="V217">
        <f>'Fortress Creek'!T11</f>
        <v>1</v>
      </c>
      <c r="W217">
        <f>'Fortress Creek'!U11</f>
        <v>1</v>
      </c>
      <c r="X217">
        <f>'Fortress Creek'!V11</f>
        <v>1</v>
      </c>
      <c r="Y217">
        <f>'Fortress Creek'!W11</f>
        <v>0</v>
      </c>
      <c r="Z217">
        <f>'Fortress Creek'!X11</f>
        <v>1270</v>
      </c>
      <c r="AA217">
        <f>'Fortress Creek'!Y11</f>
        <v>1</v>
      </c>
      <c r="AB217">
        <f>'Fortress Creek'!Z11</f>
        <v>1</v>
      </c>
      <c r="AC217">
        <f>'Fortress Creek'!AA11</f>
        <v>1</v>
      </c>
      <c r="AD217">
        <f>'Fortress Creek'!AB11</f>
        <v>0</v>
      </c>
      <c r="AE217">
        <f>'Fortress Creek'!AC11</f>
        <v>1440</v>
      </c>
      <c r="AF217">
        <f>'Fortress Creek'!AD11</f>
        <v>3</v>
      </c>
      <c r="AG217">
        <f>'Fortress Creek'!AE11</f>
        <v>143</v>
      </c>
      <c r="AH217">
        <f>'Fortress Creek'!AF11</f>
        <v>457</v>
      </c>
      <c r="AI217">
        <f>'Fortress Creek'!AG11</f>
        <v>0</v>
      </c>
      <c r="AJ217">
        <f>'Fortress Creek'!AH11</f>
        <v>1500</v>
      </c>
      <c r="AK217">
        <f>'Fortress Creek'!AI11</f>
        <v>345</v>
      </c>
      <c r="AL217">
        <f>'Fortress Creek'!AJ11</f>
        <v>29</v>
      </c>
      <c r="AM217">
        <f>'Fortress Creek'!AK11</f>
        <v>10650</v>
      </c>
      <c r="AN217">
        <f>'Fortress Creek'!AL11</f>
        <v>0.3</v>
      </c>
      <c r="AO217">
        <f>'Fortress Creek'!AM11</f>
        <v>1598</v>
      </c>
      <c r="AP217">
        <f>'Fortress Creek'!AN11</f>
        <v>707</v>
      </c>
      <c r="AQ217">
        <f>'Fortress Creek'!AO11</f>
        <v>25</v>
      </c>
      <c r="AR217">
        <f>'Fortress Creek'!AP11</f>
        <v>18814</v>
      </c>
      <c r="AS217">
        <f>'Fortress Creek'!AQ11</f>
        <v>0.5</v>
      </c>
      <c r="AT217">
        <f>'Fortress Creek'!AR11</f>
        <v>1730</v>
      </c>
      <c r="AU217">
        <f>'Fortress Creek'!AS11</f>
        <v>935</v>
      </c>
      <c r="AV217">
        <f>'Fortress Creek'!AT11</f>
        <v>137</v>
      </c>
      <c r="AW217">
        <f>'Fortress Creek'!AU11</f>
        <v>136353</v>
      </c>
      <c r="AX217">
        <f>'Fortress Creek'!AV11</f>
        <v>3.8</v>
      </c>
    </row>
    <row r="218" spans="1:50">
      <c r="A218" t="str">
        <f>'Fortress Creek'!A12</f>
        <v>/Users/christophermarjo/Documents/Python/Projects/data/bushfire Raman/Fortress Creek/FCM 1(1)</v>
      </c>
      <c r="B218" t="str">
        <f t="shared" si="3"/>
        <v>Fortress Creek</v>
      </c>
      <c r="C218">
        <v>1</v>
      </c>
      <c r="D218" t="str">
        <f>'Fortress Creek'!B12</f>
        <v>15.75 counts</v>
      </c>
      <c r="E218">
        <f>'Fortress Creek'!C12</f>
        <v>0.99044100000000002</v>
      </c>
      <c r="F218">
        <f>'Fortress Creek'!D12</f>
        <v>1369</v>
      </c>
      <c r="G218">
        <f>'Fortress Creek'!E12</f>
        <v>10381</v>
      </c>
      <c r="H218">
        <f>'Fortress Creek'!F12</f>
        <v>342</v>
      </c>
      <c r="I218">
        <f>'Fortress Creek'!G12</f>
        <v>3779179</v>
      </c>
      <c r="J218">
        <f>'Fortress Creek'!H12</f>
        <v>70.5</v>
      </c>
      <c r="K218">
        <f>'Fortress Creek'!I12</f>
        <v>1588</v>
      </c>
      <c r="L218">
        <f>'Fortress Creek'!J12</f>
        <v>12297</v>
      </c>
      <c r="M218">
        <f>'Fortress Creek'!K12</f>
        <v>102</v>
      </c>
      <c r="N218">
        <f>'Fortress Creek'!L12</f>
        <v>1335155</v>
      </c>
      <c r="O218">
        <f>'Fortress Creek'!M12</f>
        <v>24.9</v>
      </c>
      <c r="P218">
        <f>'Fortress Creek'!N12</f>
        <v>1025</v>
      </c>
      <c r="Q218">
        <f>'Fortress Creek'!O12</f>
        <v>401</v>
      </c>
      <c r="R218">
        <f>'Fortress Creek'!P12</f>
        <v>59</v>
      </c>
      <c r="S218">
        <f>'Fortress Creek'!Q12</f>
        <v>25184</v>
      </c>
      <c r="T218">
        <f>'Fortress Creek'!R12</f>
        <v>0.5</v>
      </c>
      <c r="U218">
        <f>'Fortress Creek'!S12</f>
        <v>1154</v>
      </c>
      <c r="V218">
        <f>'Fortress Creek'!T12</f>
        <v>1</v>
      </c>
      <c r="W218">
        <f>'Fortress Creek'!U12</f>
        <v>1</v>
      </c>
      <c r="X218">
        <f>'Fortress Creek'!V12</f>
        <v>1</v>
      </c>
      <c r="Y218">
        <f>'Fortress Creek'!W12</f>
        <v>0</v>
      </c>
      <c r="Z218">
        <f>'Fortress Creek'!X12</f>
        <v>1270</v>
      </c>
      <c r="AA218">
        <f>'Fortress Creek'!Y12</f>
        <v>1</v>
      </c>
      <c r="AB218">
        <f>'Fortress Creek'!Z12</f>
        <v>1</v>
      </c>
      <c r="AC218">
        <f>'Fortress Creek'!AA12</f>
        <v>1</v>
      </c>
      <c r="AD218">
        <f>'Fortress Creek'!AB12</f>
        <v>0</v>
      </c>
      <c r="AE218">
        <f>'Fortress Creek'!AC12</f>
        <v>1456</v>
      </c>
      <c r="AF218">
        <f>'Fortress Creek'!AD12</f>
        <v>373</v>
      </c>
      <c r="AG218">
        <f>'Fortress Creek'!AE12</f>
        <v>5</v>
      </c>
      <c r="AH218">
        <f>'Fortress Creek'!AF12</f>
        <v>1985</v>
      </c>
      <c r="AI218">
        <f>'Fortress Creek'!AG12</f>
        <v>0</v>
      </c>
      <c r="AJ218">
        <f>'Fortress Creek'!AH12</f>
        <v>1500</v>
      </c>
      <c r="AK218">
        <f>'Fortress Creek'!AI12</f>
        <v>293</v>
      </c>
      <c r="AL218">
        <f>'Fortress Creek'!AJ12</f>
        <v>27</v>
      </c>
      <c r="AM218">
        <f>'Fortress Creek'!AK12</f>
        <v>8421</v>
      </c>
      <c r="AN218">
        <f>'Fortress Creek'!AL12</f>
        <v>0.2</v>
      </c>
      <c r="AO218">
        <f>'Fortress Creek'!AM12</f>
        <v>1598</v>
      </c>
      <c r="AP218">
        <f>'Fortress Creek'!AN12</f>
        <v>1309</v>
      </c>
      <c r="AQ218">
        <f>'Fortress Creek'!AO12</f>
        <v>31</v>
      </c>
      <c r="AR218">
        <f>'Fortress Creek'!AP12</f>
        <v>43195</v>
      </c>
      <c r="AS218">
        <f>'Fortress Creek'!AQ12</f>
        <v>0.8</v>
      </c>
      <c r="AT218">
        <f>'Fortress Creek'!AR12</f>
        <v>1734</v>
      </c>
      <c r="AU218">
        <f>'Fortress Creek'!AS12</f>
        <v>1089</v>
      </c>
      <c r="AV218">
        <f>'Fortress Creek'!AT12</f>
        <v>143</v>
      </c>
      <c r="AW218">
        <f>'Fortress Creek'!AU12</f>
        <v>165766</v>
      </c>
      <c r="AX218">
        <f>'Fortress Creek'!AV12</f>
        <v>3.1</v>
      </c>
    </row>
    <row r="219" spans="1:50">
      <c r="A219" t="str">
        <f>'Fortress Creek'!A13</f>
        <v>/Users/christophermarjo/Documents/Python/Projects/data/bushfire Raman/Fortress Creek/FCM 1(2)</v>
      </c>
      <c r="B219" t="str">
        <f t="shared" si="3"/>
        <v>Fortress Creek</v>
      </c>
      <c r="C219">
        <v>1</v>
      </c>
      <c r="D219" t="str">
        <f>'Fortress Creek'!B13</f>
        <v>19.84 counts</v>
      </c>
      <c r="E219">
        <f>'Fortress Creek'!C13</f>
        <v>0.974746</v>
      </c>
      <c r="F219">
        <f>'Fortress Creek'!D13</f>
        <v>1369</v>
      </c>
      <c r="G219">
        <f>'Fortress Creek'!E13</f>
        <v>8341</v>
      </c>
      <c r="H219">
        <f>'Fortress Creek'!F13</f>
        <v>316</v>
      </c>
      <c r="I219">
        <f>'Fortress Creek'!G13</f>
        <v>2805675</v>
      </c>
      <c r="J219">
        <f>'Fortress Creek'!H13</f>
        <v>69.2</v>
      </c>
      <c r="K219">
        <f>'Fortress Creek'!I13</f>
        <v>1592</v>
      </c>
      <c r="L219">
        <f>'Fortress Creek'!J13</f>
        <v>9983</v>
      </c>
      <c r="M219">
        <f>'Fortress Creek'!K13</f>
        <v>102</v>
      </c>
      <c r="N219">
        <f>'Fortress Creek'!L13</f>
        <v>1083911</v>
      </c>
      <c r="O219">
        <f>'Fortress Creek'!M13</f>
        <v>26.7</v>
      </c>
      <c r="P219">
        <f>'Fortress Creek'!N13</f>
        <v>1037</v>
      </c>
      <c r="Q219">
        <f>'Fortress Creek'!O13</f>
        <v>333</v>
      </c>
      <c r="R219">
        <f>'Fortress Creek'!P13</f>
        <v>77</v>
      </c>
      <c r="S219">
        <f>'Fortress Creek'!Q13</f>
        <v>27294</v>
      </c>
      <c r="T219">
        <f>'Fortress Creek'!R13</f>
        <v>0.7</v>
      </c>
      <c r="U219">
        <f>'Fortress Creek'!S13</f>
        <v>1154</v>
      </c>
      <c r="V219">
        <f>'Fortress Creek'!T13</f>
        <v>1</v>
      </c>
      <c r="W219">
        <f>'Fortress Creek'!U13</f>
        <v>1</v>
      </c>
      <c r="X219">
        <f>'Fortress Creek'!V13</f>
        <v>1</v>
      </c>
      <c r="Y219">
        <f>'Fortress Creek'!W13</f>
        <v>0</v>
      </c>
      <c r="Z219">
        <f>'Fortress Creek'!X13</f>
        <v>1270</v>
      </c>
      <c r="AA219">
        <f>'Fortress Creek'!Y13</f>
        <v>1</v>
      </c>
      <c r="AB219">
        <f>'Fortress Creek'!Z13</f>
        <v>1</v>
      </c>
      <c r="AC219">
        <f>'Fortress Creek'!AA13</f>
        <v>1</v>
      </c>
      <c r="AD219">
        <f>'Fortress Creek'!AB13</f>
        <v>0</v>
      </c>
      <c r="AE219">
        <f>'Fortress Creek'!AC13</f>
        <v>1428</v>
      </c>
      <c r="AF219">
        <f>'Fortress Creek'!AD13</f>
        <v>139</v>
      </c>
      <c r="AG219">
        <f>'Fortress Creek'!AE13</f>
        <v>1</v>
      </c>
      <c r="AH219">
        <f>'Fortress Creek'!AF13</f>
        <v>148</v>
      </c>
      <c r="AI219">
        <f>'Fortress Creek'!AG13</f>
        <v>0</v>
      </c>
      <c r="AJ219">
        <f>'Fortress Creek'!AH13</f>
        <v>1500</v>
      </c>
      <c r="AK219">
        <f>'Fortress Creek'!AI13</f>
        <v>457</v>
      </c>
      <c r="AL219">
        <f>'Fortress Creek'!AJ13</f>
        <v>29</v>
      </c>
      <c r="AM219">
        <f>'Fortress Creek'!AK13</f>
        <v>14107</v>
      </c>
      <c r="AN219">
        <f>'Fortress Creek'!AL13</f>
        <v>0.3</v>
      </c>
      <c r="AO219">
        <f>'Fortress Creek'!AM13</f>
        <v>1596</v>
      </c>
      <c r="AP219">
        <f>'Fortress Creek'!AN13</f>
        <v>281</v>
      </c>
      <c r="AQ219">
        <f>'Fortress Creek'!AO13</f>
        <v>27</v>
      </c>
      <c r="AR219">
        <f>'Fortress Creek'!AP13</f>
        <v>8076</v>
      </c>
      <c r="AS219">
        <f>'Fortress Creek'!AQ13</f>
        <v>0.2</v>
      </c>
      <c r="AT219">
        <f>'Fortress Creek'!AR13</f>
        <v>1728</v>
      </c>
      <c r="AU219">
        <f>'Fortress Creek'!AS13</f>
        <v>1005</v>
      </c>
      <c r="AV219">
        <f>'Fortress Creek'!AT13</f>
        <v>107</v>
      </c>
      <c r="AW219">
        <f>'Fortress Creek'!AU13</f>
        <v>114467</v>
      </c>
      <c r="AX219">
        <f>'Fortress Creek'!AV13</f>
        <v>2.8</v>
      </c>
    </row>
    <row r="220" spans="1:50">
      <c r="A220" t="str">
        <f>'Fortress Creek'!A14</f>
        <v xml:space="preserve">/Users/christophermarjo/Documents/Python/Projects/data/bushfire Raman/Fortress Creek/FCM 1(3) </v>
      </c>
      <c r="B220" t="str">
        <f t="shared" si="3"/>
        <v>Fortress Creek</v>
      </c>
      <c r="C220">
        <v>1</v>
      </c>
      <c r="D220" t="str">
        <f>'Fortress Creek'!B14</f>
        <v>24.84 counts</v>
      </c>
      <c r="E220">
        <f>'Fortress Creek'!C14</f>
        <v>0.97635400000000006</v>
      </c>
      <c r="F220">
        <f>'Fortress Creek'!D14</f>
        <v>1369</v>
      </c>
      <c r="G220">
        <f>'Fortress Creek'!E14</f>
        <v>8947</v>
      </c>
      <c r="H220">
        <f>'Fortress Creek'!F14</f>
        <v>272</v>
      </c>
      <c r="I220">
        <f>'Fortress Creek'!G14</f>
        <v>2590470</v>
      </c>
      <c r="J220">
        <f>'Fortress Creek'!H14</f>
        <v>54.9</v>
      </c>
      <c r="K220">
        <f>'Fortress Creek'!I14</f>
        <v>1586</v>
      </c>
      <c r="L220">
        <f>'Fortress Creek'!J14</f>
        <v>14199</v>
      </c>
      <c r="M220">
        <f>'Fortress Creek'!K14</f>
        <v>120</v>
      </c>
      <c r="N220">
        <f>'Fortress Creek'!L14</f>
        <v>1813724</v>
      </c>
      <c r="O220">
        <f>'Fortress Creek'!M14</f>
        <v>38.5</v>
      </c>
      <c r="P220">
        <f>'Fortress Creek'!N14</f>
        <v>1013</v>
      </c>
      <c r="Q220">
        <f>'Fortress Creek'!O14</f>
        <v>331</v>
      </c>
      <c r="R220">
        <f>'Fortress Creek'!P14</f>
        <v>5</v>
      </c>
      <c r="S220">
        <f>'Fortress Creek'!Q14</f>
        <v>1762</v>
      </c>
      <c r="T220">
        <f>'Fortress Creek'!R14</f>
        <v>0</v>
      </c>
      <c r="U220">
        <f>'Fortress Creek'!S14</f>
        <v>1156</v>
      </c>
      <c r="V220">
        <f>'Fortress Creek'!T14</f>
        <v>491</v>
      </c>
      <c r="W220">
        <f>'Fortress Creek'!U14</f>
        <v>3</v>
      </c>
      <c r="X220">
        <f>'Fortress Creek'!V14</f>
        <v>1568</v>
      </c>
      <c r="Y220">
        <f>'Fortress Creek'!W14</f>
        <v>0</v>
      </c>
      <c r="Z220">
        <f>'Fortress Creek'!X14</f>
        <v>1270</v>
      </c>
      <c r="AA220">
        <f>'Fortress Creek'!Y14</f>
        <v>1</v>
      </c>
      <c r="AB220">
        <f>'Fortress Creek'!Z14</f>
        <v>1</v>
      </c>
      <c r="AC220">
        <f>'Fortress Creek'!AA14</f>
        <v>1</v>
      </c>
      <c r="AD220">
        <f>'Fortress Creek'!AB14</f>
        <v>0</v>
      </c>
      <c r="AE220">
        <f>'Fortress Creek'!AC14</f>
        <v>1456</v>
      </c>
      <c r="AF220">
        <f>'Fortress Creek'!AD14</f>
        <v>1749</v>
      </c>
      <c r="AG220">
        <f>'Fortress Creek'!AE14</f>
        <v>61</v>
      </c>
      <c r="AH220">
        <f>'Fortress Creek'!AF14</f>
        <v>113567</v>
      </c>
      <c r="AI220">
        <f>'Fortress Creek'!AG14</f>
        <v>2.4</v>
      </c>
      <c r="AJ220">
        <f>'Fortress Creek'!AH14</f>
        <v>1502</v>
      </c>
      <c r="AK220">
        <f>'Fortress Creek'!AI14</f>
        <v>861</v>
      </c>
      <c r="AL220">
        <f>'Fortress Creek'!AJ14</f>
        <v>35</v>
      </c>
      <c r="AM220">
        <f>'Fortress Creek'!AK14</f>
        <v>32078</v>
      </c>
      <c r="AN220">
        <f>'Fortress Creek'!AL14</f>
        <v>0.7</v>
      </c>
      <c r="AO220">
        <f>'Fortress Creek'!AM14</f>
        <v>1592</v>
      </c>
      <c r="AP220">
        <f>'Fortress Creek'!AN14</f>
        <v>1599</v>
      </c>
      <c r="AQ220">
        <f>'Fortress Creek'!AO14</f>
        <v>17</v>
      </c>
      <c r="AR220">
        <f>'Fortress Creek'!AP14</f>
        <v>28935</v>
      </c>
      <c r="AS220">
        <f>'Fortress Creek'!AQ14</f>
        <v>0.6</v>
      </c>
      <c r="AT220">
        <f>'Fortress Creek'!AR14</f>
        <v>1748</v>
      </c>
      <c r="AU220">
        <f>'Fortress Creek'!AS14</f>
        <v>1301</v>
      </c>
      <c r="AV220">
        <f>'Fortress Creek'!AT14</f>
        <v>97</v>
      </c>
      <c r="AW220">
        <f>'Fortress Creek'!AU14</f>
        <v>134333</v>
      </c>
      <c r="AX220">
        <f>'Fortress Creek'!AV14</f>
        <v>2.8</v>
      </c>
    </row>
    <row r="221" spans="1:50">
      <c r="A221" t="str">
        <f>'Fortress Creek'!A15</f>
        <v>/Users/christophermarjo/Documents/Python/Projects/data/bushfire Raman/Fortress Creek/FCM 2 (1)</v>
      </c>
      <c r="B221" t="str">
        <f t="shared" si="3"/>
        <v>Fortress Creek</v>
      </c>
      <c r="C221">
        <v>2</v>
      </c>
      <c r="D221" t="str">
        <f>'Fortress Creek'!B15</f>
        <v>11.91 counts</v>
      </c>
      <c r="E221">
        <f>'Fortress Creek'!C15</f>
        <v>0.99164200000000002</v>
      </c>
      <c r="F221">
        <f>'Fortress Creek'!D15</f>
        <v>1369</v>
      </c>
      <c r="G221">
        <f>'Fortress Creek'!E15</f>
        <v>8701</v>
      </c>
      <c r="H221">
        <f>'Fortress Creek'!F15</f>
        <v>318</v>
      </c>
      <c r="I221">
        <f>'Fortress Creek'!G15</f>
        <v>2945293</v>
      </c>
      <c r="J221">
        <f>'Fortress Creek'!H15</f>
        <v>69.5</v>
      </c>
      <c r="K221">
        <f>'Fortress Creek'!I15</f>
        <v>1590</v>
      </c>
      <c r="L221">
        <f>'Fortress Creek'!J15</f>
        <v>10157</v>
      </c>
      <c r="M221">
        <f>'Fortress Creek'!K15</f>
        <v>102</v>
      </c>
      <c r="N221">
        <f>'Fortress Creek'!L15</f>
        <v>1102803</v>
      </c>
      <c r="O221">
        <f>'Fortress Creek'!M15</f>
        <v>26</v>
      </c>
      <c r="P221">
        <f>'Fortress Creek'!N15</f>
        <v>1055</v>
      </c>
      <c r="Q221">
        <f>'Fortress Creek'!O15</f>
        <v>303</v>
      </c>
      <c r="R221">
        <f>'Fortress Creek'!P15</f>
        <v>57</v>
      </c>
      <c r="S221">
        <f>'Fortress Creek'!Q15</f>
        <v>18384</v>
      </c>
      <c r="T221">
        <f>'Fortress Creek'!R15</f>
        <v>0.4</v>
      </c>
      <c r="U221">
        <f>'Fortress Creek'!S15</f>
        <v>1156</v>
      </c>
      <c r="V221">
        <f>'Fortress Creek'!T15</f>
        <v>51</v>
      </c>
      <c r="W221">
        <f>'Fortress Creek'!U15</f>
        <v>3</v>
      </c>
      <c r="X221">
        <f>'Fortress Creek'!V15</f>
        <v>163</v>
      </c>
      <c r="Y221">
        <f>'Fortress Creek'!W15</f>
        <v>0</v>
      </c>
      <c r="Z221">
        <f>'Fortress Creek'!X15</f>
        <v>1270</v>
      </c>
      <c r="AA221">
        <f>'Fortress Creek'!Y15</f>
        <v>1</v>
      </c>
      <c r="AB221">
        <f>'Fortress Creek'!Z15</f>
        <v>1</v>
      </c>
      <c r="AC221">
        <f>'Fortress Creek'!AA15</f>
        <v>1</v>
      </c>
      <c r="AD221">
        <f>'Fortress Creek'!AB15</f>
        <v>0</v>
      </c>
      <c r="AE221">
        <f>'Fortress Creek'!AC15</f>
        <v>1400</v>
      </c>
      <c r="AF221">
        <f>'Fortress Creek'!AD15</f>
        <v>89</v>
      </c>
      <c r="AG221">
        <f>'Fortress Creek'!AE15</f>
        <v>1</v>
      </c>
      <c r="AH221">
        <f>'Fortress Creek'!AF15</f>
        <v>95</v>
      </c>
      <c r="AI221">
        <f>'Fortress Creek'!AG15</f>
        <v>0</v>
      </c>
      <c r="AJ221">
        <f>'Fortress Creek'!AH15</f>
        <v>1500</v>
      </c>
      <c r="AK221">
        <f>'Fortress Creek'!AI15</f>
        <v>625</v>
      </c>
      <c r="AL221">
        <f>'Fortress Creek'!AJ15</f>
        <v>35</v>
      </c>
      <c r="AM221">
        <f>'Fortress Creek'!AK15</f>
        <v>23285</v>
      </c>
      <c r="AN221">
        <f>'Fortress Creek'!AL15</f>
        <v>0.5</v>
      </c>
      <c r="AO221">
        <f>'Fortress Creek'!AM15</f>
        <v>1598</v>
      </c>
      <c r="AP221">
        <f>'Fortress Creek'!AN15</f>
        <v>839</v>
      </c>
      <c r="AQ221">
        <f>'Fortress Creek'!AO15</f>
        <v>23</v>
      </c>
      <c r="AR221">
        <f>'Fortress Creek'!AP15</f>
        <v>20541</v>
      </c>
      <c r="AS221">
        <f>'Fortress Creek'!AQ15</f>
        <v>0.5</v>
      </c>
      <c r="AT221">
        <f>'Fortress Creek'!AR15</f>
        <v>1740</v>
      </c>
      <c r="AU221">
        <f>'Fortress Creek'!AS15</f>
        <v>767</v>
      </c>
      <c r="AV221">
        <f>'Fortress Creek'!AT15</f>
        <v>159</v>
      </c>
      <c r="AW221">
        <f>'Fortress Creek'!AU15</f>
        <v>129815</v>
      </c>
      <c r="AX221">
        <f>'Fortress Creek'!AV15</f>
        <v>3.1</v>
      </c>
    </row>
    <row r="222" spans="1:50">
      <c r="A222" t="str">
        <f>'Fortress Creek'!A16</f>
        <v>/Users/christophermarjo/Documents/Python/Projects/data/bushfire Raman/Fortress Creek/FCM 2.5 (1)</v>
      </c>
      <c r="B222" t="str">
        <f t="shared" si="3"/>
        <v>Fortress Creek</v>
      </c>
      <c r="C222">
        <v>2.5</v>
      </c>
      <c r="D222" t="str">
        <f>'Fortress Creek'!B16</f>
        <v>2.54 counts</v>
      </c>
      <c r="E222">
        <f>'Fortress Creek'!C16</f>
        <v>0.98575100000000004</v>
      </c>
      <c r="F222">
        <f>'Fortress Creek'!D16</f>
        <v>1367</v>
      </c>
      <c r="G222">
        <f>'Fortress Creek'!E16</f>
        <v>1489</v>
      </c>
      <c r="H222">
        <f>'Fortress Creek'!F16</f>
        <v>316</v>
      </c>
      <c r="I222">
        <f>'Fortress Creek'!G16</f>
        <v>500857</v>
      </c>
      <c r="J222">
        <f>'Fortress Creek'!H16</f>
        <v>76.099999999999994</v>
      </c>
      <c r="K222">
        <f>'Fortress Creek'!I16</f>
        <v>1584</v>
      </c>
      <c r="L222">
        <f>'Fortress Creek'!J16</f>
        <v>1307</v>
      </c>
      <c r="M222">
        <f>'Fortress Creek'!K16</f>
        <v>100</v>
      </c>
      <c r="N222">
        <f>'Fortress Creek'!L16</f>
        <v>139126</v>
      </c>
      <c r="O222">
        <f>'Fortress Creek'!M16</f>
        <v>21.1</v>
      </c>
      <c r="P222">
        <f>'Fortress Creek'!N16</f>
        <v>1049</v>
      </c>
      <c r="Q222">
        <f>'Fortress Creek'!O16</f>
        <v>67</v>
      </c>
      <c r="R222">
        <f>'Fortress Creek'!P16</f>
        <v>99</v>
      </c>
      <c r="S222">
        <f>'Fortress Creek'!Q16</f>
        <v>7061</v>
      </c>
      <c r="T222">
        <f>'Fortress Creek'!R16</f>
        <v>1.1000000000000001</v>
      </c>
      <c r="U222">
        <f>'Fortress Creek'!S16</f>
        <v>1150</v>
      </c>
      <c r="V222">
        <f>'Fortress Creek'!T16</f>
        <v>69</v>
      </c>
      <c r="W222">
        <f>'Fortress Creek'!U16</f>
        <v>1</v>
      </c>
      <c r="X222">
        <f>'Fortress Creek'!V16</f>
        <v>73</v>
      </c>
      <c r="Y222">
        <f>'Fortress Creek'!W16</f>
        <v>0</v>
      </c>
      <c r="Z222">
        <f>'Fortress Creek'!X16</f>
        <v>1296</v>
      </c>
      <c r="AA222">
        <f>'Fortress Creek'!Y16</f>
        <v>31</v>
      </c>
      <c r="AB222">
        <f>'Fortress Creek'!Z16</f>
        <v>5</v>
      </c>
      <c r="AC222">
        <f>'Fortress Creek'!AA16</f>
        <v>165</v>
      </c>
      <c r="AD222">
        <f>'Fortress Creek'!AB16</f>
        <v>0</v>
      </c>
      <c r="AE222">
        <f>'Fortress Creek'!AC16</f>
        <v>1410</v>
      </c>
      <c r="AF222">
        <f>'Fortress Creek'!AD16</f>
        <v>1</v>
      </c>
      <c r="AG222">
        <f>'Fortress Creek'!AE16</f>
        <v>1</v>
      </c>
      <c r="AH222">
        <f>'Fortress Creek'!AF16</f>
        <v>1</v>
      </c>
      <c r="AI222">
        <f>'Fortress Creek'!AG16</f>
        <v>0</v>
      </c>
      <c r="AJ222">
        <f>'Fortress Creek'!AH16</f>
        <v>1510</v>
      </c>
      <c r="AK222">
        <f>'Fortress Creek'!AI16</f>
        <v>59</v>
      </c>
      <c r="AL222">
        <f>'Fortress Creek'!AJ16</f>
        <v>29</v>
      </c>
      <c r="AM222">
        <f>'Fortress Creek'!AK16</f>
        <v>1821</v>
      </c>
      <c r="AN222">
        <f>'Fortress Creek'!AL16</f>
        <v>0.3</v>
      </c>
      <c r="AO222">
        <f>'Fortress Creek'!AM16</f>
        <v>1590</v>
      </c>
      <c r="AP222">
        <f>'Fortress Creek'!AN16</f>
        <v>157</v>
      </c>
      <c r="AQ222">
        <f>'Fortress Creek'!AO16</f>
        <v>29</v>
      </c>
      <c r="AR222">
        <f>'Fortress Creek'!AP16</f>
        <v>4847</v>
      </c>
      <c r="AS222">
        <f>'Fortress Creek'!AQ16</f>
        <v>0.7</v>
      </c>
      <c r="AT222">
        <f>'Fortress Creek'!AR16</f>
        <v>1700</v>
      </c>
      <c r="AU222">
        <f>'Fortress Creek'!AS16</f>
        <v>85</v>
      </c>
      <c r="AV222">
        <f>'Fortress Creek'!AT16</f>
        <v>43</v>
      </c>
      <c r="AW222">
        <f>'Fortress Creek'!AU16</f>
        <v>3891</v>
      </c>
      <c r="AX222">
        <f>'Fortress Creek'!AV16</f>
        <v>0.6</v>
      </c>
    </row>
    <row r="223" spans="1:50">
      <c r="A223" t="str">
        <f>'Fortress Creek'!A17</f>
        <v>/Users/christophermarjo/Documents/Python/Projects/data/bushfire Raman/Fortress Creek/FCM 2.5 (2)</v>
      </c>
      <c r="B223" t="str">
        <f t="shared" si="3"/>
        <v>Fortress Creek</v>
      </c>
      <c r="C223">
        <v>2.5</v>
      </c>
      <c r="D223" t="str">
        <f>'Fortress Creek'!B17</f>
        <v>2.99 counts</v>
      </c>
      <c r="E223">
        <f>'Fortress Creek'!C17</f>
        <v>0.98463999999999996</v>
      </c>
      <c r="F223">
        <f>'Fortress Creek'!D17</f>
        <v>1369</v>
      </c>
      <c r="G223">
        <f>'Fortress Creek'!E17</f>
        <v>1693</v>
      </c>
      <c r="H223">
        <f>'Fortress Creek'!F17</f>
        <v>336</v>
      </c>
      <c r="I223">
        <f>'Fortress Creek'!G17</f>
        <v>605520</v>
      </c>
      <c r="J223">
        <f>'Fortress Creek'!H17</f>
        <v>77.099999999999994</v>
      </c>
      <c r="K223">
        <f>'Fortress Creek'!I17</f>
        <v>1586</v>
      </c>
      <c r="L223">
        <f>'Fortress Creek'!J17</f>
        <v>1451</v>
      </c>
      <c r="M223">
        <f>'Fortress Creek'!K17</f>
        <v>100</v>
      </c>
      <c r="N223">
        <f>'Fortress Creek'!L17</f>
        <v>154454</v>
      </c>
      <c r="O223">
        <f>'Fortress Creek'!M17</f>
        <v>19.7</v>
      </c>
      <c r="P223">
        <f>'Fortress Creek'!N17</f>
        <v>1051</v>
      </c>
      <c r="Q223">
        <f>'Fortress Creek'!O17</f>
        <v>91</v>
      </c>
      <c r="R223">
        <f>'Fortress Creek'!P17</f>
        <v>71</v>
      </c>
      <c r="S223">
        <f>'Fortress Creek'!Q17</f>
        <v>6878</v>
      </c>
      <c r="T223">
        <f>'Fortress Creek'!R17</f>
        <v>0.9</v>
      </c>
      <c r="U223">
        <f>'Fortress Creek'!S17</f>
        <v>1158</v>
      </c>
      <c r="V223">
        <f>'Fortress Creek'!T17</f>
        <v>1</v>
      </c>
      <c r="W223">
        <f>'Fortress Creek'!U17</f>
        <v>1</v>
      </c>
      <c r="X223">
        <f>'Fortress Creek'!V17</f>
        <v>1</v>
      </c>
      <c r="Y223">
        <f>'Fortress Creek'!W17</f>
        <v>0</v>
      </c>
      <c r="Z223">
        <f>'Fortress Creek'!X17</f>
        <v>1296</v>
      </c>
      <c r="AA223">
        <f>'Fortress Creek'!Y17</f>
        <v>65</v>
      </c>
      <c r="AB223">
        <f>'Fortress Creek'!Z17</f>
        <v>23</v>
      </c>
      <c r="AC223">
        <f>'Fortress Creek'!AA17</f>
        <v>1591</v>
      </c>
      <c r="AD223">
        <f>'Fortress Creek'!AB17</f>
        <v>0.2</v>
      </c>
      <c r="AE223">
        <f>'Fortress Creek'!AC17</f>
        <v>1410</v>
      </c>
      <c r="AF223">
        <f>'Fortress Creek'!AD17</f>
        <v>1</v>
      </c>
      <c r="AG223">
        <f>'Fortress Creek'!AE17</f>
        <v>1</v>
      </c>
      <c r="AH223">
        <f>'Fortress Creek'!AF17</f>
        <v>1</v>
      </c>
      <c r="AI223">
        <f>'Fortress Creek'!AG17</f>
        <v>0</v>
      </c>
      <c r="AJ223">
        <f>'Fortress Creek'!AH17</f>
        <v>1500</v>
      </c>
      <c r="AK223">
        <f>'Fortress Creek'!AI17</f>
        <v>81</v>
      </c>
      <c r="AL223">
        <f>'Fortress Creek'!AJ17</f>
        <v>21</v>
      </c>
      <c r="AM223">
        <f>'Fortress Creek'!AK17</f>
        <v>1811</v>
      </c>
      <c r="AN223">
        <f>'Fortress Creek'!AL17</f>
        <v>0.2</v>
      </c>
      <c r="AO223">
        <f>'Fortress Creek'!AM17</f>
        <v>1592</v>
      </c>
      <c r="AP223">
        <f>'Fortress Creek'!AN17</f>
        <v>199</v>
      </c>
      <c r="AQ223">
        <f>'Fortress Creek'!AO17</f>
        <v>27</v>
      </c>
      <c r="AR223">
        <f>'Fortress Creek'!AP17</f>
        <v>5719</v>
      </c>
      <c r="AS223">
        <f>'Fortress Creek'!AQ17</f>
        <v>0.7</v>
      </c>
      <c r="AT223">
        <f>'Fortress Creek'!AR17</f>
        <v>1730</v>
      </c>
      <c r="AU223">
        <f>'Fortress Creek'!AS17</f>
        <v>63</v>
      </c>
      <c r="AV223">
        <f>'Fortress Creek'!AT17</f>
        <v>135</v>
      </c>
      <c r="AW223">
        <f>'Fortress Creek'!AU17</f>
        <v>9053</v>
      </c>
      <c r="AX223">
        <f>'Fortress Creek'!AV17</f>
        <v>1.2</v>
      </c>
    </row>
    <row r="224" spans="1:50">
      <c r="A224" t="str">
        <f>'Fortress Creek'!A18</f>
        <v xml:space="preserve">/Users/christophermarjo/Documents/Python/Projects/data/bushfire Raman/Fortress Creek/FCM 2.5 (3) </v>
      </c>
      <c r="B224" t="str">
        <f t="shared" si="3"/>
        <v>Fortress Creek</v>
      </c>
      <c r="C224">
        <v>2.5</v>
      </c>
      <c r="D224" t="str">
        <f>'Fortress Creek'!B18</f>
        <v>2.54 counts</v>
      </c>
      <c r="E224">
        <f>'Fortress Creek'!C18</f>
        <v>0.98497199999999996</v>
      </c>
      <c r="F224">
        <f>'Fortress Creek'!D18</f>
        <v>1369</v>
      </c>
      <c r="G224">
        <f>'Fortress Creek'!E18</f>
        <v>1491</v>
      </c>
      <c r="H224">
        <f>'Fortress Creek'!F18</f>
        <v>318</v>
      </c>
      <c r="I224">
        <f>'Fortress Creek'!G18</f>
        <v>504704</v>
      </c>
      <c r="J224">
        <f>'Fortress Creek'!H18</f>
        <v>75.2</v>
      </c>
      <c r="K224">
        <f>'Fortress Creek'!I18</f>
        <v>1586</v>
      </c>
      <c r="L224">
        <f>'Fortress Creek'!J18</f>
        <v>1321</v>
      </c>
      <c r="M224">
        <f>'Fortress Creek'!K18</f>
        <v>100</v>
      </c>
      <c r="N224">
        <f>'Fortress Creek'!L18</f>
        <v>140616</v>
      </c>
      <c r="O224">
        <f>'Fortress Creek'!M18</f>
        <v>21</v>
      </c>
      <c r="P224">
        <f>'Fortress Creek'!N18</f>
        <v>1063</v>
      </c>
      <c r="Q224">
        <f>'Fortress Creek'!O18</f>
        <v>85</v>
      </c>
      <c r="R224">
        <f>'Fortress Creek'!P18</f>
        <v>61</v>
      </c>
      <c r="S224">
        <f>'Fortress Creek'!Q18</f>
        <v>5519</v>
      </c>
      <c r="T224">
        <f>'Fortress Creek'!R18</f>
        <v>0.8</v>
      </c>
      <c r="U224">
        <f>'Fortress Creek'!S18</f>
        <v>1150</v>
      </c>
      <c r="V224">
        <f>'Fortress Creek'!T18</f>
        <v>23</v>
      </c>
      <c r="W224">
        <f>'Fortress Creek'!U18</f>
        <v>1</v>
      </c>
      <c r="X224">
        <f>'Fortress Creek'!V18</f>
        <v>24</v>
      </c>
      <c r="Y224">
        <f>'Fortress Creek'!W18</f>
        <v>0</v>
      </c>
      <c r="Z224">
        <f>'Fortress Creek'!X18</f>
        <v>1298</v>
      </c>
      <c r="AA224">
        <f>'Fortress Creek'!Y18</f>
        <v>137</v>
      </c>
      <c r="AB224">
        <f>'Fortress Creek'!Z18</f>
        <v>1</v>
      </c>
      <c r="AC224">
        <f>'Fortress Creek'!AA18</f>
        <v>146</v>
      </c>
      <c r="AD224">
        <f>'Fortress Creek'!AB18</f>
        <v>0</v>
      </c>
      <c r="AE224">
        <f>'Fortress Creek'!AC18</f>
        <v>1410</v>
      </c>
      <c r="AF224">
        <f>'Fortress Creek'!AD18</f>
        <v>1</v>
      </c>
      <c r="AG224">
        <f>'Fortress Creek'!AE18</f>
        <v>1</v>
      </c>
      <c r="AH224">
        <f>'Fortress Creek'!AF18</f>
        <v>1</v>
      </c>
      <c r="AI224">
        <f>'Fortress Creek'!AG18</f>
        <v>0</v>
      </c>
      <c r="AJ224">
        <f>'Fortress Creek'!AH18</f>
        <v>1516</v>
      </c>
      <c r="AK224">
        <f>'Fortress Creek'!AI18</f>
        <v>61</v>
      </c>
      <c r="AL224">
        <f>'Fortress Creek'!AJ18</f>
        <v>33</v>
      </c>
      <c r="AM224">
        <f>'Fortress Creek'!AK18</f>
        <v>2143</v>
      </c>
      <c r="AN224">
        <f>'Fortress Creek'!AL18</f>
        <v>0.3</v>
      </c>
      <c r="AO224">
        <f>'Fortress Creek'!AM18</f>
        <v>1588</v>
      </c>
      <c r="AP224">
        <f>'Fortress Creek'!AN18</f>
        <v>205</v>
      </c>
      <c r="AQ224">
        <f>'Fortress Creek'!AO18</f>
        <v>25</v>
      </c>
      <c r="AR224">
        <f>'Fortress Creek'!AP18</f>
        <v>5455</v>
      </c>
      <c r="AS224">
        <f>'Fortress Creek'!AQ18</f>
        <v>0.8</v>
      </c>
      <c r="AT224">
        <f>'Fortress Creek'!AR18</f>
        <v>1736</v>
      </c>
      <c r="AU224">
        <f>'Fortress Creek'!AS18</f>
        <v>87</v>
      </c>
      <c r="AV224">
        <f>'Fortress Creek'!AT18</f>
        <v>133</v>
      </c>
      <c r="AW224">
        <f>'Fortress Creek'!AU18</f>
        <v>12317</v>
      </c>
      <c r="AX224">
        <f>'Fortress Creek'!AV18</f>
        <v>1.8</v>
      </c>
    </row>
    <row r="225" spans="1:50">
      <c r="A225" t="str">
        <f>'Fortress Creek'!A19</f>
        <v xml:space="preserve">/Users/christophermarjo/Documents/Python/Projects/data/bushfire Raman/Fortress Creek/FCM 2.5 (4) </v>
      </c>
      <c r="B225" t="str">
        <f t="shared" si="3"/>
        <v>Fortress Creek</v>
      </c>
      <c r="C225">
        <v>2.5</v>
      </c>
      <c r="D225" t="str">
        <f>'Fortress Creek'!B19</f>
        <v>2.00 counts</v>
      </c>
      <c r="E225">
        <f>'Fortress Creek'!C19</f>
        <v>0.98170000000000002</v>
      </c>
      <c r="F225">
        <f>'Fortress Creek'!D19</f>
        <v>1369</v>
      </c>
      <c r="G225">
        <f>'Fortress Creek'!E19</f>
        <v>1053</v>
      </c>
      <c r="H225">
        <f>'Fortress Creek'!F19</f>
        <v>314</v>
      </c>
      <c r="I225">
        <f>'Fortress Creek'!G19</f>
        <v>351958</v>
      </c>
      <c r="J225">
        <f>'Fortress Creek'!H19</f>
        <v>74.599999999999994</v>
      </c>
      <c r="K225">
        <f>'Fortress Creek'!I19</f>
        <v>1586</v>
      </c>
      <c r="L225">
        <f>'Fortress Creek'!J19</f>
        <v>955</v>
      </c>
      <c r="M225">
        <f>'Fortress Creek'!K19</f>
        <v>100</v>
      </c>
      <c r="N225">
        <f>'Fortress Creek'!L19</f>
        <v>101657</v>
      </c>
      <c r="O225">
        <f>'Fortress Creek'!M19</f>
        <v>21.6</v>
      </c>
      <c r="P225">
        <f>'Fortress Creek'!N19</f>
        <v>1035</v>
      </c>
      <c r="Q225">
        <f>'Fortress Creek'!O19</f>
        <v>67</v>
      </c>
      <c r="R225">
        <f>'Fortress Creek'!P19</f>
        <v>105</v>
      </c>
      <c r="S225">
        <f>'Fortress Creek'!Q19</f>
        <v>7489</v>
      </c>
      <c r="T225">
        <f>'Fortress Creek'!R19</f>
        <v>1.6</v>
      </c>
      <c r="U225">
        <f>'Fortress Creek'!S19</f>
        <v>1158</v>
      </c>
      <c r="V225">
        <f>'Fortress Creek'!T19</f>
        <v>13</v>
      </c>
      <c r="W225">
        <f>'Fortress Creek'!U19</f>
        <v>1</v>
      </c>
      <c r="X225">
        <f>'Fortress Creek'!V19</f>
        <v>14</v>
      </c>
      <c r="Y225">
        <f>'Fortress Creek'!W19</f>
        <v>0</v>
      </c>
      <c r="Z225">
        <f>'Fortress Creek'!X19</f>
        <v>1296</v>
      </c>
      <c r="AA225">
        <f>'Fortress Creek'!Y19</f>
        <v>17</v>
      </c>
      <c r="AB225">
        <f>'Fortress Creek'!Z19</f>
        <v>1</v>
      </c>
      <c r="AC225">
        <f>'Fortress Creek'!AA19</f>
        <v>18</v>
      </c>
      <c r="AD225">
        <f>'Fortress Creek'!AB19</f>
        <v>0</v>
      </c>
      <c r="AE225">
        <f>'Fortress Creek'!AC19</f>
        <v>1410</v>
      </c>
      <c r="AF225">
        <f>'Fortress Creek'!AD19</f>
        <v>1</v>
      </c>
      <c r="AG225">
        <f>'Fortress Creek'!AE19</f>
        <v>1</v>
      </c>
      <c r="AH225">
        <f>'Fortress Creek'!AF19</f>
        <v>1</v>
      </c>
      <c r="AI225">
        <f>'Fortress Creek'!AG19</f>
        <v>0</v>
      </c>
      <c r="AJ225">
        <f>'Fortress Creek'!AH19</f>
        <v>1494</v>
      </c>
      <c r="AK225">
        <f>'Fortress Creek'!AI19</f>
        <v>49</v>
      </c>
      <c r="AL225">
        <f>'Fortress Creek'!AJ19</f>
        <v>13</v>
      </c>
      <c r="AM225">
        <f>'Fortress Creek'!AK19</f>
        <v>678</v>
      </c>
      <c r="AN225">
        <f>'Fortress Creek'!AL19</f>
        <v>0.1</v>
      </c>
      <c r="AO225">
        <f>'Fortress Creek'!AM19</f>
        <v>1588</v>
      </c>
      <c r="AP225">
        <f>'Fortress Creek'!AN19</f>
        <v>123</v>
      </c>
      <c r="AQ225">
        <f>'Fortress Creek'!AO19</f>
        <v>35</v>
      </c>
      <c r="AR225">
        <f>'Fortress Creek'!AP19</f>
        <v>4583</v>
      </c>
      <c r="AS225">
        <f>'Fortress Creek'!AQ19</f>
        <v>1</v>
      </c>
      <c r="AT225">
        <f>'Fortress Creek'!AR19</f>
        <v>1716</v>
      </c>
      <c r="AU225">
        <f>'Fortress Creek'!AS19</f>
        <v>61</v>
      </c>
      <c r="AV225">
        <f>'Fortress Creek'!AT19</f>
        <v>81</v>
      </c>
      <c r="AW225">
        <f>'Fortress Creek'!AU19</f>
        <v>5260</v>
      </c>
      <c r="AX225">
        <f>'Fortress Creek'!AV19</f>
        <v>1.1000000000000001</v>
      </c>
    </row>
    <row r="226" spans="1:50">
      <c r="A226" t="str">
        <f>'Fortress Creek'!A20</f>
        <v xml:space="preserve">/Users/christophermarjo/Documents/Python/Projects/data/bushfire Raman/Fortress Creek/FCM 2.5 (5) </v>
      </c>
      <c r="B226" t="str">
        <f t="shared" si="3"/>
        <v>Fortress Creek</v>
      </c>
      <c r="C226">
        <v>2.5</v>
      </c>
      <c r="D226" t="str">
        <f>'Fortress Creek'!B20</f>
        <v>1.43 counts</v>
      </c>
      <c r="E226">
        <f>'Fortress Creek'!C20</f>
        <v>0.98209900000000006</v>
      </c>
      <c r="F226">
        <f>'Fortress Creek'!D20</f>
        <v>1369</v>
      </c>
      <c r="G226">
        <f>'Fortress Creek'!E20</f>
        <v>773</v>
      </c>
      <c r="H226">
        <f>'Fortress Creek'!F20</f>
        <v>298</v>
      </c>
      <c r="I226">
        <f>'Fortress Creek'!G20</f>
        <v>245204</v>
      </c>
      <c r="J226">
        <f>'Fortress Creek'!H20</f>
        <v>72.7</v>
      </c>
      <c r="K226">
        <f>'Fortress Creek'!I20</f>
        <v>1588</v>
      </c>
      <c r="L226">
        <f>'Fortress Creek'!J20</f>
        <v>749</v>
      </c>
      <c r="M226">
        <f>'Fortress Creek'!K20</f>
        <v>102</v>
      </c>
      <c r="N226">
        <f>'Fortress Creek'!L20</f>
        <v>81323</v>
      </c>
      <c r="O226">
        <f>'Fortress Creek'!M20</f>
        <v>24.1</v>
      </c>
      <c r="P226">
        <f>'Fortress Creek'!N20</f>
        <v>1053</v>
      </c>
      <c r="Q226">
        <f>'Fortress Creek'!O20</f>
        <v>29</v>
      </c>
      <c r="R226">
        <f>'Fortress Creek'!P20</f>
        <v>87</v>
      </c>
      <c r="S226">
        <f>'Fortress Creek'!Q20</f>
        <v>2686</v>
      </c>
      <c r="T226">
        <f>'Fortress Creek'!R20</f>
        <v>0.8</v>
      </c>
      <c r="U226">
        <f>'Fortress Creek'!S20</f>
        <v>1160</v>
      </c>
      <c r="V226">
        <f>'Fortress Creek'!T20</f>
        <v>27</v>
      </c>
      <c r="W226">
        <f>'Fortress Creek'!U20</f>
        <v>3</v>
      </c>
      <c r="X226">
        <f>'Fortress Creek'!V20</f>
        <v>86</v>
      </c>
      <c r="Y226">
        <f>'Fortress Creek'!W20</f>
        <v>0</v>
      </c>
      <c r="Z226">
        <f>'Fortress Creek'!X20</f>
        <v>1296</v>
      </c>
      <c r="AA226">
        <f>'Fortress Creek'!Y20</f>
        <v>29</v>
      </c>
      <c r="AB226">
        <f>'Fortress Creek'!Z20</f>
        <v>1</v>
      </c>
      <c r="AC226">
        <f>'Fortress Creek'!AA20</f>
        <v>31</v>
      </c>
      <c r="AD226">
        <f>'Fortress Creek'!AB20</f>
        <v>0</v>
      </c>
      <c r="AE226">
        <f>'Fortress Creek'!AC20</f>
        <v>1410</v>
      </c>
      <c r="AF226">
        <f>'Fortress Creek'!AD20</f>
        <v>1</v>
      </c>
      <c r="AG226">
        <f>'Fortress Creek'!AE20</f>
        <v>1</v>
      </c>
      <c r="AH226">
        <f>'Fortress Creek'!AF20</f>
        <v>1</v>
      </c>
      <c r="AI226">
        <f>'Fortress Creek'!AG20</f>
        <v>0</v>
      </c>
      <c r="AJ226">
        <f>'Fortress Creek'!AH20</f>
        <v>1506</v>
      </c>
      <c r="AK226">
        <f>'Fortress Creek'!AI20</f>
        <v>41</v>
      </c>
      <c r="AL226">
        <f>'Fortress Creek'!AJ20</f>
        <v>39</v>
      </c>
      <c r="AM226">
        <f>'Fortress Creek'!AK20</f>
        <v>1702</v>
      </c>
      <c r="AN226">
        <f>'Fortress Creek'!AL20</f>
        <v>0.5</v>
      </c>
      <c r="AO226">
        <f>'Fortress Creek'!AM20</f>
        <v>1598</v>
      </c>
      <c r="AP226">
        <f>'Fortress Creek'!AN20</f>
        <v>53</v>
      </c>
      <c r="AQ226">
        <f>'Fortress Creek'!AO20</f>
        <v>21</v>
      </c>
      <c r="AR226">
        <f>'Fortress Creek'!AP20</f>
        <v>1185</v>
      </c>
      <c r="AS226">
        <f>'Fortress Creek'!AQ20</f>
        <v>0.4</v>
      </c>
      <c r="AT226">
        <f>'Fortress Creek'!AR20</f>
        <v>1720</v>
      </c>
      <c r="AU226">
        <f>'Fortress Creek'!AS20</f>
        <v>69</v>
      </c>
      <c r="AV226">
        <f>'Fortress Creek'!AT20</f>
        <v>67</v>
      </c>
      <c r="AW226">
        <f>'Fortress Creek'!AU20</f>
        <v>4921</v>
      </c>
      <c r="AX226">
        <f>'Fortress Creek'!AV20</f>
        <v>1.5</v>
      </c>
    </row>
    <row r="227" spans="1:50">
      <c r="A227" t="str">
        <f>'Fortress Creek'!A21</f>
        <v>/Users/christophermarjo/Documents/Python/Projects/data/bushfire Raman/Fortress Creek/FCM 2(2)</v>
      </c>
      <c r="B227" t="str">
        <f t="shared" si="3"/>
        <v>Fortress Creek</v>
      </c>
      <c r="C227">
        <v>2</v>
      </c>
      <c r="D227" t="str">
        <f>'Fortress Creek'!B21</f>
        <v>15.26 counts</v>
      </c>
      <c r="E227">
        <f>'Fortress Creek'!C21</f>
        <v>0.99226599999999998</v>
      </c>
      <c r="F227">
        <f>'Fortress Creek'!D21</f>
        <v>1369</v>
      </c>
      <c r="G227">
        <f>'Fortress Creek'!E21</f>
        <v>11493</v>
      </c>
      <c r="H227">
        <f>'Fortress Creek'!F21</f>
        <v>326</v>
      </c>
      <c r="I227">
        <f>'Fortress Creek'!G21</f>
        <v>3988258</v>
      </c>
      <c r="J227">
        <f>'Fortress Creek'!H21</f>
        <v>69.5</v>
      </c>
      <c r="K227">
        <f>'Fortress Creek'!I21</f>
        <v>1590</v>
      </c>
      <c r="L227">
        <f>'Fortress Creek'!J21</f>
        <v>13409</v>
      </c>
      <c r="M227">
        <f>'Fortress Creek'!K21</f>
        <v>100</v>
      </c>
      <c r="N227">
        <f>'Fortress Creek'!L21</f>
        <v>1427344</v>
      </c>
      <c r="O227">
        <f>'Fortress Creek'!M21</f>
        <v>24.9</v>
      </c>
      <c r="P227">
        <f>'Fortress Creek'!N21</f>
        <v>1037</v>
      </c>
      <c r="Q227">
        <f>'Fortress Creek'!O21</f>
        <v>441</v>
      </c>
      <c r="R227">
        <f>'Fortress Creek'!P21</f>
        <v>83</v>
      </c>
      <c r="S227">
        <f>'Fortress Creek'!Q21</f>
        <v>38963</v>
      </c>
      <c r="T227">
        <f>'Fortress Creek'!R21</f>
        <v>0.7</v>
      </c>
      <c r="U227">
        <f>'Fortress Creek'!S21</f>
        <v>1152</v>
      </c>
      <c r="V227">
        <f>'Fortress Creek'!T21</f>
        <v>5</v>
      </c>
      <c r="W227">
        <f>'Fortress Creek'!U21</f>
        <v>1</v>
      </c>
      <c r="X227">
        <f>'Fortress Creek'!V21</f>
        <v>5</v>
      </c>
      <c r="Y227">
        <f>'Fortress Creek'!W21</f>
        <v>0</v>
      </c>
      <c r="Z227">
        <f>'Fortress Creek'!X21</f>
        <v>1270</v>
      </c>
      <c r="AA227">
        <f>'Fortress Creek'!Y21</f>
        <v>1</v>
      </c>
      <c r="AB227">
        <f>'Fortress Creek'!Z21</f>
        <v>1</v>
      </c>
      <c r="AC227">
        <f>'Fortress Creek'!AA21</f>
        <v>1</v>
      </c>
      <c r="AD227">
        <f>'Fortress Creek'!AB21</f>
        <v>0</v>
      </c>
      <c r="AE227">
        <f>'Fortress Creek'!AC21</f>
        <v>1402</v>
      </c>
      <c r="AF227">
        <f>'Fortress Creek'!AD21</f>
        <v>63</v>
      </c>
      <c r="AG227">
        <f>'Fortress Creek'!AE21</f>
        <v>1</v>
      </c>
      <c r="AH227">
        <f>'Fortress Creek'!AF21</f>
        <v>67</v>
      </c>
      <c r="AI227">
        <f>'Fortress Creek'!AG21</f>
        <v>0</v>
      </c>
      <c r="AJ227">
        <f>'Fortress Creek'!AH21</f>
        <v>1500</v>
      </c>
      <c r="AK227">
        <f>'Fortress Creek'!AI21</f>
        <v>415</v>
      </c>
      <c r="AL227">
        <f>'Fortress Creek'!AJ21</f>
        <v>27</v>
      </c>
      <c r="AM227">
        <f>'Fortress Creek'!AK21</f>
        <v>11927</v>
      </c>
      <c r="AN227">
        <f>'Fortress Creek'!AL21</f>
        <v>0.2</v>
      </c>
      <c r="AO227">
        <f>'Fortress Creek'!AM21</f>
        <v>1598</v>
      </c>
      <c r="AP227">
        <f>'Fortress Creek'!AN21</f>
        <v>1813</v>
      </c>
      <c r="AQ227">
        <f>'Fortress Creek'!AO21</f>
        <v>27</v>
      </c>
      <c r="AR227">
        <f>'Fortress Creek'!AP21</f>
        <v>52107</v>
      </c>
      <c r="AS227">
        <f>'Fortress Creek'!AQ21</f>
        <v>0.9</v>
      </c>
      <c r="AT227">
        <f>'Fortress Creek'!AR21</f>
        <v>1734</v>
      </c>
      <c r="AU227">
        <f>'Fortress Creek'!AS21</f>
        <v>1269</v>
      </c>
      <c r="AV227">
        <f>'Fortress Creek'!AT21</f>
        <v>161</v>
      </c>
      <c r="AW227">
        <f>'Fortress Creek'!AU21</f>
        <v>217480</v>
      </c>
      <c r="AX227">
        <f>'Fortress Creek'!AV21</f>
        <v>3.8</v>
      </c>
    </row>
    <row r="228" spans="1:50">
      <c r="A228" t="str">
        <f>'Fortress Creek'!A22</f>
        <v>/Users/christophermarjo/Documents/Python/Projects/data/bushfire Raman/Fortress Creek/FCM 3 (4)</v>
      </c>
      <c r="B228" t="str">
        <f t="shared" si="3"/>
        <v>Fortress Creek</v>
      </c>
      <c r="C228">
        <v>3</v>
      </c>
      <c r="D228" t="str">
        <f>'Fortress Creek'!B22</f>
        <v>12.77 counts</v>
      </c>
      <c r="E228">
        <f>'Fortress Creek'!C22</f>
        <v>0.99346500000000004</v>
      </c>
      <c r="F228">
        <f>'Fortress Creek'!D22</f>
        <v>1369</v>
      </c>
      <c r="G228">
        <f>'Fortress Creek'!E22</f>
        <v>10095</v>
      </c>
      <c r="H228">
        <f>'Fortress Creek'!F22</f>
        <v>318</v>
      </c>
      <c r="I228">
        <f>'Fortress Creek'!G22</f>
        <v>3417163</v>
      </c>
      <c r="J228">
        <f>'Fortress Creek'!H22</f>
        <v>67.900000000000006</v>
      </c>
      <c r="K228">
        <f>'Fortress Creek'!I22</f>
        <v>1592</v>
      </c>
      <c r="L228">
        <f>'Fortress Creek'!J22</f>
        <v>12801</v>
      </c>
      <c r="M228">
        <f>'Fortress Creek'!K22</f>
        <v>100</v>
      </c>
      <c r="N228">
        <f>'Fortress Creek'!L22</f>
        <v>1362624</v>
      </c>
      <c r="O228">
        <f>'Fortress Creek'!M22</f>
        <v>27.1</v>
      </c>
      <c r="P228">
        <f>'Fortress Creek'!N22</f>
        <v>1057</v>
      </c>
      <c r="Q228">
        <f>'Fortress Creek'!O22</f>
        <v>435</v>
      </c>
      <c r="R228">
        <f>'Fortress Creek'!P22</f>
        <v>81</v>
      </c>
      <c r="S228">
        <f>'Fortress Creek'!Q22</f>
        <v>37506</v>
      </c>
      <c r="T228">
        <f>'Fortress Creek'!R22</f>
        <v>0.7</v>
      </c>
      <c r="U228">
        <f>'Fortress Creek'!S22</f>
        <v>1156</v>
      </c>
      <c r="V228">
        <f>'Fortress Creek'!T22</f>
        <v>23</v>
      </c>
      <c r="W228">
        <f>'Fortress Creek'!U22</f>
        <v>19</v>
      </c>
      <c r="X228">
        <f>'Fortress Creek'!V22</f>
        <v>465</v>
      </c>
      <c r="Y228">
        <f>'Fortress Creek'!W22</f>
        <v>0</v>
      </c>
      <c r="Z228">
        <f>'Fortress Creek'!X22</f>
        <v>1270</v>
      </c>
      <c r="AA228">
        <f>'Fortress Creek'!Y22</f>
        <v>1</v>
      </c>
      <c r="AB228">
        <f>'Fortress Creek'!Z22</f>
        <v>1</v>
      </c>
      <c r="AC228">
        <f>'Fortress Creek'!AA22</f>
        <v>1</v>
      </c>
      <c r="AD228">
        <f>'Fortress Creek'!AB22</f>
        <v>0</v>
      </c>
      <c r="AE228">
        <f>'Fortress Creek'!AC22</f>
        <v>1400</v>
      </c>
      <c r="AF228">
        <f>'Fortress Creek'!AD22</f>
        <v>675</v>
      </c>
      <c r="AG228">
        <f>'Fortress Creek'!AE22</f>
        <v>1</v>
      </c>
      <c r="AH228">
        <f>'Fortress Creek'!AF22</f>
        <v>719</v>
      </c>
      <c r="AI228">
        <f>'Fortress Creek'!AG22</f>
        <v>0</v>
      </c>
      <c r="AJ228">
        <f>'Fortress Creek'!AH22</f>
        <v>1500</v>
      </c>
      <c r="AK228">
        <f>'Fortress Creek'!AI22</f>
        <v>253</v>
      </c>
      <c r="AL228">
        <f>'Fortress Creek'!AJ22</f>
        <v>19</v>
      </c>
      <c r="AM228">
        <f>'Fortress Creek'!AK22</f>
        <v>5117</v>
      </c>
      <c r="AN228">
        <f>'Fortress Creek'!AL22</f>
        <v>0.1</v>
      </c>
      <c r="AO228">
        <f>'Fortress Creek'!AM22</f>
        <v>1590</v>
      </c>
      <c r="AP228">
        <f>'Fortress Creek'!AN22</f>
        <v>1843</v>
      </c>
      <c r="AQ228">
        <f>'Fortress Creek'!AO22</f>
        <v>31</v>
      </c>
      <c r="AR228">
        <f>'Fortress Creek'!AP22</f>
        <v>60816</v>
      </c>
      <c r="AS228">
        <f>'Fortress Creek'!AQ22</f>
        <v>1.2</v>
      </c>
      <c r="AT228">
        <f>'Fortress Creek'!AR22</f>
        <v>1732</v>
      </c>
      <c r="AU228">
        <f>'Fortress Creek'!AS22</f>
        <v>1119</v>
      </c>
      <c r="AV228">
        <f>'Fortress Creek'!AT22</f>
        <v>123</v>
      </c>
      <c r="AW228">
        <f>'Fortress Creek'!AU22</f>
        <v>146510</v>
      </c>
      <c r="AX228">
        <f>'Fortress Creek'!AV22</f>
        <v>2.9</v>
      </c>
    </row>
    <row r="229" spans="1:50">
      <c r="A229" t="str">
        <f>'Fortress Creek'!A23</f>
        <v>/Users/christophermarjo/Documents/Python/Projects/data/bushfire Raman/Fortress Creek/FCM 3.5 (1)</v>
      </c>
      <c r="B229" t="str">
        <f t="shared" si="3"/>
        <v>Fortress Creek</v>
      </c>
      <c r="C229">
        <v>3.5</v>
      </c>
      <c r="D229" t="str">
        <f>'Fortress Creek'!B23</f>
        <v>8.26 counts</v>
      </c>
      <c r="E229">
        <f>'Fortress Creek'!C23</f>
        <v>0.98901700000000003</v>
      </c>
      <c r="F229">
        <f>'Fortress Creek'!D23</f>
        <v>1369</v>
      </c>
      <c r="G229">
        <f>'Fortress Creek'!E23</f>
        <v>5431</v>
      </c>
      <c r="H229">
        <f>'Fortress Creek'!F23</f>
        <v>308</v>
      </c>
      <c r="I229">
        <f>'Fortress Creek'!G23</f>
        <v>1780585</v>
      </c>
      <c r="J229">
        <f>'Fortress Creek'!H23</f>
        <v>68.7</v>
      </c>
      <c r="K229">
        <f>'Fortress Creek'!I23</f>
        <v>1594</v>
      </c>
      <c r="L229">
        <f>'Fortress Creek'!J23</f>
        <v>6325</v>
      </c>
      <c r="M229">
        <f>'Fortress Creek'!K23</f>
        <v>100</v>
      </c>
      <c r="N229">
        <f>'Fortress Creek'!L23</f>
        <v>673275</v>
      </c>
      <c r="O229">
        <f>'Fortress Creek'!M23</f>
        <v>26</v>
      </c>
      <c r="P229">
        <f>'Fortress Creek'!N23</f>
        <v>1041</v>
      </c>
      <c r="Q229">
        <f>'Fortress Creek'!O23</f>
        <v>283</v>
      </c>
      <c r="R229">
        <f>'Fortress Creek'!P23</f>
        <v>109</v>
      </c>
      <c r="S229">
        <f>'Fortress Creek'!Q23</f>
        <v>32836</v>
      </c>
      <c r="T229">
        <f>'Fortress Creek'!R23</f>
        <v>1.3</v>
      </c>
      <c r="U229">
        <f>'Fortress Creek'!S23</f>
        <v>1152</v>
      </c>
      <c r="V229">
        <f>'Fortress Creek'!T23</f>
        <v>31</v>
      </c>
      <c r="W229">
        <f>'Fortress Creek'!U23</f>
        <v>1</v>
      </c>
      <c r="X229">
        <f>'Fortress Creek'!V23</f>
        <v>33</v>
      </c>
      <c r="Y229">
        <f>'Fortress Creek'!W23</f>
        <v>0</v>
      </c>
      <c r="Z229">
        <f>'Fortress Creek'!X23</f>
        <v>1270</v>
      </c>
      <c r="AA229">
        <f>'Fortress Creek'!Y23</f>
        <v>1</v>
      </c>
      <c r="AB229">
        <f>'Fortress Creek'!Z23</f>
        <v>1</v>
      </c>
      <c r="AC229">
        <f>'Fortress Creek'!AA23</f>
        <v>1</v>
      </c>
      <c r="AD229">
        <f>'Fortress Creek'!AB23</f>
        <v>0</v>
      </c>
      <c r="AE229">
        <f>'Fortress Creek'!AC23</f>
        <v>1408</v>
      </c>
      <c r="AF229">
        <f>'Fortress Creek'!AD23</f>
        <v>95</v>
      </c>
      <c r="AG229">
        <f>'Fortress Creek'!AE23</f>
        <v>1</v>
      </c>
      <c r="AH229">
        <f>'Fortress Creek'!AF23</f>
        <v>101</v>
      </c>
      <c r="AI229">
        <f>'Fortress Creek'!AG23</f>
        <v>0</v>
      </c>
      <c r="AJ229">
        <f>'Fortress Creek'!AH23</f>
        <v>1500</v>
      </c>
      <c r="AK229">
        <f>'Fortress Creek'!AI23</f>
        <v>127</v>
      </c>
      <c r="AL229">
        <f>'Fortress Creek'!AJ23</f>
        <v>35</v>
      </c>
      <c r="AM229">
        <f>'Fortress Creek'!AK23</f>
        <v>4732</v>
      </c>
      <c r="AN229">
        <f>'Fortress Creek'!AL23</f>
        <v>0.2</v>
      </c>
      <c r="AO229">
        <f>'Fortress Creek'!AM23</f>
        <v>1598</v>
      </c>
      <c r="AP229">
        <f>'Fortress Creek'!AN23</f>
        <v>195</v>
      </c>
      <c r="AQ229">
        <f>'Fortress Creek'!AO23</f>
        <v>27</v>
      </c>
      <c r="AR229">
        <f>'Fortress Creek'!AP23</f>
        <v>5604</v>
      </c>
      <c r="AS229">
        <f>'Fortress Creek'!AQ23</f>
        <v>0.2</v>
      </c>
      <c r="AT229">
        <f>'Fortress Creek'!AR23</f>
        <v>1736</v>
      </c>
      <c r="AU229">
        <f>'Fortress Creek'!AS23</f>
        <v>603</v>
      </c>
      <c r="AV229">
        <f>'Fortress Creek'!AT23</f>
        <v>149</v>
      </c>
      <c r="AW229">
        <f>'Fortress Creek'!AU23</f>
        <v>95639</v>
      </c>
      <c r="AX229">
        <f>'Fortress Creek'!AV23</f>
        <v>3.7</v>
      </c>
    </row>
    <row r="230" spans="1:50">
      <c r="A230" t="str">
        <f>'Fortress Creek'!A24</f>
        <v>/Users/christophermarjo/Documents/Python/Projects/data/bushfire Raman/Fortress Creek/FCM 3.5 (2)</v>
      </c>
      <c r="B230" t="str">
        <f t="shared" si="3"/>
        <v>Fortress Creek</v>
      </c>
      <c r="C230">
        <v>3.5</v>
      </c>
      <c r="D230" t="str">
        <f>'Fortress Creek'!B24</f>
        <v>10.35 counts</v>
      </c>
      <c r="E230">
        <f>'Fortress Creek'!C24</f>
        <v>0.98980400000000002</v>
      </c>
      <c r="F230">
        <f>'Fortress Creek'!D24</f>
        <v>1369</v>
      </c>
      <c r="G230">
        <f>'Fortress Creek'!E24</f>
        <v>6697</v>
      </c>
      <c r="H230">
        <f>'Fortress Creek'!F24</f>
        <v>342</v>
      </c>
      <c r="I230">
        <f>'Fortress Creek'!G24</f>
        <v>2438028</v>
      </c>
      <c r="J230">
        <f>'Fortress Creek'!H24</f>
        <v>71.2</v>
      </c>
      <c r="K230">
        <f>'Fortress Creek'!I24</f>
        <v>1590</v>
      </c>
      <c r="L230">
        <f>'Fortress Creek'!J24</f>
        <v>7817</v>
      </c>
      <c r="M230">
        <f>'Fortress Creek'!K24</f>
        <v>102</v>
      </c>
      <c r="N230">
        <f>'Fortress Creek'!L24</f>
        <v>848736</v>
      </c>
      <c r="O230">
        <f>'Fortress Creek'!M24</f>
        <v>24.8</v>
      </c>
      <c r="P230">
        <f>'Fortress Creek'!N24</f>
        <v>1051</v>
      </c>
      <c r="Q230">
        <f>'Fortress Creek'!O24</f>
        <v>231</v>
      </c>
      <c r="R230">
        <f>'Fortress Creek'!P24</f>
        <v>43</v>
      </c>
      <c r="S230">
        <f>'Fortress Creek'!Q24</f>
        <v>10573</v>
      </c>
      <c r="T230">
        <f>'Fortress Creek'!R24</f>
        <v>0.3</v>
      </c>
      <c r="U230">
        <f>'Fortress Creek'!S24</f>
        <v>1154</v>
      </c>
      <c r="V230">
        <f>'Fortress Creek'!T24</f>
        <v>1</v>
      </c>
      <c r="W230">
        <f>'Fortress Creek'!U24</f>
        <v>1</v>
      </c>
      <c r="X230">
        <f>'Fortress Creek'!V24</f>
        <v>1</v>
      </c>
      <c r="Y230">
        <f>'Fortress Creek'!W24</f>
        <v>0</v>
      </c>
      <c r="Z230">
        <f>'Fortress Creek'!X24</f>
        <v>1270</v>
      </c>
      <c r="AA230">
        <f>'Fortress Creek'!Y24</f>
        <v>1</v>
      </c>
      <c r="AB230">
        <f>'Fortress Creek'!Z24</f>
        <v>1</v>
      </c>
      <c r="AC230">
        <f>'Fortress Creek'!AA24</f>
        <v>1</v>
      </c>
      <c r="AD230">
        <f>'Fortress Creek'!AB24</f>
        <v>0</v>
      </c>
      <c r="AE230">
        <f>'Fortress Creek'!AC24</f>
        <v>1402</v>
      </c>
      <c r="AF230">
        <f>'Fortress Creek'!AD24</f>
        <v>119</v>
      </c>
      <c r="AG230">
        <f>'Fortress Creek'!AE24</f>
        <v>1</v>
      </c>
      <c r="AH230">
        <f>'Fortress Creek'!AF24</f>
        <v>127</v>
      </c>
      <c r="AI230">
        <f>'Fortress Creek'!AG24</f>
        <v>0</v>
      </c>
      <c r="AJ230">
        <f>'Fortress Creek'!AH24</f>
        <v>1500</v>
      </c>
      <c r="AK230">
        <f>'Fortress Creek'!AI24</f>
        <v>141</v>
      </c>
      <c r="AL230">
        <f>'Fortress Creek'!AJ24</f>
        <v>47</v>
      </c>
      <c r="AM230">
        <f>'Fortress Creek'!AK24</f>
        <v>7054</v>
      </c>
      <c r="AN230">
        <f>'Fortress Creek'!AL24</f>
        <v>0.2</v>
      </c>
      <c r="AO230">
        <f>'Fortress Creek'!AM24</f>
        <v>1598</v>
      </c>
      <c r="AP230">
        <f>'Fortress Creek'!AN24</f>
        <v>757</v>
      </c>
      <c r="AQ230">
        <f>'Fortress Creek'!AO24</f>
        <v>27</v>
      </c>
      <c r="AR230">
        <f>'Fortress Creek'!AP24</f>
        <v>21757</v>
      </c>
      <c r="AS230">
        <f>'Fortress Creek'!AQ24</f>
        <v>0.6</v>
      </c>
      <c r="AT230">
        <f>'Fortress Creek'!AR24</f>
        <v>1728</v>
      </c>
      <c r="AU230">
        <f>'Fortress Creek'!AS24</f>
        <v>757</v>
      </c>
      <c r="AV230">
        <f>'Fortress Creek'!AT24</f>
        <v>119</v>
      </c>
      <c r="AW230">
        <f>'Fortress Creek'!AU24</f>
        <v>95890</v>
      </c>
      <c r="AX230">
        <f>'Fortress Creek'!AV24</f>
        <v>2.8</v>
      </c>
    </row>
    <row r="231" spans="1:50">
      <c r="A231" t="str">
        <f>'Fortress Creek'!A25</f>
        <v>/Users/christophermarjo/Documents/Python/Projects/data/bushfire Raman/Fortress Creek/FCM 3.5 (3)</v>
      </c>
      <c r="B231" t="str">
        <f t="shared" si="3"/>
        <v>Fortress Creek</v>
      </c>
      <c r="C231">
        <v>3.5</v>
      </c>
      <c r="D231" t="str">
        <f>'Fortress Creek'!B25</f>
        <v>11.38 counts</v>
      </c>
      <c r="E231">
        <f>'Fortress Creek'!C25</f>
        <v>0.98924299999999998</v>
      </c>
      <c r="F231">
        <f>'Fortress Creek'!D25</f>
        <v>1369</v>
      </c>
      <c r="G231">
        <f>'Fortress Creek'!E25</f>
        <v>7141</v>
      </c>
      <c r="H231">
        <f>'Fortress Creek'!F25</f>
        <v>332</v>
      </c>
      <c r="I231">
        <f>'Fortress Creek'!G25</f>
        <v>2523651</v>
      </c>
      <c r="J231">
        <f>'Fortress Creek'!H25</f>
        <v>70</v>
      </c>
      <c r="K231">
        <f>'Fortress Creek'!I25</f>
        <v>1586</v>
      </c>
      <c r="L231">
        <f>'Fortress Creek'!J25</f>
        <v>8077</v>
      </c>
      <c r="M231">
        <f>'Fortress Creek'!K25</f>
        <v>114</v>
      </c>
      <c r="N231">
        <f>'Fortress Creek'!L25</f>
        <v>980138</v>
      </c>
      <c r="O231">
        <f>'Fortress Creek'!M25</f>
        <v>27.2</v>
      </c>
      <c r="P231">
        <f>'Fortress Creek'!N25</f>
        <v>1049</v>
      </c>
      <c r="Q231">
        <f>'Fortress Creek'!O25</f>
        <v>255</v>
      </c>
      <c r="R231">
        <f>'Fortress Creek'!P25</f>
        <v>63</v>
      </c>
      <c r="S231">
        <f>'Fortress Creek'!Q25</f>
        <v>17101</v>
      </c>
      <c r="T231">
        <f>'Fortress Creek'!R25</f>
        <v>0.5</v>
      </c>
      <c r="U231">
        <f>'Fortress Creek'!S25</f>
        <v>1154</v>
      </c>
      <c r="V231">
        <f>'Fortress Creek'!T25</f>
        <v>1</v>
      </c>
      <c r="W231">
        <f>'Fortress Creek'!U25</f>
        <v>1</v>
      </c>
      <c r="X231">
        <f>'Fortress Creek'!V25</f>
        <v>1</v>
      </c>
      <c r="Y231">
        <f>'Fortress Creek'!W25</f>
        <v>0</v>
      </c>
      <c r="Z231">
        <f>'Fortress Creek'!X25</f>
        <v>1270</v>
      </c>
      <c r="AA231">
        <f>'Fortress Creek'!Y25</f>
        <v>1</v>
      </c>
      <c r="AB231">
        <f>'Fortress Creek'!Z25</f>
        <v>1</v>
      </c>
      <c r="AC231">
        <f>'Fortress Creek'!AA25</f>
        <v>1</v>
      </c>
      <c r="AD231">
        <f>'Fortress Creek'!AB25</f>
        <v>0</v>
      </c>
      <c r="AE231">
        <f>'Fortress Creek'!AC25</f>
        <v>1456</v>
      </c>
      <c r="AF231">
        <f>'Fortress Creek'!AD25</f>
        <v>235</v>
      </c>
      <c r="AG231">
        <f>'Fortress Creek'!AE25</f>
        <v>59</v>
      </c>
      <c r="AH231">
        <f>'Fortress Creek'!AF25</f>
        <v>14759</v>
      </c>
      <c r="AI231">
        <f>'Fortress Creek'!AG25</f>
        <v>0.4</v>
      </c>
      <c r="AJ231">
        <f>'Fortress Creek'!AH25</f>
        <v>1486</v>
      </c>
      <c r="AK231">
        <f>'Fortress Creek'!AI25</f>
        <v>63</v>
      </c>
      <c r="AL231">
        <f>'Fortress Creek'!AJ25</f>
        <v>23</v>
      </c>
      <c r="AM231">
        <f>'Fortress Creek'!AK25</f>
        <v>1542</v>
      </c>
      <c r="AN231">
        <f>'Fortress Creek'!AL25</f>
        <v>0</v>
      </c>
      <c r="AO231">
        <f>'Fortress Creek'!AM25</f>
        <v>1580</v>
      </c>
      <c r="AP231">
        <f>'Fortress Creek'!AN25</f>
        <v>371</v>
      </c>
      <c r="AQ231">
        <f>'Fortress Creek'!AO25</f>
        <v>3</v>
      </c>
      <c r="AR231">
        <f>'Fortress Creek'!AP25</f>
        <v>1185</v>
      </c>
      <c r="AS231">
        <f>'Fortress Creek'!AQ25</f>
        <v>0</v>
      </c>
      <c r="AT231">
        <f>'Fortress Creek'!AR25</f>
        <v>1740</v>
      </c>
      <c r="AU231">
        <f>'Fortress Creek'!AS25</f>
        <v>593</v>
      </c>
      <c r="AV231">
        <f>'Fortress Creek'!AT25</f>
        <v>109</v>
      </c>
      <c r="AW231">
        <f>'Fortress Creek'!AU25</f>
        <v>68804</v>
      </c>
      <c r="AX231">
        <f>'Fortress Creek'!AV25</f>
        <v>1.9</v>
      </c>
    </row>
    <row r="232" spans="1:50">
      <c r="A232" t="str">
        <f>'Fortress Creek'!A26</f>
        <v>/Users/christophermarjo/Documents/Python/Projects/data/bushfire Raman/Fortress Creek/FCM 3(1)</v>
      </c>
      <c r="B232" t="str">
        <f t="shared" si="3"/>
        <v>Fortress Creek</v>
      </c>
      <c r="C232">
        <v>3</v>
      </c>
      <c r="D232" t="str">
        <f>'Fortress Creek'!B26</f>
        <v>13.36 counts</v>
      </c>
      <c r="E232">
        <f>'Fortress Creek'!C26</f>
        <v>0.98834299999999997</v>
      </c>
      <c r="F232">
        <f>'Fortress Creek'!D26</f>
        <v>1369</v>
      </c>
      <c r="G232">
        <f>'Fortress Creek'!E26</f>
        <v>8023</v>
      </c>
      <c r="H232">
        <f>'Fortress Creek'!F26</f>
        <v>332</v>
      </c>
      <c r="I232">
        <f>'Fortress Creek'!G26</f>
        <v>2835353</v>
      </c>
      <c r="J232">
        <f>'Fortress Creek'!H26</f>
        <v>67.7</v>
      </c>
      <c r="K232">
        <f>'Fortress Creek'!I26</f>
        <v>1590</v>
      </c>
      <c r="L232">
        <f>'Fortress Creek'!J26</f>
        <v>10185</v>
      </c>
      <c r="M232">
        <f>'Fortress Creek'!K26</f>
        <v>104</v>
      </c>
      <c r="N232">
        <f>'Fortress Creek'!L26</f>
        <v>1127526</v>
      </c>
      <c r="O232">
        <f>'Fortress Creek'!M26</f>
        <v>26.9</v>
      </c>
      <c r="P232">
        <f>'Fortress Creek'!N26</f>
        <v>1021</v>
      </c>
      <c r="Q232">
        <f>'Fortress Creek'!O26</f>
        <v>309</v>
      </c>
      <c r="R232">
        <f>'Fortress Creek'!P26</f>
        <v>51</v>
      </c>
      <c r="S232">
        <f>'Fortress Creek'!Q26</f>
        <v>16775</v>
      </c>
      <c r="T232">
        <f>'Fortress Creek'!R26</f>
        <v>0.4</v>
      </c>
      <c r="U232">
        <f>'Fortress Creek'!S26</f>
        <v>1154</v>
      </c>
      <c r="V232">
        <f>'Fortress Creek'!T26</f>
        <v>1</v>
      </c>
      <c r="W232">
        <f>'Fortress Creek'!U26</f>
        <v>1</v>
      </c>
      <c r="X232">
        <f>'Fortress Creek'!V26</f>
        <v>1</v>
      </c>
      <c r="Y232">
        <f>'Fortress Creek'!W26</f>
        <v>0</v>
      </c>
      <c r="Z232">
        <f>'Fortress Creek'!X26</f>
        <v>1270</v>
      </c>
      <c r="AA232">
        <f>'Fortress Creek'!Y26</f>
        <v>1</v>
      </c>
      <c r="AB232">
        <f>'Fortress Creek'!Z26</f>
        <v>1</v>
      </c>
      <c r="AC232">
        <f>'Fortress Creek'!AA26</f>
        <v>1</v>
      </c>
      <c r="AD232">
        <f>'Fortress Creek'!AB26</f>
        <v>0</v>
      </c>
      <c r="AE232">
        <f>'Fortress Creek'!AC26</f>
        <v>1456</v>
      </c>
      <c r="AF232">
        <f>'Fortress Creek'!AD26</f>
        <v>207</v>
      </c>
      <c r="AG232">
        <f>'Fortress Creek'!AE26</f>
        <v>91</v>
      </c>
      <c r="AH232">
        <f>'Fortress Creek'!AF26</f>
        <v>20051</v>
      </c>
      <c r="AI232">
        <f>'Fortress Creek'!AG26</f>
        <v>0.5</v>
      </c>
      <c r="AJ232">
        <f>'Fortress Creek'!AH26</f>
        <v>1500</v>
      </c>
      <c r="AK232">
        <f>'Fortress Creek'!AI26</f>
        <v>457</v>
      </c>
      <c r="AL232">
        <f>'Fortress Creek'!AJ26</f>
        <v>21</v>
      </c>
      <c r="AM232">
        <f>'Fortress Creek'!AK26</f>
        <v>10216</v>
      </c>
      <c r="AN232">
        <f>'Fortress Creek'!AL26</f>
        <v>0.2</v>
      </c>
      <c r="AO232">
        <f>'Fortress Creek'!AM26</f>
        <v>1598</v>
      </c>
      <c r="AP232">
        <f>'Fortress Creek'!AN26</f>
        <v>273</v>
      </c>
      <c r="AQ232">
        <f>'Fortress Creek'!AO26</f>
        <v>23</v>
      </c>
      <c r="AR232">
        <f>'Fortress Creek'!AP26</f>
        <v>6684</v>
      </c>
      <c r="AS232">
        <f>'Fortress Creek'!AQ26</f>
        <v>0.2</v>
      </c>
      <c r="AT232">
        <f>'Fortress Creek'!AR26</f>
        <v>1744</v>
      </c>
      <c r="AU232">
        <f>'Fortress Creek'!AS26</f>
        <v>951</v>
      </c>
      <c r="AV232">
        <f>'Fortress Creek'!AT26</f>
        <v>171</v>
      </c>
      <c r="AW232">
        <f>'Fortress Creek'!AU26</f>
        <v>173105</v>
      </c>
      <c r="AX232">
        <f>'Fortress Creek'!AV26</f>
        <v>4.0999999999999996</v>
      </c>
    </row>
    <row r="233" spans="1:50">
      <c r="A233" t="str">
        <f>'Fortress Creek'!A27</f>
        <v>/Users/christophermarjo/Documents/Python/Projects/data/bushfire Raman/Fortress Creek/FCM 3(2)</v>
      </c>
      <c r="B233" t="str">
        <f t="shared" si="3"/>
        <v>Fortress Creek</v>
      </c>
      <c r="C233">
        <v>3</v>
      </c>
      <c r="D233" t="str">
        <f>'Fortress Creek'!B27</f>
        <v>23.34 counts</v>
      </c>
      <c r="E233">
        <f>'Fortress Creek'!C27</f>
        <v>0.98732500000000001</v>
      </c>
      <c r="F233">
        <f>'Fortress Creek'!D27</f>
        <v>1369</v>
      </c>
      <c r="G233">
        <f>'Fortress Creek'!E27</f>
        <v>13605</v>
      </c>
      <c r="H233">
        <f>'Fortress Creek'!F27</f>
        <v>310</v>
      </c>
      <c r="I233">
        <f>'Fortress Creek'!G27</f>
        <v>4489443</v>
      </c>
      <c r="J233">
        <f>'Fortress Creek'!H27</f>
        <v>66.2</v>
      </c>
      <c r="K233">
        <f>'Fortress Creek'!I27</f>
        <v>1590</v>
      </c>
      <c r="L233">
        <f>'Fortress Creek'!J27</f>
        <v>17185</v>
      </c>
      <c r="M233">
        <f>'Fortress Creek'!K27</f>
        <v>102</v>
      </c>
      <c r="N233">
        <f>'Fortress Creek'!L27</f>
        <v>1865872</v>
      </c>
      <c r="O233">
        <f>'Fortress Creek'!M27</f>
        <v>27.5</v>
      </c>
      <c r="P233">
        <f>'Fortress Creek'!N27</f>
        <v>1039</v>
      </c>
      <c r="Q233">
        <f>'Fortress Creek'!O27</f>
        <v>413</v>
      </c>
      <c r="R233">
        <f>'Fortress Creek'!P27</f>
        <v>47</v>
      </c>
      <c r="S233">
        <f>'Fortress Creek'!Q27</f>
        <v>20662</v>
      </c>
      <c r="T233">
        <f>'Fortress Creek'!R27</f>
        <v>0.3</v>
      </c>
      <c r="U233">
        <f>'Fortress Creek'!S27</f>
        <v>1170</v>
      </c>
      <c r="V233">
        <f>'Fortress Creek'!T27</f>
        <v>287</v>
      </c>
      <c r="W233">
        <f>'Fortress Creek'!U27</f>
        <v>5</v>
      </c>
      <c r="X233">
        <f>'Fortress Creek'!V27</f>
        <v>1528</v>
      </c>
      <c r="Y233">
        <f>'Fortress Creek'!W27</f>
        <v>0</v>
      </c>
      <c r="Z233">
        <f>'Fortress Creek'!X27</f>
        <v>1270</v>
      </c>
      <c r="AA233">
        <f>'Fortress Creek'!Y27</f>
        <v>1</v>
      </c>
      <c r="AB233">
        <f>'Fortress Creek'!Z27</f>
        <v>1</v>
      </c>
      <c r="AC233">
        <f>'Fortress Creek'!AA27</f>
        <v>1</v>
      </c>
      <c r="AD233">
        <f>'Fortress Creek'!AB27</f>
        <v>0</v>
      </c>
      <c r="AE233">
        <f>'Fortress Creek'!AC27</f>
        <v>1456</v>
      </c>
      <c r="AF233">
        <f>'Fortress Creek'!AD27</f>
        <v>473</v>
      </c>
      <c r="AG233">
        <f>'Fortress Creek'!AE27</f>
        <v>33</v>
      </c>
      <c r="AH233">
        <f>'Fortress Creek'!AF27</f>
        <v>16615</v>
      </c>
      <c r="AI233">
        <f>'Fortress Creek'!AG27</f>
        <v>0.2</v>
      </c>
      <c r="AJ233">
        <f>'Fortress Creek'!AH27</f>
        <v>1500</v>
      </c>
      <c r="AK233">
        <f>'Fortress Creek'!AI27</f>
        <v>1329</v>
      </c>
      <c r="AL233">
        <f>'Fortress Creek'!AJ27</f>
        <v>27</v>
      </c>
      <c r="AM233">
        <f>'Fortress Creek'!AK27</f>
        <v>38196</v>
      </c>
      <c r="AN233">
        <f>'Fortress Creek'!AL27</f>
        <v>0.6</v>
      </c>
      <c r="AO233">
        <f>'Fortress Creek'!AM27</f>
        <v>1596</v>
      </c>
      <c r="AP233">
        <f>'Fortress Creek'!AN27</f>
        <v>1381</v>
      </c>
      <c r="AQ233">
        <f>'Fortress Creek'!AO27</f>
        <v>23</v>
      </c>
      <c r="AR233">
        <f>'Fortress Creek'!AP27</f>
        <v>33811</v>
      </c>
      <c r="AS233">
        <f>'Fortress Creek'!AQ27</f>
        <v>0.5</v>
      </c>
      <c r="AT233">
        <f>'Fortress Creek'!AR27</f>
        <v>1748</v>
      </c>
      <c r="AU233">
        <f>'Fortress Creek'!AS27</f>
        <v>1699</v>
      </c>
      <c r="AV233">
        <f>'Fortress Creek'!AT27</f>
        <v>177</v>
      </c>
      <c r="AW233">
        <f>'Fortress Creek'!AU27</f>
        <v>320110</v>
      </c>
      <c r="AX233">
        <f>'Fortress Creek'!AV27</f>
        <v>4.7</v>
      </c>
    </row>
    <row r="234" spans="1:50">
      <c r="A234" t="str">
        <f>'Fortress Creek'!A28</f>
        <v>/Users/christophermarjo/Documents/Python/Projects/data/bushfire Raman/Fortress Creek/FCM 3(3)</v>
      </c>
      <c r="B234" t="str">
        <f t="shared" si="3"/>
        <v>Fortress Creek</v>
      </c>
      <c r="C234">
        <v>3</v>
      </c>
      <c r="D234" t="str">
        <f>'Fortress Creek'!B28</f>
        <v>35.91 counts</v>
      </c>
      <c r="E234">
        <f>'Fortress Creek'!C28</f>
        <v>0.985375</v>
      </c>
      <c r="F234">
        <f>'Fortress Creek'!D28</f>
        <v>1369</v>
      </c>
      <c r="G234">
        <f>'Fortress Creek'!E28</f>
        <v>20741</v>
      </c>
      <c r="H234">
        <f>'Fortress Creek'!F28</f>
        <v>306</v>
      </c>
      <c r="I234">
        <f>'Fortress Creek'!G28</f>
        <v>6755902</v>
      </c>
      <c r="J234">
        <f>'Fortress Creek'!H28</f>
        <v>68.5</v>
      </c>
      <c r="K234">
        <f>'Fortress Creek'!I28</f>
        <v>1592</v>
      </c>
      <c r="L234">
        <f>'Fortress Creek'!J28</f>
        <v>22321</v>
      </c>
      <c r="M234">
        <f>'Fortress Creek'!K28</f>
        <v>100</v>
      </c>
      <c r="N234">
        <f>'Fortress Creek'!L28</f>
        <v>2375997</v>
      </c>
      <c r="O234">
        <f>'Fortress Creek'!M28</f>
        <v>24.1</v>
      </c>
      <c r="P234">
        <f>'Fortress Creek'!N28</f>
        <v>1055</v>
      </c>
      <c r="Q234">
        <f>'Fortress Creek'!O28</f>
        <v>1015</v>
      </c>
      <c r="R234">
        <f>'Fortress Creek'!P28</f>
        <v>91</v>
      </c>
      <c r="S234">
        <f>'Fortress Creek'!Q28</f>
        <v>98319</v>
      </c>
      <c r="T234">
        <f>'Fortress Creek'!R28</f>
        <v>1</v>
      </c>
      <c r="U234">
        <f>'Fortress Creek'!S28</f>
        <v>1156</v>
      </c>
      <c r="V234">
        <f>'Fortress Creek'!T28</f>
        <v>367</v>
      </c>
      <c r="W234">
        <f>'Fortress Creek'!U28</f>
        <v>5</v>
      </c>
      <c r="X234">
        <f>'Fortress Creek'!V28</f>
        <v>1953</v>
      </c>
      <c r="Y234">
        <f>'Fortress Creek'!W28</f>
        <v>0</v>
      </c>
      <c r="Z234">
        <f>'Fortress Creek'!X28</f>
        <v>1270</v>
      </c>
      <c r="AA234">
        <f>'Fortress Creek'!Y28</f>
        <v>1</v>
      </c>
      <c r="AB234">
        <f>'Fortress Creek'!Z28</f>
        <v>1</v>
      </c>
      <c r="AC234">
        <f>'Fortress Creek'!AA28</f>
        <v>1</v>
      </c>
      <c r="AD234">
        <f>'Fortress Creek'!AB28</f>
        <v>0</v>
      </c>
      <c r="AE234">
        <f>'Fortress Creek'!AC28</f>
        <v>1400</v>
      </c>
      <c r="AF234">
        <f>'Fortress Creek'!AD28</f>
        <v>1</v>
      </c>
      <c r="AG234">
        <f>'Fortress Creek'!AE28</f>
        <v>1</v>
      </c>
      <c r="AH234">
        <f>'Fortress Creek'!AF28</f>
        <v>1</v>
      </c>
      <c r="AI234">
        <f>'Fortress Creek'!AG28</f>
        <v>0</v>
      </c>
      <c r="AJ234">
        <f>'Fortress Creek'!AH28</f>
        <v>1500</v>
      </c>
      <c r="AK234">
        <f>'Fortress Creek'!AI28</f>
        <v>799</v>
      </c>
      <c r="AL234">
        <f>'Fortress Creek'!AJ28</f>
        <v>25</v>
      </c>
      <c r="AM234">
        <f>'Fortress Creek'!AK28</f>
        <v>21263</v>
      </c>
      <c r="AN234">
        <f>'Fortress Creek'!AL28</f>
        <v>0.2</v>
      </c>
      <c r="AO234">
        <f>'Fortress Creek'!AM28</f>
        <v>1598</v>
      </c>
      <c r="AP234">
        <f>'Fortress Creek'!AN28</f>
        <v>3457</v>
      </c>
      <c r="AQ234">
        <f>'Fortress Creek'!AO28</f>
        <v>29</v>
      </c>
      <c r="AR234">
        <f>'Fortress Creek'!AP28</f>
        <v>106716</v>
      </c>
      <c r="AS234">
        <f>'Fortress Creek'!AQ28</f>
        <v>1.1000000000000001</v>
      </c>
      <c r="AT234">
        <f>'Fortress Creek'!AR28</f>
        <v>1748</v>
      </c>
      <c r="AU234">
        <f>'Fortress Creek'!AS28</f>
        <v>2401</v>
      </c>
      <c r="AV234">
        <f>'Fortress Creek'!AT28</f>
        <v>199</v>
      </c>
      <c r="AW234">
        <f>'Fortress Creek'!AU28</f>
        <v>508601</v>
      </c>
      <c r="AX234">
        <f>'Fortress Creek'!AV28</f>
        <v>5.2</v>
      </c>
    </row>
    <row r="235" spans="1:50">
      <c r="A235" t="str">
        <f>'Fortress Creek'!A29</f>
        <v>/Users/christophermarjo/Documents/Python/Projects/data/bushfire Raman/Fortress Creek/FCM 4 (1)</v>
      </c>
      <c r="B235" t="str">
        <f t="shared" si="3"/>
        <v>Fortress Creek</v>
      </c>
      <c r="C235">
        <v>4</v>
      </c>
      <c r="D235" t="str">
        <f>'Fortress Creek'!B29</f>
        <v>13.43 counts</v>
      </c>
      <c r="E235">
        <f>'Fortress Creek'!C29</f>
        <v>0.98836000000000002</v>
      </c>
      <c r="F235">
        <f>'Fortress Creek'!D29</f>
        <v>1369</v>
      </c>
      <c r="G235">
        <f>'Fortress Creek'!E29</f>
        <v>8113</v>
      </c>
      <c r="H235">
        <f>'Fortress Creek'!F29</f>
        <v>324</v>
      </c>
      <c r="I235">
        <f>'Fortress Creek'!G29</f>
        <v>2798071</v>
      </c>
      <c r="J235">
        <f>'Fortress Creek'!H29</f>
        <v>68.400000000000006</v>
      </c>
      <c r="K235">
        <f>'Fortress Creek'!I29</f>
        <v>1592</v>
      </c>
      <c r="L235">
        <f>'Fortress Creek'!J29</f>
        <v>10201</v>
      </c>
      <c r="M235">
        <f>'Fortress Creek'!K29</f>
        <v>102</v>
      </c>
      <c r="N235">
        <f>'Fortress Creek'!L29</f>
        <v>1107580</v>
      </c>
      <c r="O235">
        <f>'Fortress Creek'!M29</f>
        <v>27.1</v>
      </c>
      <c r="P235">
        <f>'Fortress Creek'!N29</f>
        <v>1041</v>
      </c>
      <c r="Q235">
        <f>'Fortress Creek'!O29</f>
        <v>325</v>
      </c>
      <c r="R235">
        <f>'Fortress Creek'!P29</f>
        <v>53</v>
      </c>
      <c r="S235">
        <f>'Fortress Creek'!Q29</f>
        <v>18335</v>
      </c>
      <c r="T235">
        <f>'Fortress Creek'!R29</f>
        <v>0.4</v>
      </c>
      <c r="U235">
        <f>'Fortress Creek'!S29</f>
        <v>1154</v>
      </c>
      <c r="V235">
        <f>'Fortress Creek'!T29</f>
        <v>1</v>
      </c>
      <c r="W235">
        <f>'Fortress Creek'!U29</f>
        <v>1</v>
      </c>
      <c r="X235">
        <f>'Fortress Creek'!V29</f>
        <v>1</v>
      </c>
      <c r="Y235">
        <f>'Fortress Creek'!W29</f>
        <v>0</v>
      </c>
      <c r="Z235">
        <f>'Fortress Creek'!X29</f>
        <v>1270</v>
      </c>
      <c r="AA235">
        <f>'Fortress Creek'!Y29</f>
        <v>1</v>
      </c>
      <c r="AB235">
        <f>'Fortress Creek'!Z29</f>
        <v>1</v>
      </c>
      <c r="AC235">
        <f>'Fortress Creek'!AA29</f>
        <v>1</v>
      </c>
      <c r="AD235">
        <f>'Fortress Creek'!AB29</f>
        <v>0</v>
      </c>
      <c r="AE235">
        <f>'Fortress Creek'!AC29</f>
        <v>1408</v>
      </c>
      <c r="AF235">
        <f>'Fortress Creek'!AD29</f>
        <v>39</v>
      </c>
      <c r="AG235">
        <f>'Fortress Creek'!AE29</f>
        <v>117</v>
      </c>
      <c r="AH235">
        <f>'Fortress Creek'!AF29</f>
        <v>4857</v>
      </c>
      <c r="AI235">
        <f>'Fortress Creek'!AG29</f>
        <v>0.1</v>
      </c>
      <c r="AJ235">
        <f>'Fortress Creek'!AH29</f>
        <v>1500</v>
      </c>
      <c r="AK235">
        <f>'Fortress Creek'!AI29</f>
        <v>561</v>
      </c>
      <c r="AL235">
        <f>'Fortress Creek'!AJ29</f>
        <v>31</v>
      </c>
      <c r="AM235">
        <f>'Fortress Creek'!AK29</f>
        <v>18512</v>
      </c>
      <c r="AN235">
        <f>'Fortress Creek'!AL29</f>
        <v>0.5</v>
      </c>
      <c r="AO235">
        <f>'Fortress Creek'!AM29</f>
        <v>1598</v>
      </c>
      <c r="AP235">
        <f>'Fortress Creek'!AN29</f>
        <v>157</v>
      </c>
      <c r="AQ235">
        <f>'Fortress Creek'!AO29</f>
        <v>23</v>
      </c>
      <c r="AR235">
        <f>'Fortress Creek'!AP29</f>
        <v>3844</v>
      </c>
      <c r="AS235">
        <f>'Fortress Creek'!AQ29</f>
        <v>0.1</v>
      </c>
      <c r="AT235">
        <f>'Fortress Creek'!AR29</f>
        <v>1740</v>
      </c>
      <c r="AU235">
        <f>'Fortress Creek'!AS29</f>
        <v>865</v>
      </c>
      <c r="AV235">
        <f>'Fortress Creek'!AT29</f>
        <v>153</v>
      </c>
      <c r="AW235">
        <f>'Fortress Creek'!AU29</f>
        <v>140877</v>
      </c>
      <c r="AX235">
        <f>'Fortress Creek'!AV29</f>
        <v>3.4</v>
      </c>
    </row>
    <row r="236" spans="1:50">
      <c r="A236" t="str">
        <f>'Fortress Creek'!A30</f>
        <v>/Users/christophermarjo/Documents/Python/Projects/data/bushfire Raman/Fortress Creek/FCM 4.5 (1)</v>
      </c>
      <c r="B236" t="str">
        <f t="shared" si="3"/>
        <v>Fortress Creek</v>
      </c>
      <c r="C236">
        <v>4.5</v>
      </c>
      <c r="D236" t="str">
        <f>'Fortress Creek'!B30</f>
        <v>37.70 counts</v>
      </c>
      <c r="E236">
        <f>'Fortress Creek'!C30</f>
        <v>0.98742700000000005</v>
      </c>
      <c r="F236">
        <f>'Fortress Creek'!D30</f>
        <v>1369</v>
      </c>
      <c r="G236">
        <f>'Fortress Creek'!E30</f>
        <v>23925</v>
      </c>
      <c r="H236">
        <f>'Fortress Creek'!F30</f>
        <v>320</v>
      </c>
      <c r="I236">
        <f>'Fortress Creek'!G30</f>
        <v>8149560</v>
      </c>
      <c r="J236">
        <f>'Fortress Creek'!H30</f>
        <v>74.5</v>
      </c>
      <c r="K236">
        <f>'Fortress Creek'!I30</f>
        <v>1590</v>
      </c>
      <c r="L236">
        <f>'Fortress Creek'!J30</f>
        <v>22227</v>
      </c>
      <c r="M236">
        <f>'Fortress Creek'!K30</f>
        <v>100</v>
      </c>
      <c r="N236">
        <f>'Fortress Creek'!L30</f>
        <v>2365991</v>
      </c>
      <c r="O236">
        <f>'Fortress Creek'!M30</f>
        <v>21.6</v>
      </c>
      <c r="P236">
        <f>'Fortress Creek'!N30</f>
        <v>1043</v>
      </c>
      <c r="Q236">
        <f>'Fortress Creek'!O30</f>
        <v>865</v>
      </c>
      <c r="R236">
        <f>'Fortress Creek'!P30</f>
        <v>83</v>
      </c>
      <c r="S236">
        <f>'Fortress Creek'!Q30</f>
        <v>76423</v>
      </c>
      <c r="T236">
        <f>'Fortress Creek'!R30</f>
        <v>0.7</v>
      </c>
      <c r="U236">
        <f>'Fortress Creek'!S30</f>
        <v>1158</v>
      </c>
      <c r="V236">
        <f>'Fortress Creek'!T30</f>
        <v>1</v>
      </c>
      <c r="W236">
        <f>'Fortress Creek'!U30</f>
        <v>1</v>
      </c>
      <c r="X236">
        <f>'Fortress Creek'!V30</f>
        <v>1</v>
      </c>
      <c r="Y236">
        <f>'Fortress Creek'!W30</f>
        <v>0</v>
      </c>
      <c r="Z236">
        <f>'Fortress Creek'!X30</f>
        <v>1296</v>
      </c>
      <c r="AA236">
        <f>'Fortress Creek'!Y30</f>
        <v>109</v>
      </c>
      <c r="AB236">
        <f>'Fortress Creek'!Z30</f>
        <v>1</v>
      </c>
      <c r="AC236">
        <f>'Fortress Creek'!AA30</f>
        <v>116</v>
      </c>
      <c r="AD236">
        <f>'Fortress Creek'!AB30</f>
        <v>0</v>
      </c>
      <c r="AE236">
        <f>'Fortress Creek'!AC30</f>
        <v>1410</v>
      </c>
      <c r="AF236">
        <f>'Fortress Creek'!AD30</f>
        <v>1</v>
      </c>
      <c r="AG236">
        <f>'Fortress Creek'!AE30</f>
        <v>1</v>
      </c>
      <c r="AH236">
        <f>'Fortress Creek'!AF30</f>
        <v>1</v>
      </c>
      <c r="AI236">
        <f>'Fortress Creek'!AG30</f>
        <v>0</v>
      </c>
      <c r="AJ236">
        <f>'Fortress Creek'!AH30</f>
        <v>1494</v>
      </c>
      <c r="AK236">
        <f>'Fortress Creek'!AI30</f>
        <v>377</v>
      </c>
      <c r="AL236">
        <f>'Fortress Creek'!AJ30</f>
        <v>23</v>
      </c>
      <c r="AM236">
        <f>'Fortress Creek'!AK30</f>
        <v>9230</v>
      </c>
      <c r="AN236">
        <f>'Fortress Creek'!AL30</f>
        <v>0.1</v>
      </c>
      <c r="AO236">
        <f>'Fortress Creek'!AM30</f>
        <v>1598</v>
      </c>
      <c r="AP236">
        <f>'Fortress Creek'!AN30</f>
        <v>3905</v>
      </c>
      <c r="AQ236">
        <f>'Fortress Creek'!AO30</f>
        <v>29</v>
      </c>
      <c r="AR236">
        <f>'Fortress Creek'!AP30</f>
        <v>120546</v>
      </c>
      <c r="AS236">
        <f>'Fortress Creek'!AQ30</f>
        <v>1.1000000000000001</v>
      </c>
      <c r="AT236">
        <f>'Fortress Creek'!AR30</f>
        <v>1730</v>
      </c>
      <c r="AU236">
        <f>'Fortress Creek'!AS30</f>
        <v>1389</v>
      </c>
      <c r="AV236">
        <f>'Fortress Creek'!AT30</f>
        <v>143</v>
      </c>
      <c r="AW236">
        <f>'Fortress Creek'!AU30</f>
        <v>211432</v>
      </c>
      <c r="AX236">
        <f>'Fortress Creek'!AV30</f>
        <v>1.9</v>
      </c>
    </row>
    <row r="237" spans="1:50">
      <c r="A237" t="str">
        <f>'Fortress Creek'!A31</f>
        <v>/Users/christophermarjo/Documents/Python/Projects/data/bushfire Raman/Fortress Creek/FCM 4.5 (2)</v>
      </c>
      <c r="B237" t="str">
        <f t="shared" si="3"/>
        <v>Fortress Creek</v>
      </c>
      <c r="C237">
        <v>4.5</v>
      </c>
      <c r="D237" t="str">
        <f>'Fortress Creek'!B31</f>
        <v>2.04 counts</v>
      </c>
      <c r="E237">
        <f>'Fortress Creek'!C31</f>
        <v>0.98582099999999995</v>
      </c>
      <c r="F237">
        <f>'Fortress Creek'!D31</f>
        <v>1369</v>
      </c>
      <c r="G237">
        <f>'Fortress Creek'!E31</f>
        <v>1209</v>
      </c>
      <c r="H237">
        <f>'Fortress Creek'!F31</f>
        <v>342</v>
      </c>
      <c r="I237">
        <f>'Fortress Creek'!G31</f>
        <v>440134</v>
      </c>
      <c r="J237">
        <f>'Fortress Creek'!H31</f>
        <v>75.8</v>
      </c>
      <c r="K237">
        <f>'Fortress Creek'!I31</f>
        <v>1586</v>
      </c>
      <c r="L237">
        <f>'Fortress Creek'!J31</f>
        <v>1095</v>
      </c>
      <c r="M237">
        <f>'Fortress Creek'!K31</f>
        <v>102</v>
      </c>
      <c r="N237">
        <f>'Fortress Creek'!L31</f>
        <v>118890</v>
      </c>
      <c r="O237">
        <f>'Fortress Creek'!M31</f>
        <v>20.5</v>
      </c>
      <c r="P237">
        <f>'Fortress Creek'!N31</f>
        <v>1013</v>
      </c>
      <c r="Q237">
        <f>'Fortress Creek'!O31</f>
        <v>71</v>
      </c>
      <c r="R237">
        <f>'Fortress Creek'!P31</f>
        <v>31</v>
      </c>
      <c r="S237">
        <f>'Fortress Creek'!Q31</f>
        <v>2343</v>
      </c>
      <c r="T237">
        <f>'Fortress Creek'!R31</f>
        <v>0.4</v>
      </c>
      <c r="U237">
        <f>'Fortress Creek'!S31</f>
        <v>1152</v>
      </c>
      <c r="V237">
        <f>'Fortress Creek'!T31</f>
        <v>5</v>
      </c>
      <c r="W237">
        <f>'Fortress Creek'!U31</f>
        <v>1</v>
      </c>
      <c r="X237">
        <f>'Fortress Creek'!V31</f>
        <v>5</v>
      </c>
      <c r="Y237">
        <f>'Fortress Creek'!W31</f>
        <v>0</v>
      </c>
      <c r="Z237">
        <f>'Fortress Creek'!X31</f>
        <v>1298</v>
      </c>
      <c r="AA237">
        <f>'Fortress Creek'!Y31</f>
        <v>3</v>
      </c>
      <c r="AB237">
        <f>'Fortress Creek'!Z31</f>
        <v>1</v>
      </c>
      <c r="AC237">
        <f>'Fortress Creek'!AA31</f>
        <v>3</v>
      </c>
      <c r="AD237">
        <f>'Fortress Creek'!AB31</f>
        <v>0</v>
      </c>
      <c r="AE237">
        <f>'Fortress Creek'!AC31</f>
        <v>1448</v>
      </c>
      <c r="AF237">
        <f>'Fortress Creek'!AD31</f>
        <v>5</v>
      </c>
      <c r="AG237">
        <f>'Fortress Creek'!AE31</f>
        <v>1</v>
      </c>
      <c r="AH237">
        <f>'Fortress Creek'!AF31</f>
        <v>5</v>
      </c>
      <c r="AI237">
        <f>'Fortress Creek'!AG31</f>
        <v>0</v>
      </c>
      <c r="AJ237">
        <f>'Fortress Creek'!AH31</f>
        <v>1496</v>
      </c>
      <c r="AK237">
        <f>'Fortress Creek'!AI31</f>
        <v>75</v>
      </c>
      <c r="AL237">
        <f>'Fortress Creek'!AJ31</f>
        <v>19</v>
      </c>
      <c r="AM237">
        <f>'Fortress Creek'!AK31</f>
        <v>1517</v>
      </c>
      <c r="AN237">
        <f>'Fortress Creek'!AL31</f>
        <v>0.3</v>
      </c>
      <c r="AO237">
        <f>'Fortress Creek'!AM31</f>
        <v>1598</v>
      </c>
      <c r="AP237">
        <f>'Fortress Creek'!AN31</f>
        <v>163</v>
      </c>
      <c r="AQ237">
        <f>'Fortress Creek'!AO31</f>
        <v>17</v>
      </c>
      <c r="AR237">
        <f>'Fortress Creek'!AP31</f>
        <v>2950</v>
      </c>
      <c r="AS237">
        <f>'Fortress Creek'!AQ31</f>
        <v>0.5</v>
      </c>
      <c r="AT237">
        <f>'Fortress Creek'!AR31</f>
        <v>1748</v>
      </c>
      <c r="AU237">
        <f>'Fortress Creek'!AS31</f>
        <v>71</v>
      </c>
      <c r="AV237">
        <f>'Fortress Creek'!AT31</f>
        <v>199</v>
      </c>
      <c r="AW237">
        <f>'Fortress Creek'!AU31</f>
        <v>15040</v>
      </c>
      <c r="AX237">
        <f>'Fortress Creek'!AV31</f>
        <v>2.6</v>
      </c>
    </row>
    <row r="238" spans="1:50">
      <c r="A238" t="str">
        <f>'Fortress Creek'!A32</f>
        <v>/Users/christophermarjo/Documents/Python/Projects/data/bushfire Raman/Fortress Creek/FCM 4.5 (3)</v>
      </c>
      <c r="B238" t="str">
        <f t="shared" si="3"/>
        <v>Fortress Creek</v>
      </c>
      <c r="C238">
        <v>4.5</v>
      </c>
      <c r="D238" t="str">
        <f>'Fortress Creek'!B32</f>
        <v>3.57 counts</v>
      </c>
      <c r="E238">
        <f>'Fortress Creek'!C32</f>
        <v>0.98883100000000002</v>
      </c>
      <c r="F238">
        <f>'Fortress Creek'!D32</f>
        <v>1369</v>
      </c>
      <c r="G238">
        <f>'Fortress Creek'!E32</f>
        <v>2391</v>
      </c>
      <c r="H238">
        <f>'Fortress Creek'!F32</f>
        <v>332</v>
      </c>
      <c r="I238">
        <f>'Fortress Creek'!G32</f>
        <v>844987</v>
      </c>
      <c r="J238">
        <f>'Fortress Creek'!H32</f>
        <v>76.2</v>
      </c>
      <c r="K238">
        <f>'Fortress Creek'!I32</f>
        <v>1586</v>
      </c>
      <c r="L238">
        <f>'Fortress Creek'!J32</f>
        <v>2135</v>
      </c>
      <c r="M238">
        <f>'Fortress Creek'!K32</f>
        <v>100</v>
      </c>
      <c r="N238">
        <f>'Fortress Creek'!L32</f>
        <v>227264</v>
      </c>
      <c r="O238">
        <f>'Fortress Creek'!M32</f>
        <v>20.5</v>
      </c>
      <c r="P238">
        <f>'Fortress Creek'!N32</f>
        <v>1035</v>
      </c>
      <c r="Q238">
        <f>'Fortress Creek'!O32</f>
        <v>87</v>
      </c>
      <c r="R238">
        <f>'Fortress Creek'!P32</f>
        <v>77</v>
      </c>
      <c r="S238">
        <f>'Fortress Creek'!Q32</f>
        <v>7131</v>
      </c>
      <c r="T238">
        <f>'Fortress Creek'!R32</f>
        <v>0.6</v>
      </c>
      <c r="U238">
        <f>'Fortress Creek'!S32</f>
        <v>1158</v>
      </c>
      <c r="V238">
        <f>'Fortress Creek'!T32</f>
        <v>1</v>
      </c>
      <c r="W238">
        <f>'Fortress Creek'!U32</f>
        <v>1</v>
      </c>
      <c r="X238">
        <f>'Fortress Creek'!V32</f>
        <v>1</v>
      </c>
      <c r="Y238">
        <f>'Fortress Creek'!W32</f>
        <v>0</v>
      </c>
      <c r="Z238">
        <f>'Fortress Creek'!X32</f>
        <v>1296</v>
      </c>
      <c r="AA238">
        <f>'Fortress Creek'!Y32</f>
        <v>17</v>
      </c>
      <c r="AB238">
        <f>'Fortress Creek'!Z32</f>
        <v>61</v>
      </c>
      <c r="AC238">
        <f>'Fortress Creek'!AA32</f>
        <v>1104</v>
      </c>
      <c r="AD238">
        <f>'Fortress Creek'!AB32</f>
        <v>0.1</v>
      </c>
      <c r="AE238">
        <f>'Fortress Creek'!AC32</f>
        <v>1410</v>
      </c>
      <c r="AF238">
        <f>'Fortress Creek'!AD32</f>
        <v>1</v>
      </c>
      <c r="AG238">
        <f>'Fortress Creek'!AE32</f>
        <v>1</v>
      </c>
      <c r="AH238">
        <f>'Fortress Creek'!AF32</f>
        <v>1</v>
      </c>
      <c r="AI238">
        <f>'Fortress Creek'!AG32</f>
        <v>0</v>
      </c>
      <c r="AJ238">
        <f>'Fortress Creek'!AH32</f>
        <v>1514</v>
      </c>
      <c r="AK238">
        <f>'Fortress Creek'!AI32</f>
        <v>105</v>
      </c>
      <c r="AL238">
        <f>'Fortress Creek'!AJ32</f>
        <v>41</v>
      </c>
      <c r="AM238">
        <f>'Fortress Creek'!AK32</f>
        <v>4583</v>
      </c>
      <c r="AN238">
        <f>'Fortress Creek'!AL32</f>
        <v>0.4</v>
      </c>
      <c r="AO238">
        <f>'Fortress Creek'!AM32</f>
        <v>1584</v>
      </c>
      <c r="AP238">
        <f>'Fortress Creek'!AN32</f>
        <v>211</v>
      </c>
      <c r="AQ238">
        <f>'Fortress Creek'!AO32</f>
        <v>31</v>
      </c>
      <c r="AR238">
        <f>'Fortress Creek'!AP32</f>
        <v>6963</v>
      </c>
      <c r="AS238">
        <f>'Fortress Creek'!AQ32</f>
        <v>0.6</v>
      </c>
      <c r="AT238">
        <f>'Fortress Creek'!AR32</f>
        <v>1732</v>
      </c>
      <c r="AU238">
        <f>'Fortress Creek'!AS32</f>
        <v>143</v>
      </c>
      <c r="AV238">
        <f>'Fortress Creek'!AT32</f>
        <v>111</v>
      </c>
      <c r="AW238">
        <f>'Fortress Creek'!AU32</f>
        <v>16896</v>
      </c>
      <c r="AX238">
        <f>'Fortress Creek'!AV32</f>
        <v>1.5</v>
      </c>
    </row>
    <row r="239" spans="1:50">
      <c r="A239" t="str">
        <f>'Fortress Creek'!A33</f>
        <v>/Users/christophermarjo/Documents/Python/Projects/data/bushfire Raman/Fortress Creek/FCM 4.5 (4)</v>
      </c>
      <c r="B239" t="str">
        <f t="shared" si="3"/>
        <v>Fortress Creek</v>
      </c>
      <c r="C239">
        <v>4.5</v>
      </c>
      <c r="D239" t="str">
        <f>'Fortress Creek'!B33</f>
        <v>9.41 counts</v>
      </c>
      <c r="E239">
        <f>'Fortress Creek'!C33</f>
        <v>0.86970499999999995</v>
      </c>
      <c r="F239">
        <f>'Fortress Creek'!D33</f>
        <v>1369</v>
      </c>
      <c r="G239">
        <f>'Fortress Creek'!E33</f>
        <v>1789</v>
      </c>
      <c r="H239">
        <f>'Fortress Creek'!F33</f>
        <v>328</v>
      </c>
      <c r="I239">
        <f>'Fortress Creek'!G33</f>
        <v>624621</v>
      </c>
      <c r="J239">
        <f>'Fortress Creek'!H33</f>
        <v>76.2</v>
      </c>
      <c r="K239">
        <f>'Fortress Creek'!I33</f>
        <v>1586</v>
      </c>
      <c r="L239">
        <f>'Fortress Creek'!J33</f>
        <v>1561</v>
      </c>
      <c r="M239">
        <f>'Fortress Creek'!K33</f>
        <v>100</v>
      </c>
      <c r="N239">
        <f>'Fortress Creek'!L33</f>
        <v>166163</v>
      </c>
      <c r="O239">
        <f>'Fortress Creek'!M33</f>
        <v>20.3</v>
      </c>
      <c r="P239">
        <f>'Fortress Creek'!N33</f>
        <v>1051</v>
      </c>
      <c r="Q239">
        <f>'Fortress Creek'!O33</f>
        <v>75</v>
      </c>
      <c r="R239">
        <f>'Fortress Creek'!P33</f>
        <v>81</v>
      </c>
      <c r="S239">
        <f>'Fortress Creek'!Q33</f>
        <v>6467</v>
      </c>
      <c r="T239">
        <f>'Fortress Creek'!R33</f>
        <v>0.8</v>
      </c>
      <c r="U239">
        <f>'Fortress Creek'!S33</f>
        <v>1152</v>
      </c>
      <c r="V239">
        <f>'Fortress Creek'!T33</f>
        <v>1</v>
      </c>
      <c r="W239">
        <f>'Fortress Creek'!U33</f>
        <v>1</v>
      </c>
      <c r="X239">
        <f>'Fortress Creek'!V33</f>
        <v>1</v>
      </c>
      <c r="Y239">
        <f>'Fortress Creek'!W33</f>
        <v>0</v>
      </c>
      <c r="Z239">
        <f>'Fortress Creek'!X33</f>
        <v>1296</v>
      </c>
      <c r="AA239">
        <f>'Fortress Creek'!Y33</f>
        <v>141</v>
      </c>
      <c r="AB239">
        <f>'Fortress Creek'!Z33</f>
        <v>25</v>
      </c>
      <c r="AC239">
        <f>'Fortress Creek'!AA33</f>
        <v>3752</v>
      </c>
      <c r="AD239">
        <f>'Fortress Creek'!AB33</f>
        <v>0.5</v>
      </c>
      <c r="AE239">
        <f>'Fortress Creek'!AC33</f>
        <v>1402</v>
      </c>
      <c r="AF239">
        <f>'Fortress Creek'!AD33</f>
        <v>11</v>
      </c>
      <c r="AG239">
        <f>'Fortress Creek'!AE33</f>
        <v>1</v>
      </c>
      <c r="AH239">
        <f>'Fortress Creek'!AF33</f>
        <v>12</v>
      </c>
      <c r="AI239">
        <f>'Fortress Creek'!AG33</f>
        <v>0</v>
      </c>
      <c r="AJ239">
        <f>'Fortress Creek'!AH33</f>
        <v>1516</v>
      </c>
      <c r="AK239">
        <f>'Fortress Creek'!AI33</f>
        <v>139</v>
      </c>
      <c r="AL239">
        <f>'Fortress Creek'!AJ33</f>
        <v>3</v>
      </c>
      <c r="AM239">
        <f>'Fortress Creek'!AK33</f>
        <v>444</v>
      </c>
      <c r="AN239">
        <f>'Fortress Creek'!AL33</f>
        <v>0.1</v>
      </c>
      <c r="AO239">
        <f>'Fortress Creek'!AM33</f>
        <v>1590</v>
      </c>
      <c r="AP239">
        <f>'Fortress Creek'!AN33</f>
        <v>221</v>
      </c>
      <c r="AQ239">
        <f>'Fortress Creek'!AO33</f>
        <v>29</v>
      </c>
      <c r="AR239">
        <f>'Fortress Creek'!AP33</f>
        <v>6822</v>
      </c>
      <c r="AS239">
        <f>'Fortress Creek'!AQ33</f>
        <v>0.8</v>
      </c>
      <c r="AT239">
        <f>'Fortress Creek'!AR33</f>
        <v>1740</v>
      </c>
      <c r="AU239">
        <f>'Fortress Creek'!AS33</f>
        <v>89</v>
      </c>
      <c r="AV239">
        <f>'Fortress Creek'!AT33</f>
        <v>115</v>
      </c>
      <c r="AW239">
        <f>'Fortress Creek'!AU33</f>
        <v>10895</v>
      </c>
      <c r="AX239">
        <f>'Fortress Creek'!AV33</f>
        <v>1.3</v>
      </c>
    </row>
    <row r="240" spans="1:50">
      <c r="A240" t="str">
        <f>'Fortress Creek'!A34</f>
        <v>/Users/christophermarjo/Documents/Python/Projects/data/bushfire Raman/Fortress Creek/FCM 4.5 (5)</v>
      </c>
      <c r="B240" t="str">
        <f t="shared" si="3"/>
        <v>Fortress Creek</v>
      </c>
      <c r="C240">
        <v>4.5</v>
      </c>
      <c r="D240" t="str">
        <f>'Fortress Creek'!B34</f>
        <v>2.88 counts</v>
      </c>
      <c r="E240">
        <f>'Fortress Creek'!C34</f>
        <v>0.98573999999999995</v>
      </c>
      <c r="F240">
        <f>'Fortress Creek'!D34</f>
        <v>1369</v>
      </c>
      <c r="G240">
        <f>'Fortress Creek'!E34</f>
        <v>1689</v>
      </c>
      <c r="H240">
        <f>'Fortress Creek'!F34</f>
        <v>326</v>
      </c>
      <c r="I240">
        <f>'Fortress Creek'!G34</f>
        <v>586110</v>
      </c>
      <c r="J240">
        <f>'Fortress Creek'!H34</f>
        <v>75</v>
      </c>
      <c r="K240">
        <f>'Fortress Creek'!I34</f>
        <v>1586</v>
      </c>
      <c r="L240">
        <f>'Fortress Creek'!J34</f>
        <v>1561</v>
      </c>
      <c r="M240">
        <f>'Fortress Creek'!K34</f>
        <v>102</v>
      </c>
      <c r="N240">
        <f>'Fortress Creek'!L34</f>
        <v>169487</v>
      </c>
      <c r="O240">
        <f>'Fortress Creek'!M34</f>
        <v>21.7</v>
      </c>
      <c r="P240">
        <f>'Fortress Creek'!N34</f>
        <v>1055</v>
      </c>
      <c r="Q240">
        <f>'Fortress Creek'!O34</f>
        <v>121</v>
      </c>
      <c r="R240">
        <f>'Fortress Creek'!P34</f>
        <v>43</v>
      </c>
      <c r="S240">
        <f>'Fortress Creek'!Q34</f>
        <v>5538</v>
      </c>
      <c r="T240">
        <f>'Fortress Creek'!R34</f>
        <v>0.7</v>
      </c>
      <c r="U240">
        <f>'Fortress Creek'!S34</f>
        <v>1156</v>
      </c>
      <c r="V240">
        <f>'Fortress Creek'!T34</f>
        <v>25</v>
      </c>
      <c r="W240">
        <f>'Fortress Creek'!U34</f>
        <v>1</v>
      </c>
      <c r="X240">
        <f>'Fortress Creek'!V34</f>
        <v>27</v>
      </c>
      <c r="Y240">
        <f>'Fortress Creek'!W34</f>
        <v>0</v>
      </c>
      <c r="Z240">
        <f>'Fortress Creek'!X34</f>
        <v>1296</v>
      </c>
      <c r="AA240">
        <f>'Fortress Creek'!Y34</f>
        <v>33</v>
      </c>
      <c r="AB240">
        <f>'Fortress Creek'!Z34</f>
        <v>25</v>
      </c>
      <c r="AC240">
        <f>'Fortress Creek'!AA34</f>
        <v>878</v>
      </c>
      <c r="AD240">
        <f>'Fortress Creek'!AB34</f>
        <v>0.1</v>
      </c>
      <c r="AE240">
        <f>'Fortress Creek'!AC34</f>
        <v>1410</v>
      </c>
      <c r="AF240">
        <f>'Fortress Creek'!AD34</f>
        <v>1</v>
      </c>
      <c r="AG240">
        <f>'Fortress Creek'!AE34</f>
        <v>1</v>
      </c>
      <c r="AH240">
        <f>'Fortress Creek'!AF34</f>
        <v>1</v>
      </c>
      <c r="AI240">
        <f>'Fortress Creek'!AG34</f>
        <v>0</v>
      </c>
      <c r="AJ240">
        <f>'Fortress Creek'!AH34</f>
        <v>1500</v>
      </c>
      <c r="AK240">
        <f>'Fortress Creek'!AI34</f>
        <v>115</v>
      </c>
      <c r="AL240">
        <f>'Fortress Creek'!AJ34</f>
        <v>15</v>
      </c>
      <c r="AM240">
        <f>'Fortress Creek'!AK34</f>
        <v>1836</v>
      </c>
      <c r="AN240">
        <f>'Fortress Creek'!AL34</f>
        <v>0.2</v>
      </c>
      <c r="AO240">
        <f>'Fortress Creek'!AM34</f>
        <v>1594</v>
      </c>
      <c r="AP240">
        <f>'Fortress Creek'!AN34</f>
        <v>129</v>
      </c>
      <c r="AQ240">
        <f>'Fortress Creek'!AO34</f>
        <v>27</v>
      </c>
      <c r="AR240">
        <f>'Fortress Creek'!AP34</f>
        <v>3708</v>
      </c>
      <c r="AS240">
        <f>'Fortress Creek'!AQ34</f>
        <v>0.5</v>
      </c>
      <c r="AT240">
        <f>'Fortress Creek'!AR34</f>
        <v>1746</v>
      </c>
      <c r="AU240">
        <f>'Fortress Creek'!AS34</f>
        <v>97</v>
      </c>
      <c r="AV240">
        <f>'Fortress Creek'!AT34</f>
        <v>139</v>
      </c>
      <c r="AW240">
        <f>'Fortress Creek'!AU34</f>
        <v>14352</v>
      </c>
      <c r="AX240">
        <f>'Fortress Creek'!AV34</f>
        <v>1.8</v>
      </c>
    </row>
    <row r="241" spans="1:50">
      <c r="A241" t="str">
        <f>'Fortress Creek'!A35</f>
        <v>/Users/christophermarjo/Documents/Python/Projects/data/bushfire Raman/Fortress Creek/FCM 4(2)</v>
      </c>
      <c r="B241" t="str">
        <f t="shared" si="3"/>
        <v>Fortress Creek</v>
      </c>
      <c r="C241">
        <v>4</v>
      </c>
      <c r="D241" t="str">
        <f>'Fortress Creek'!B35</f>
        <v>26.56 counts</v>
      </c>
      <c r="E241">
        <f>'Fortress Creek'!C35</f>
        <v>0.98672199999999999</v>
      </c>
      <c r="F241">
        <f>'Fortress Creek'!D35</f>
        <v>1369</v>
      </c>
      <c r="G241">
        <f>'Fortress Creek'!E35</f>
        <v>16335</v>
      </c>
      <c r="H241">
        <f>'Fortress Creek'!F35</f>
        <v>310</v>
      </c>
      <c r="I241">
        <f>'Fortress Creek'!G35</f>
        <v>5390301</v>
      </c>
      <c r="J241">
        <f>'Fortress Creek'!H35</f>
        <v>72</v>
      </c>
      <c r="K241">
        <f>'Fortress Creek'!I35</f>
        <v>1592</v>
      </c>
      <c r="L241">
        <f>'Fortress Creek'!J35</f>
        <v>15929</v>
      </c>
      <c r="M241">
        <f>'Fortress Creek'!K35</f>
        <v>100</v>
      </c>
      <c r="N241">
        <f>'Fortress Creek'!L35</f>
        <v>1695590</v>
      </c>
      <c r="O241">
        <f>'Fortress Creek'!M35</f>
        <v>22.6</v>
      </c>
      <c r="P241">
        <f>'Fortress Creek'!N35</f>
        <v>1057</v>
      </c>
      <c r="Q241">
        <f>'Fortress Creek'!O35</f>
        <v>705</v>
      </c>
      <c r="R241">
        <f>'Fortress Creek'!P35</f>
        <v>109</v>
      </c>
      <c r="S241">
        <f>'Fortress Creek'!Q35</f>
        <v>81799</v>
      </c>
      <c r="T241">
        <f>'Fortress Creek'!R35</f>
        <v>1.1000000000000001</v>
      </c>
      <c r="U241">
        <f>'Fortress Creek'!S35</f>
        <v>1152</v>
      </c>
      <c r="V241">
        <f>'Fortress Creek'!T35</f>
        <v>125</v>
      </c>
      <c r="W241">
        <f>'Fortress Creek'!U35</f>
        <v>3</v>
      </c>
      <c r="X241">
        <f>'Fortress Creek'!V35</f>
        <v>399</v>
      </c>
      <c r="Y241">
        <f>'Fortress Creek'!W35</f>
        <v>0</v>
      </c>
      <c r="Z241">
        <f>'Fortress Creek'!X35</f>
        <v>1270</v>
      </c>
      <c r="AA241">
        <f>'Fortress Creek'!Y35</f>
        <v>1</v>
      </c>
      <c r="AB241">
        <f>'Fortress Creek'!Z35</f>
        <v>1</v>
      </c>
      <c r="AC241">
        <f>'Fortress Creek'!AA35</f>
        <v>1</v>
      </c>
      <c r="AD241">
        <f>'Fortress Creek'!AB35</f>
        <v>0</v>
      </c>
      <c r="AE241">
        <f>'Fortress Creek'!AC35</f>
        <v>1400</v>
      </c>
      <c r="AF241">
        <f>'Fortress Creek'!AD35</f>
        <v>1</v>
      </c>
      <c r="AG241">
        <f>'Fortress Creek'!AE35</f>
        <v>1</v>
      </c>
      <c r="AH241">
        <f>'Fortress Creek'!AF35</f>
        <v>1</v>
      </c>
      <c r="AI241">
        <f>'Fortress Creek'!AG35</f>
        <v>0</v>
      </c>
      <c r="AJ241">
        <f>'Fortress Creek'!AH35</f>
        <v>1500</v>
      </c>
      <c r="AK241">
        <f>'Fortress Creek'!AI35</f>
        <v>227</v>
      </c>
      <c r="AL241">
        <f>'Fortress Creek'!AJ35</f>
        <v>21</v>
      </c>
      <c r="AM241">
        <f>'Fortress Creek'!AK35</f>
        <v>5074</v>
      </c>
      <c r="AN241">
        <f>'Fortress Creek'!AL35</f>
        <v>0.1</v>
      </c>
      <c r="AO241">
        <f>'Fortress Creek'!AM35</f>
        <v>1598</v>
      </c>
      <c r="AP241">
        <f>'Fortress Creek'!AN35</f>
        <v>3923</v>
      </c>
      <c r="AQ241">
        <f>'Fortress Creek'!AO35</f>
        <v>29</v>
      </c>
      <c r="AR241">
        <f>'Fortress Creek'!AP35</f>
        <v>121101</v>
      </c>
      <c r="AS241">
        <f>'Fortress Creek'!AQ35</f>
        <v>1.6</v>
      </c>
      <c r="AT241">
        <f>'Fortress Creek'!AR35</f>
        <v>1746</v>
      </c>
      <c r="AU241">
        <f>'Fortress Creek'!AS35</f>
        <v>1071</v>
      </c>
      <c r="AV241">
        <f>'Fortress Creek'!AT35</f>
        <v>171</v>
      </c>
      <c r="AW241">
        <f>'Fortress Creek'!AU35</f>
        <v>194948</v>
      </c>
      <c r="AX241">
        <f>'Fortress Creek'!AV35</f>
        <v>2.6</v>
      </c>
    </row>
    <row r="242" spans="1:50">
      <c r="A242" t="str">
        <f>'Fortress Creek'!A36</f>
        <v xml:space="preserve">/Users/christophermarjo/Documents/Python/Projects/data/bushfire Raman/Fortress Creek/FCM 4(3) </v>
      </c>
      <c r="B242" t="str">
        <f t="shared" si="3"/>
        <v>Fortress Creek</v>
      </c>
      <c r="C242">
        <v>4</v>
      </c>
      <c r="D242" t="str">
        <f>'Fortress Creek'!B36</f>
        <v>30.39 counts</v>
      </c>
      <c r="E242">
        <f>'Fortress Creek'!C36</f>
        <v>0.98992899999999995</v>
      </c>
      <c r="F242">
        <f>'Fortress Creek'!D36</f>
        <v>1369</v>
      </c>
      <c r="G242">
        <f>'Fortress Creek'!E36</f>
        <v>17731</v>
      </c>
      <c r="H242">
        <f>'Fortress Creek'!F36</f>
        <v>338</v>
      </c>
      <c r="I242">
        <f>'Fortress Creek'!G36</f>
        <v>6379434</v>
      </c>
      <c r="J242">
        <f>'Fortress Creek'!H36</f>
        <v>64.8</v>
      </c>
      <c r="K242">
        <f>'Fortress Creek'!I36</f>
        <v>1588</v>
      </c>
      <c r="L242">
        <f>'Fortress Creek'!J36</f>
        <v>25505</v>
      </c>
      <c r="M242">
        <f>'Fortress Creek'!K36</f>
        <v>112</v>
      </c>
      <c r="N242">
        <f>'Fortress Creek'!L36</f>
        <v>3040714</v>
      </c>
      <c r="O242">
        <f>'Fortress Creek'!M36</f>
        <v>30.9</v>
      </c>
      <c r="P242">
        <f>'Fortress Creek'!N36</f>
        <v>1061</v>
      </c>
      <c r="Q242">
        <f>'Fortress Creek'!O36</f>
        <v>575</v>
      </c>
      <c r="R242">
        <f>'Fortress Creek'!P36</f>
        <v>41</v>
      </c>
      <c r="S242">
        <f>'Fortress Creek'!Q36</f>
        <v>25095</v>
      </c>
      <c r="T242">
        <f>'Fortress Creek'!R36</f>
        <v>0.3</v>
      </c>
      <c r="U242">
        <f>'Fortress Creek'!S36</f>
        <v>1154</v>
      </c>
      <c r="V242">
        <f>'Fortress Creek'!T36</f>
        <v>1</v>
      </c>
      <c r="W242">
        <f>'Fortress Creek'!U36</f>
        <v>1</v>
      </c>
      <c r="X242">
        <f>'Fortress Creek'!V36</f>
        <v>1</v>
      </c>
      <c r="Y242">
        <f>'Fortress Creek'!W36</f>
        <v>0</v>
      </c>
      <c r="Z242">
        <f>'Fortress Creek'!X36</f>
        <v>1270</v>
      </c>
      <c r="AA242">
        <f>'Fortress Creek'!Y36</f>
        <v>1</v>
      </c>
      <c r="AB242">
        <f>'Fortress Creek'!Z36</f>
        <v>1</v>
      </c>
      <c r="AC242">
        <f>'Fortress Creek'!AA36</f>
        <v>1</v>
      </c>
      <c r="AD242">
        <f>'Fortress Creek'!AB36</f>
        <v>0</v>
      </c>
      <c r="AE242">
        <f>'Fortress Creek'!AC36</f>
        <v>1456</v>
      </c>
      <c r="AF242">
        <f>'Fortress Creek'!AD36</f>
        <v>319</v>
      </c>
      <c r="AG242">
        <f>'Fortress Creek'!AE36</f>
        <v>123</v>
      </c>
      <c r="AH242">
        <f>'Fortress Creek'!AF36</f>
        <v>41766</v>
      </c>
      <c r="AI242">
        <f>'Fortress Creek'!AG36</f>
        <v>0.4</v>
      </c>
      <c r="AJ242">
        <f>'Fortress Creek'!AH36</f>
        <v>1500</v>
      </c>
      <c r="AK242">
        <f>'Fortress Creek'!AI36</f>
        <v>567</v>
      </c>
      <c r="AL242">
        <f>'Fortress Creek'!AJ36</f>
        <v>37</v>
      </c>
      <c r="AM242">
        <f>'Fortress Creek'!AK36</f>
        <v>22331</v>
      </c>
      <c r="AN242">
        <f>'Fortress Creek'!AL36</f>
        <v>0.2</v>
      </c>
      <c r="AO242">
        <f>'Fortress Creek'!AM36</f>
        <v>1580</v>
      </c>
      <c r="AP242">
        <f>'Fortress Creek'!AN36</f>
        <v>989</v>
      </c>
      <c r="AQ242">
        <f>'Fortress Creek'!AO36</f>
        <v>1</v>
      </c>
      <c r="AR242">
        <f>'Fortress Creek'!AP36</f>
        <v>1053</v>
      </c>
      <c r="AS242">
        <f>'Fortress Creek'!AQ36</f>
        <v>0</v>
      </c>
      <c r="AT242">
        <f>'Fortress Creek'!AR36</f>
        <v>1748</v>
      </c>
      <c r="AU242">
        <f>'Fortress Creek'!AS36</f>
        <v>1957</v>
      </c>
      <c r="AV242">
        <f>'Fortress Creek'!AT36</f>
        <v>159</v>
      </c>
      <c r="AW242">
        <f>'Fortress Creek'!AU36</f>
        <v>331223</v>
      </c>
      <c r="AX242">
        <f>'Fortress Creek'!AV36</f>
        <v>3.4</v>
      </c>
    </row>
    <row r="243" spans="1:50">
      <c r="A243" t="str">
        <f>'Fortress Creek'!A37</f>
        <v>/Users/christophermarjo/Documents/Python/Projects/data/bushfire Raman/Fortress Creek/FCM 5 (1)</v>
      </c>
      <c r="B243" t="str">
        <f t="shared" si="3"/>
        <v>Fortress Creek</v>
      </c>
      <c r="C243">
        <v>5</v>
      </c>
      <c r="D243" t="str">
        <f>'Fortress Creek'!B37</f>
        <v>13.59 counts</v>
      </c>
      <c r="E243">
        <f>'Fortress Creek'!C37</f>
        <v>0.96075500000000003</v>
      </c>
      <c r="F243">
        <f>'Fortress Creek'!D37</f>
        <v>1369</v>
      </c>
      <c r="G243">
        <f>'Fortress Creek'!E37</f>
        <v>4265</v>
      </c>
      <c r="H243">
        <f>'Fortress Creek'!F37</f>
        <v>344</v>
      </c>
      <c r="I243">
        <f>'Fortress Creek'!G37</f>
        <v>1561743</v>
      </c>
      <c r="J243">
        <f>'Fortress Creek'!H37</f>
        <v>67.400000000000006</v>
      </c>
      <c r="K243">
        <f>'Fortress Creek'!I37</f>
        <v>1586</v>
      </c>
      <c r="L243">
        <f>'Fortress Creek'!J37</f>
        <v>5517</v>
      </c>
      <c r="M243">
        <f>'Fortress Creek'!K37</f>
        <v>110</v>
      </c>
      <c r="N243">
        <f>'Fortress Creek'!L37</f>
        <v>645993</v>
      </c>
      <c r="O243">
        <f>'Fortress Creek'!M37</f>
        <v>27.9</v>
      </c>
      <c r="P243">
        <f>'Fortress Creek'!N37</f>
        <v>1035</v>
      </c>
      <c r="Q243">
        <f>'Fortress Creek'!O37</f>
        <v>325</v>
      </c>
      <c r="R243">
        <f>'Fortress Creek'!P37</f>
        <v>19</v>
      </c>
      <c r="S243">
        <f>'Fortress Creek'!Q37</f>
        <v>6573</v>
      </c>
      <c r="T243">
        <f>'Fortress Creek'!R37</f>
        <v>0.3</v>
      </c>
      <c r="U243">
        <f>'Fortress Creek'!S37</f>
        <v>1154</v>
      </c>
      <c r="V243">
        <f>'Fortress Creek'!T37</f>
        <v>1</v>
      </c>
      <c r="W243">
        <f>'Fortress Creek'!U37</f>
        <v>1</v>
      </c>
      <c r="X243">
        <f>'Fortress Creek'!V37</f>
        <v>1</v>
      </c>
      <c r="Y243">
        <f>'Fortress Creek'!W37</f>
        <v>0</v>
      </c>
      <c r="Z243">
        <f>'Fortress Creek'!X37</f>
        <v>1270</v>
      </c>
      <c r="AA243">
        <f>'Fortress Creek'!Y37</f>
        <v>1</v>
      </c>
      <c r="AB243">
        <f>'Fortress Creek'!Z37</f>
        <v>1</v>
      </c>
      <c r="AC243">
        <f>'Fortress Creek'!AA37</f>
        <v>1</v>
      </c>
      <c r="AD243">
        <f>'Fortress Creek'!AB37</f>
        <v>0</v>
      </c>
      <c r="AE243">
        <f>'Fortress Creek'!AC37</f>
        <v>1456</v>
      </c>
      <c r="AF243">
        <f>'Fortress Creek'!AD37</f>
        <v>275</v>
      </c>
      <c r="AG243">
        <f>'Fortress Creek'!AE37</f>
        <v>105</v>
      </c>
      <c r="AH243">
        <f>'Fortress Creek'!AF37</f>
        <v>30736</v>
      </c>
      <c r="AI243">
        <f>'Fortress Creek'!AG37</f>
        <v>1.3</v>
      </c>
      <c r="AJ243">
        <f>'Fortress Creek'!AH37</f>
        <v>1492</v>
      </c>
      <c r="AK243">
        <f>'Fortress Creek'!AI37</f>
        <v>257</v>
      </c>
      <c r="AL243">
        <f>'Fortress Creek'!AJ37</f>
        <v>47</v>
      </c>
      <c r="AM243">
        <f>'Fortress Creek'!AK37</f>
        <v>12858</v>
      </c>
      <c r="AN243">
        <f>'Fortress Creek'!AL37</f>
        <v>0.6</v>
      </c>
      <c r="AO243">
        <f>'Fortress Creek'!AM37</f>
        <v>1592</v>
      </c>
      <c r="AP243">
        <f>'Fortress Creek'!AN37</f>
        <v>119</v>
      </c>
      <c r="AQ243">
        <f>'Fortress Creek'!AO37</f>
        <v>5</v>
      </c>
      <c r="AR243">
        <f>'Fortress Creek'!AP37</f>
        <v>633</v>
      </c>
      <c r="AS243">
        <f>'Fortress Creek'!AQ37</f>
        <v>0</v>
      </c>
      <c r="AT243">
        <f>'Fortress Creek'!AR37</f>
        <v>1748</v>
      </c>
      <c r="AU243">
        <f>'Fortress Creek'!AS37</f>
        <v>495</v>
      </c>
      <c r="AV243">
        <f>'Fortress Creek'!AT37</f>
        <v>113</v>
      </c>
      <c r="AW243">
        <f>'Fortress Creek'!AU37</f>
        <v>59541</v>
      </c>
      <c r="AX243">
        <f>'Fortress Creek'!AV37</f>
        <v>2.6</v>
      </c>
    </row>
    <row r="244" spans="1:50">
      <c r="A244" t="str">
        <f>'Fortress Creek'!A38</f>
        <v>/Users/christophermarjo/Documents/Python/Projects/data/bushfire Raman/Fortress Creek/FCM 5 (2)</v>
      </c>
      <c r="B244" t="str">
        <f t="shared" si="3"/>
        <v>Fortress Creek</v>
      </c>
      <c r="C244">
        <v>5</v>
      </c>
      <c r="D244" t="str">
        <f>'Fortress Creek'!B38</f>
        <v>17.15 counts</v>
      </c>
      <c r="E244">
        <f>'Fortress Creek'!C38</f>
        <v>0.98261100000000001</v>
      </c>
      <c r="F244">
        <f>'Fortress Creek'!D38</f>
        <v>1369</v>
      </c>
      <c r="G244">
        <f>'Fortress Creek'!E38</f>
        <v>8797</v>
      </c>
      <c r="H244">
        <f>'Fortress Creek'!F38</f>
        <v>360</v>
      </c>
      <c r="I244">
        <f>'Fortress Creek'!G38</f>
        <v>3371082</v>
      </c>
      <c r="J244">
        <f>'Fortress Creek'!H38</f>
        <v>73.400000000000006</v>
      </c>
      <c r="K244">
        <f>'Fortress Creek'!I38</f>
        <v>1586</v>
      </c>
      <c r="L244">
        <f>'Fortress Creek'!J38</f>
        <v>9117</v>
      </c>
      <c r="M244">
        <f>'Fortress Creek'!K38</f>
        <v>104</v>
      </c>
      <c r="N244">
        <f>'Fortress Creek'!L38</f>
        <v>1009294</v>
      </c>
      <c r="O244">
        <f>'Fortress Creek'!M38</f>
        <v>22</v>
      </c>
      <c r="P244">
        <f>'Fortress Creek'!N38</f>
        <v>1045</v>
      </c>
      <c r="Q244">
        <f>'Fortress Creek'!O38</f>
        <v>447</v>
      </c>
      <c r="R244">
        <f>'Fortress Creek'!P38</f>
        <v>49</v>
      </c>
      <c r="S244">
        <f>'Fortress Creek'!Q38</f>
        <v>23315</v>
      </c>
      <c r="T244">
        <f>'Fortress Creek'!R38</f>
        <v>0.5</v>
      </c>
      <c r="U244">
        <f>'Fortress Creek'!S38</f>
        <v>1154</v>
      </c>
      <c r="V244">
        <f>'Fortress Creek'!T38</f>
        <v>1</v>
      </c>
      <c r="W244">
        <f>'Fortress Creek'!U38</f>
        <v>1</v>
      </c>
      <c r="X244">
        <f>'Fortress Creek'!V38</f>
        <v>1</v>
      </c>
      <c r="Y244">
        <f>'Fortress Creek'!W38</f>
        <v>0</v>
      </c>
      <c r="Z244">
        <f>'Fortress Creek'!X38</f>
        <v>1270</v>
      </c>
      <c r="AA244">
        <f>'Fortress Creek'!Y38</f>
        <v>1</v>
      </c>
      <c r="AB244">
        <f>'Fortress Creek'!Z38</f>
        <v>1</v>
      </c>
      <c r="AC244">
        <f>'Fortress Creek'!AA38</f>
        <v>1</v>
      </c>
      <c r="AD244">
        <f>'Fortress Creek'!AB38</f>
        <v>0</v>
      </c>
      <c r="AE244">
        <f>'Fortress Creek'!AC38</f>
        <v>1456</v>
      </c>
      <c r="AF244">
        <f>'Fortress Creek'!AD38</f>
        <v>261</v>
      </c>
      <c r="AG244">
        <f>'Fortress Creek'!AE38</f>
        <v>5</v>
      </c>
      <c r="AH244">
        <f>'Fortress Creek'!AF38</f>
        <v>1389</v>
      </c>
      <c r="AI244">
        <f>'Fortress Creek'!AG38</f>
        <v>0</v>
      </c>
      <c r="AJ244">
        <f>'Fortress Creek'!AH38</f>
        <v>1500</v>
      </c>
      <c r="AK244">
        <f>'Fortress Creek'!AI38</f>
        <v>683</v>
      </c>
      <c r="AL244">
        <f>'Fortress Creek'!AJ38</f>
        <v>33</v>
      </c>
      <c r="AM244">
        <f>'Fortress Creek'!AK38</f>
        <v>23992</v>
      </c>
      <c r="AN244">
        <f>'Fortress Creek'!AL38</f>
        <v>0.5</v>
      </c>
      <c r="AO244">
        <f>'Fortress Creek'!AM38</f>
        <v>1598</v>
      </c>
      <c r="AP244">
        <f>'Fortress Creek'!AN38</f>
        <v>309</v>
      </c>
      <c r="AQ244">
        <f>'Fortress Creek'!AO38</f>
        <v>25</v>
      </c>
      <c r="AR244">
        <f>'Fortress Creek'!AP38</f>
        <v>8223</v>
      </c>
      <c r="AS244">
        <f>'Fortress Creek'!AQ38</f>
        <v>0.2</v>
      </c>
      <c r="AT244">
        <f>'Fortress Creek'!AR38</f>
        <v>1744</v>
      </c>
      <c r="AU244">
        <f>'Fortress Creek'!AS38</f>
        <v>927</v>
      </c>
      <c r="AV244">
        <f>'Fortress Creek'!AT38</f>
        <v>159</v>
      </c>
      <c r="AW244">
        <f>'Fortress Creek'!AU38</f>
        <v>156895</v>
      </c>
      <c r="AX244">
        <f>'Fortress Creek'!AV38</f>
        <v>3.4</v>
      </c>
    </row>
    <row r="245" spans="1:50">
      <c r="A245" t="str">
        <f>'Fortress Creek'!A39</f>
        <v>/Users/christophermarjo/Documents/Python/Projects/data/bushfire Raman/Fortress Creek/FCM 5 (3)</v>
      </c>
      <c r="B245" t="str">
        <f t="shared" si="3"/>
        <v>Fortress Creek</v>
      </c>
      <c r="C245">
        <v>5</v>
      </c>
      <c r="D245" t="str">
        <f>'Fortress Creek'!B39</f>
        <v>8.22 counts</v>
      </c>
      <c r="E245">
        <f>'Fortress Creek'!C39</f>
        <v>0.98406199999999999</v>
      </c>
      <c r="F245">
        <f>'Fortress Creek'!D39</f>
        <v>1369</v>
      </c>
      <c r="G245">
        <f>'Fortress Creek'!E39</f>
        <v>4509</v>
      </c>
      <c r="H245">
        <f>'Fortress Creek'!F39</f>
        <v>344</v>
      </c>
      <c r="I245">
        <f>'Fortress Creek'!G39</f>
        <v>1651091</v>
      </c>
      <c r="J245">
        <f>'Fortress Creek'!H39</f>
        <v>74.900000000000006</v>
      </c>
      <c r="K245">
        <f>'Fortress Creek'!I39</f>
        <v>1588</v>
      </c>
      <c r="L245">
        <f>'Fortress Creek'!J39</f>
        <v>4231</v>
      </c>
      <c r="M245">
        <f>'Fortress Creek'!K39</f>
        <v>104</v>
      </c>
      <c r="N245">
        <f>'Fortress Creek'!L39</f>
        <v>468391</v>
      </c>
      <c r="O245">
        <f>'Fortress Creek'!M39</f>
        <v>21.3</v>
      </c>
      <c r="P245">
        <f>'Fortress Creek'!N39</f>
        <v>1043</v>
      </c>
      <c r="Q245">
        <f>'Fortress Creek'!O39</f>
        <v>181</v>
      </c>
      <c r="R245">
        <f>'Fortress Creek'!P39</f>
        <v>59</v>
      </c>
      <c r="S245">
        <f>'Fortress Creek'!Q39</f>
        <v>11367</v>
      </c>
      <c r="T245">
        <f>'Fortress Creek'!R39</f>
        <v>0.5</v>
      </c>
      <c r="U245">
        <f>'Fortress Creek'!S39</f>
        <v>1154</v>
      </c>
      <c r="V245">
        <f>'Fortress Creek'!T39</f>
        <v>1</v>
      </c>
      <c r="W245">
        <f>'Fortress Creek'!U39</f>
        <v>1</v>
      </c>
      <c r="X245">
        <f>'Fortress Creek'!V39</f>
        <v>1</v>
      </c>
      <c r="Y245">
        <f>'Fortress Creek'!W39</f>
        <v>0</v>
      </c>
      <c r="Z245">
        <f>'Fortress Creek'!X39</f>
        <v>1294</v>
      </c>
      <c r="AA245">
        <f>'Fortress Creek'!Y39</f>
        <v>1</v>
      </c>
      <c r="AB245">
        <f>'Fortress Creek'!Z39</f>
        <v>1</v>
      </c>
      <c r="AC245">
        <f>'Fortress Creek'!AA39</f>
        <v>1</v>
      </c>
      <c r="AD245">
        <f>'Fortress Creek'!AB39</f>
        <v>0</v>
      </c>
      <c r="AE245">
        <f>'Fortress Creek'!AC39</f>
        <v>1400</v>
      </c>
      <c r="AF245">
        <f>'Fortress Creek'!AD39</f>
        <v>57</v>
      </c>
      <c r="AG245">
        <f>'Fortress Creek'!AE39</f>
        <v>1</v>
      </c>
      <c r="AH245">
        <f>'Fortress Creek'!AF39</f>
        <v>61</v>
      </c>
      <c r="AI245">
        <f>'Fortress Creek'!AG39</f>
        <v>0</v>
      </c>
      <c r="AJ245">
        <f>'Fortress Creek'!AH39</f>
        <v>1534</v>
      </c>
      <c r="AK245">
        <f>'Fortress Creek'!AI39</f>
        <v>1</v>
      </c>
      <c r="AL245">
        <f>'Fortress Creek'!AJ39</f>
        <v>5</v>
      </c>
      <c r="AM245">
        <f>'Fortress Creek'!AK39</f>
        <v>5</v>
      </c>
      <c r="AN245">
        <f>'Fortress Creek'!AL39</f>
        <v>0</v>
      </c>
      <c r="AO245">
        <f>'Fortress Creek'!AM39</f>
        <v>1598</v>
      </c>
      <c r="AP245">
        <f>'Fortress Creek'!AN39</f>
        <v>609</v>
      </c>
      <c r="AQ245">
        <f>'Fortress Creek'!AO39</f>
        <v>25</v>
      </c>
      <c r="AR245">
        <f>'Fortress Creek'!AP39</f>
        <v>16207</v>
      </c>
      <c r="AS245">
        <f>'Fortress Creek'!AQ39</f>
        <v>0.7</v>
      </c>
      <c r="AT245">
        <f>'Fortress Creek'!AR39</f>
        <v>1748</v>
      </c>
      <c r="AU245">
        <f>'Fortress Creek'!AS39</f>
        <v>271</v>
      </c>
      <c r="AV245">
        <f>'Fortress Creek'!AT39</f>
        <v>195</v>
      </c>
      <c r="AW245">
        <f>'Fortress Creek'!AU39</f>
        <v>56252</v>
      </c>
      <c r="AX245">
        <f>'Fortress Creek'!AV39</f>
        <v>2.6</v>
      </c>
    </row>
    <row r="246" spans="1:50">
      <c r="A246" t="str">
        <f>'Fortress Creek'!A40</f>
        <v>/Users/christophermarjo/Documents/Python/Projects/data/bushfire Raman/Fortress Creek/FCM 5.5 (1)</v>
      </c>
      <c r="B246" t="str">
        <f t="shared" si="3"/>
        <v>Fortress Creek</v>
      </c>
      <c r="C246">
        <v>5.5</v>
      </c>
      <c r="D246" t="str">
        <f>'Fortress Creek'!B40</f>
        <v>3.03 counts</v>
      </c>
      <c r="E246">
        <f>'Fortress Creek'!C40</f>
        <v>0.98534100000000002</v>
      </c>
      <c r="F246">
        <f>'Fortress Creek'!D40</f>
        <v>1369</v>
      </c>
      <c r="G246">
        <f>'Fortress Creek'!E40</f>
        <v>1773</v>
      </c>
      <c r="H246">
        <f>'Fortress Creek'!F40</f>
        <v>338</v>
      </c>
      <c r="I246">
        <f>'Fortress Creek'!G40</f>
        <v>637907</v>
      </c>
      <c r="J246">
        <f>'Fortress Creek'!H40</f>
        <v>76.599999999999994</v>
      </c>
      <c r="K246">
        <f>'Fortress Creek'!I40</f>
        <v>1584</v>
      </c>
      <c r="L246">
        <f>'Fortress Creek'!J40</f>
        <v>1565</v>
      </c>
      <c r="M246">
        <f>'Fortress Creek'!K40</f>
        <v>104</v>
      </c>
      <c r="N246">
        <f>'Fortress Creek'!L40</f>
        <v>173253</v>
      </c>
      <c r="O246">
        <f>'Fortress Creek'!M40</f>
        <v>20.8</v>
      </c>
      <c r="P246">
        <f>'Fortress Creek'!N40</f>
        <v>1055</v>
      </c>
      <c r="Q246">
        <f>'Fortress Creek'!O40</f>
        <v>111</v>
      </c>
      <c r="R246">
        <f>'Fortress Creek'!P40</f>
        <v>45</v>
      </c>
      <c r="S246">
        <f>'Fortress Creek'!Q40</f>
        <v>5317</v>
      </c>
      <c r="T246">
        <f>'Fortress Creek'!R40</f>
        <v>0.6</v>
      </c>
      <c r="U246">
        <f>'Fortress Creek'!S40</f>
        <v>1154</v>
      </c>
      <c r="V246">
        <f>'Fortress Creek'!T40</f>
        <v>7</v>
      </c>
      <c r="W246">
        <f>'Fortress Creek'!U40</f>
        <v>1</v>
      </c>
      <c r="X246">
        <f>'Fortress Creek'!V40</f>
        <v>7</v>
      </c>
      <c r="Y246">
        <f>'Fortress Creek'!W40</f>
        <v>0</v>
      </c>
      <c r="Z246">
        <f>'Fortress Creek'!X40</f>
        <v>1290</v>
      </c>
      <c r="AA246">
        <f>'Fortress Creek'!Y40</f>
        <v>3</v>
      </c>
      <c r="AB246">
        <f>'Fortress Creek'!Z40</f>
        <v>3</v>
      </c>
      <c r="AC246">
        <f>'Fortress Creek'!AA40</f>
        <v>10</v>
      </c>
      <c r="AD246">
        <f>'Fortress Creek'!AB40</f>
        <v>0</v>
      </c>
      <c r="AE246">
        <f>'Fortress Creek'!AC40</f>
        <v>1458</v>
      </c>
      <c r="AF246">
        <f>'Fortress Creek'!AD40</f>
        <v>53</v>
      </c>
      <c r="AG246">
        <f>'Fortress Creek'!AE40</f>
        <v>1</v>
      </c>
      <c r="AH246">
        <f>'Fortress Creek'!AF40</f>
        <v>56</v>
      </c>
      <c r="AI246">
        <f>'Fortress Creek'!AG40</f>
        <v>0</v>
      </c>
      <c r="AJ246">
        <f>'Fortress Creek'!AH40</f>
        <v>1500</v>
      </c>
      <c r="AK246">
        <f>'Fortress Creek'!AI40</f>
        <v>49</v>
      </c>
      <c r="AL246">
        <f>'Fortress Creek'!AJ40</f>
        <v>29</v>
      </c>
      <c r="AM246">
        <f>'Fortress Creek'!AK40</f>
        <v>1513</v>
      </c>
      <c r="AN246">
        <f>'Fortress Creek'!AL40</f>
        <v>0.2</v>
      </c>
      <c r="AO246">
        <f>'Fortress Creek'!AM40</f>
        <v>1592</v>
      </c>
      <c r="AP246">
        <f>'Fortress Creek'!AN40</f>
        <v>37</v>
      </c>
      <c r="AQ246">
        <f>'Fortress Creek'!AO40</f>
        <v>21</v>
      </c>
      <c r="AR246">
        <f>'Fortress Creek'!AP40</f>
        <v>827</v>
      </c>
      <c r="AS246">
        <f>'Fortress Creek'!AQ40</f>
        <v>0.1</v>
      </c>
      <c r="AT246">
        <f>'Fortress Creek'!AR40</f>
        <v>1712</v>
      </c>
      <c r="AU246">
        <f>'Fortress Creek'!AS40</f>
        <v>133</v>
      </c>
      <c r="AV246">
        <f>'Fortress Creek'!AT40</f>
        <v>95</v>
      </c>
      <c r="AW246">
        <f>'Fortress Creek'!AU40</f>
        <v>13450</v>
      </c>
      <c r="AX246">
        <f>'Fortress Creek'!AV40</f>
        <v>1.6</v>
      </c>
    </row>
    <row r="247" spans="1:50">
      <c r="A247" t="str">
        <f>'Fortress Creek'!A41</f>
        <v>/Users/christophermarjo/Documents/Python/Projects/data/bushfire Raman/Fortress Creek/FCM 5.5 (2)</v>
      </c>
      <c r="B247" t="str">
        <f t="shared" si="3"/>
        <v>Fortress Creek</v>
      </c>
      <c r="C247">
        <v>5.5</v>
      </c>
      <c r="D247" t="str">
        <f>'Fortress Creek'!B41</f>
        <v>4.64 counts</v>
      </c>
      <c r="E247">
        <f>'Fortress Creek'!C41</f>
        <v>0.98609100000000005</v>
      </c>
      <c r="F247">
        <f>'Fortress Creek'!D41</f>
        <v>1369</v>
      </c>
      <c r="G247">
        <f>'Fortress Creek'!E41</f>
        <v>2787</v>
      </c>
      <c r="H247">
        <f>'Fortress Creek'!F41</f>
        <v>342</v>
      </c>
      <c r="I247">
        <f>'Fortress Creek'!G41</f>
        <v>1014601</v>
      </c>
      <c r="J247">
        <f>'Fortress Creek'!H41</f>
        <v>76.599999999999994</v>
      </c>
      <c r="K247">
        <f>'Fortress Creek'!I41</f>
        <v>1584</v>
      </c>
      <c r="L247">
        <f>'Fortress Creek'!J41</f>
        <v>2385</v>
      </c>
      <c r="M247">
        <f>'Fortress Creek'!K41</f>
        <v>104</v>
      </c>
      <c r="N247">
        <f>'Fortress Creek'!L41</f>
        <v>264030</v>
      </c>
      <c r="O247">
        <f>'Fortress Creek'!M41</f>
        <v>19.899999999999999</v>
      </c>
      <c r="P247">
        <f>'Fortress Creek'!N41</f>
        <v>1027</v>
      </c>
      <c r="Q247">
        <f>'Fortress Creek'!O41</f>
        <v>95</v>
      </c>
      <c r="R247">
        <f>'Fortress Creek'!P41</f>
        <v>85</v>
      </c>
      <c r="S247">
        <f>'Fortress Creek'!Q41</f>
        <v>8596</v>
      </c>
      <c r="T247">
        <f>'Fortress Creek'!R41</f>
        <v>0.6</v>
      </c>
      <c r="U247">
        <f>'Fortress Creek'!S41</f>
        <v>1158</v>
      </c>
      <c r="V247">
        <f>'Fortress Creek'!T41</f>
        <v>1</v>
      </c>
      <c r="W247">
        <f>'Fortress Creek'!U41</f>
        <v>1</v>
      </c>
      <c r="X247">
        <f>'Fortress Creek'!V41</f>
        <v>1</v>
      </c>
      <c r="Y247">
        <f>'Fortress Creek'!W41</f>
        <v>0</v>
      </c>
      <c r="Z247">
        <f>'Fortress Creek'!X41</f>
        <v>1292</v>
      </c>
      <c r="AA247">
        <f>'Fortress Creek'!Y41</f>
        <v>85</v>
      </c>
      <c r="AB247">
        <f>'Fortress Creek'!Z41</f>
        <v>1</v>
      </c>
      <c r="AC247">
        <f>'Fortress Creek'!AA41</f>
        <v>90</v>
      </c>
      <c r="AD247">
        <f>'Fortress Creek'!AB41</f>
        <v>0</v>
      </c>
      <c r="AE247">
        <f>'Fortress Creek'!AC41</f>
        <v>1458</v>
      </c>
      <c r="AF247">
        <f>'Fortress Creek'!AD41</f>
        <v>1</v>
      </c>
      <c r="AG247">
        <f>'Fortress Creek'!AE41</f>
        <v>1</v>
      </c>
      <c r="AH247">
        <f>'Fortress Creek'!AF41</f>
        <v>1</v>
      </c>
      <c r="AI247">
        <f>'Fortress Creek'!AG41</f>
        <v>0</v>
      </c>
      <c r="AJ247">
        <f>'Fortress Creek'!AH41</f>
        <v>1498</v>
      </c>
      <c r="AK247">
        <f>'Fortress Creek'!AI41</f>
        <v>107</v>
      </c>
      <c r="AL247">
        <f>'Fortress Creek'!AJ41</f>
        <v>37</v>
      </c>
      <c r="AM247">
        <f>'Fortress Creek'!AK41</f>
        <v>4214</v>
      </c>
      <c r="AN247">
        <f>'Fortress Creek'!AL41</f>
        <v>0.3</v>
      </c>
      <c r="AO247">
        <f>'Fortress Creek'!AM41</f>
        <v>1592</v>
      </c>
      <c r="AP247">
        <f>'Fortress Creek'!AN41</f>
        <v>243</v>
      </c>
      <c r="AQ247">
        <f>'Fortress Creek'!AO41</f>
        <v>21</v>
      </c>
      <c r="AR247">
        <f>'Fortress Creek'!AP41</f>
        <v>5432</v>
      </c>
      <c r="AS247">
        <f>'Fortress Creek'!AQ41</f>
        <v>0.4</v>
      </c>
      <c r="AT247">
        <f>'Fortress Creek'!AR41</f>
        <v>1736</v>
      </c>
      <c r="AU247">
        <f>'Fortress Creek'!AS41</f>
        <v>189</v>
      </c>
      <c r="AV247">
        <f>'Fortress Creek'!AT41</f>
        <v>137</v>
      </c>
      <c r="AW247">
        <f>'Fortress Creek'!AU41</f>
        <v>27562</v>
      </c>
      <c r="AX247">
        <f>'Fortress Creek'!AV41</f>
        <v>2.1</v>
      </c>
    </row>
    <row r="248" spans="1:50">
      <c r="A248" t="str">
        <f>'Fortress Creek'!A42</f>
        <v>/Users/christophermarjo/Documents/Python/Projects/data/bushfire Raman/Fortress Creek/FCM 5.5 (3)</v>
      </c>
      <c r="B248" t="str">
        <f t="shared" si="3"/>
        <v>Fortress Creek</v>
      </c>
      <c r="C248">
        <v>5.5</v>
      </c>
      <c r="D248" t="str">
        <f>'Fortress Creek'!B42</f>
        <v>2.37 counts</v>
      </c>
      <c r="E248">
        <f>'Fortress Creek'!C42</f>
        <v>0.977657</v>
      </c>
      <c r="F248">
        <f>'Fortress Creek'!D42</f>
        <v>1369</v>
      </c>
      <c r="G248">
        <f>'Fortress Creek'!E42</f>
        <v>1133</v>
      </c>
      <c r="H248">
        <f>'Fortress Creek'!F42</f>
        <v>330</v>
      </c>
      <c r="I248">
        <f>'Fortress Creek'!G42</f>
        <v>397994</v>
      </c>
      <c r="J248">
        <f>'Fortress Creek'!H42</f>
        <v>71</v>
      </c>
      <c r="K248">
        <f>'Fortress Creek'!I42</f>
        <v>1588</v>
      </c>
      <c r="L248">
        <f>'Fortress Creek'!J42</f>
        <v>1113</v>
      </c>
      <c r="M248">
        <f>'Fortress Creek'!K42</f>
        <v>104</v>
      </c>
      <c r="N248">
        <f>'Fortress Creek'!L42</f>
        <v>123214</v>
      </c>
      <c r="O248">
        <f>'Fortress Creek'!M42</f>
        <v>22</v>
      </c>
      <c r="P248">
        <f>'Fortress Creek'!N42</f>
        <v>1025</v>
      </c>
      <c r="Q248">
        <f>'Fortress Creek'!O42</f>
        <v>39</v>
      </c>
      <c r="R248">
        <f>'Fortress Creek'!P42</f>
        <v>63</v>
      </c>
      <c r="S248">
        <f>'Fortress Creek'!Q42</f>
        <v>2615</v>
      </c>
      <c r="T248">
        <f>'Fortress Creek'!R42</f>
        <v>0.5</v>
      </c>
      <c r="U248">
        <f>'Fortress Creek'!S42</f>
        <v>1162</v>
      </c>
      <c r="V248">
        <f>'Fortress Creek'!T42</f>
        <v>47</v>
      </c>
      <c r="W248">
        <f>'Fortress Creek'!U42</f>
        <v>1</v>
      </c>
      <c r="X248">
        <f>'Fortress Creek'!V42</f>
        <v>50</v>
      </c>
      <c r="Y248">
        <f>'Fortress Creek'!W42</f>
        <v>0</v>
      </c>
      <c r="Z248">
        <f>'Fortress Creek'!X42</f>
        <v>1296</v>
      </c>
      <c r="AA248">
        <f>'Fortress Creek'!Y42</f>
        <v>3</v>
      </c>
      <c r="AB248">
        <f>'Fortress Creek'!Z42</f>
        <v>1</v>
      </c>
      <c r="AC248">
        <f>'Fortress Creek'!AA42</f>
        <v>3</v>
      </c>
      <c r="AD248">
        <f>'Fortress Creek'!AB42</f>
        <v>0</v>
      </c>
      <c r="AE248">
        <f>'Fortress Creek'!AC42</f>
        <v>1450</v>
      </c>
      <c r="AF248">
        <f>'Fortress Creek'!AD42</f>
        <v>21</v>
      </c>
      <c r="AG248">
        <f>'Fortress Creek'!AE42</f>
        <v>1</v>
      </c>
      <c r="AH248">
        <f>'Fortress Creek'!AF42</f>
        <v>22</v>
      </c>
      <c r="AI248">
        <f>'Fortress Creek'!AG42</f>
        <v>0</v>
      </c>
      <c r="AJ248">
        <f>'Fortress Creek'!AH42</f>
        <v>1504</v>
      </c>
      <c r="AK248">
        <f>'Fortress Creek'!AI42</f>
        <v>79</v>
      </c>
      <c r="AL248">
        <f>'Fortress Creek'!AJ42</f>
        <v>45</v>
      </c>
      <c r="AM248">
        <f>'Fortress Creek'!AK42</f>
        <v>3784</v>
      </c>
      <c r="AN248">
        <f>'Fortress Creek'!AL42</f>
        <v>0.7</v>
      </c>
      <c r="AO248">
        <f>'Fortress Creek'!AM42</f>
        <v>1598</v>
      </c>
      <c r="AP248">
        <f>'Fortress Creek'!AN42</f>
        <v>131</v>
      </c>
      <c r="AQ248">
        <f>'Fortress Creek'!AO42</f>
        <v>3</v>
      </c>
      <c r="AR248">
        <f>'Fortress Creek'!AP42</f>
        <v>418</v>
      </c>
      <c r="AS248">
        <f>'Fortress Creek'!AQ42</f>
        <v>0.1</v>
      </c>
      <c r="AT248">
        <f>'Fortress Creek'!AR42</f>
        <v>1748</v>
      </c>
      <c r="AU248">
        <f>'Fortress Creek'!AS42</f>
        <v>153</v>
      </c>
      <c r="AV248">
        <f>'Fortress Creek'!AT42</f>
        <v>199</v>
      </c>
      <c r="AW248">
        <f>'Fortress Creek'!AU42</f>
        <v>32410</v>
      </c>
      <c r="AX248">
        <f>'Fortress Creek'!AV42</f>
        <v>5.8</v>
      </c>
    </row>
    <row r="249" spans="1:50">
      <c r="A249" t="str">
        <f>'Fortress Creek'!A43</f>
        <v>/Users/christophermarjo/Documents/Python/Projects/data/bushfire Raman/Fortress Creek/FCM 5.5 (4)</v>
      </c>
      <c r="B249" t="str">
        <f t="shared" si="3"/>
        <v>Fortress Creek</v>
      </c>
      <c r="C249">
        <v>5.5</v>
      </c>
      <c r="D249" t="str">
        <f>'Fortress Creek'!B43</f>
        <v>4.04 counts</v>
      </c>
      <c r="E249">
        <f>'Fortress Creek'!C43</f>
        <v>0.98711800000000005</v>
      </c>
      <c r="F249">
        <f>'Fortress Creek'!D43</f>
        <v>1369</v>
      </c>
      <c r="G249">
        <f>'Fortress Creek'!E43</f>
        <v>2499</v>
      </c>
      <c r="H249">
        <f>'Fortress Creek'!F43</f>
        <v>324</v>
      </c>
      <c r="I249">
        <f>'Fortress Creek'!G43</f>
        <v>861873</v>
      </c>
      <c r="J249">
        <f>'Fortress Creek'!H43</f>
        <v>74.5</v>
      </c>
      <c r="K249">
        <f>'Fortress Creek'!I43</f>
        <v>1584</v>
      </c>
      <c r="L249">
        <f>'Fortress Creek'!J43</f>
        <v>2411</v>
      </c>
      <c r="M249">
        <f>'Fortress Creek'!K43</f>
        <v>102</v>
      </c>
      <c r="N249">
        <f>'Fortress Creek'!L43</f>
        <v>261776</v>
      </c>
      <c r="O249">
        <f>'Fortress Creek'!M43</f>
        <v>22.6</v>
      </c>
      <c r="P249">
        <f>'Fortress Creek'!N43</f>
        <v>1045</v>
      </c>
      <c r="Q249">
        <f>'Fortress Creek'!O43</f>
        <v>109</v>
      </c>
      <c r="R249">
        <f>'Fortress Creek'!P43</f>
        <v>79</v>
      </c>
      <c r="S249">
        <f>'Fortress Creek'!Q43</f>
        <v>9166</v>
      </c>
      <c r="T249">
        <f>'Fortress Creek'!R43</f>
        <v>0.8</v>
      </c>
      <c r="U249">
        <f>'Fortress Creek'!S43</f>
        <v>1154</v>
      </c>
      <c r="V249">
        <f>'Fortress Creek'!T43</f>
        <v>1</v>
      </c>
      <c r="W249">
        <f>'Fortress Creek'!U43</f>
        <v>1</v>
      </c>
      <c r="X249">
        <f>'Fortress Creek'!V43</f>
        <v>1</v>
      </c>
      <c r="Y249">
        <f>'Fortress Creek'!W43</f>
        <v>0</v>
      </c>
      <c r="Z249">
        <f>'Fortress Creek'!X43</f>
        <v>1296</v>
      </c>
      <c r="AA249">
        <f>'Fortress Creek'!Y43</f>
        <v>5</v>
      </c>
      <c r="AB249">
        <f>'Fortress Creek'!Z43</f>
        <v>1</v>
      </c>
      <c r="AC249">
        <f>'Fortress Creek'!AA43</f>
        <v>5</v>
      </c>
      <c r="AD249">
        <f>'Fortress Creek'!AB43</f>
        <v>0</v>
      </c>
      <c r="AE249">
        <f>'Fortress Creek'!AC43</f>
        <v>1410</v>
      </c>
      <c r="AF249">
        <f>'Fortress Creek'!AD43</f>
        <v>1</v>
      </c>
      <c r="AG249">
        <f>'Fortress Creek'!AE43</f>
        <v>1</v>
      </c>
      <c r="AH249">
        <f>'Fortress Creek'!AF43</f>
        <v>1</v>
      </c>
      <c r="AI249">
        <f>'Fortress Creek'!AG43</f>
        <v>0</v>
      </c>
      <c r="AJ249">
        <f>'Fortress Creek'!AH43</f>
        <v>1500</v>
      </c>
      <c r="AK249">
        <f>'Fortress Creek'!AI43</f>
        <v>245</v>
      </c>
      <c r="AL249">
        <f>'Fortress Creek'!AJ43</f>
        <v>3</v>
      </c>
      <c r="AM249">
        <f>'Fortress Creek'!AK43</f>
        <v>782</v>
      </c>
      <c r="AN249">
        <f>'Fortress Creek'!AL43</f>
        <v>0.1</v>
      </c>
      <c r="AO249">
        <f>'Fortress Creek'!AM43</f>
        <v>1594</v>
      </c>
      <c r="AP249">
        <f>'Fortress Creek'!AN43</f>
        <v>469</v>
      </c>
      <c r="AQ249">
        <f>'Fortress Creek'!AO43</f>
        <v>5</v>
      </c>
      <c r="AR249">
        <f>'Fortress Creek'!AP43</f>
        <v>2496</v>
      </c>
      <c r="AS249">
        <f>'Fortress Creek'!AQ43</f>
        <v>0.2</v>
      </c>
      <c r="AT249">
        <f>'Fortress Creek'!AR43</f>
        <v>1724</v>
      </c>
      <c r="AU249">
        <f>'Fortress Creek'!AS43</f>
        <v>189</v>
      </c>
      <c r="AV249">
        <f>'Fortress Creek'!AT43</f>
        <v>103</v>
      </c>
      <c r="AW249">
        <f>'Fortress Creek'!AU43</f>
        <v>20722</v>
      </c>
      <c r="AX249">
        <f>'Fortress Creek'!AV43</f>
        <v>1.8</v>
      </c>
    </row>
    <row r="250" spans="1:50">
      <c r="A250" t="str">
        <f>'Fortress Creek'!A44</f>
        <v>/Users/christophermarjo/Documents/Python/Projects/data/bushfire Raman/Fortress Creek/FCM 5.5 (5)</v>
      </c>
      <c r="B250" t="str">
        <f t="shared" si="3"/>
        <v>Fortress Creek</v>
      </c>
      <c r="C250">
        <v>5.5</v>
      </c>
      <c r="D250" t="str">
        <f>'Fortress Creek'!B44</f>
        <v>2.47 counts</v>
      </c>
      <c r="E250">
        <f>'Fortress Creek'!C44</f>
        <v>0.98393799999999998</v>
      </c>
      <c r="F250">
        <f>'Fortress Creek'!D44</f>
        <v>1369</v>
      </c>
      <c r="G250">
        <f>'Fortress Creek'!E44</f>
        <v>1367</v>
      </c>
      <c r="H250">
        <f>'Fortress Creek'!F44</f>
        <v>336</v>
      </c>
      <c r="I250">
        <f>'Fortress Creek'!G44</f>
        <v>488922</v>
      </c>
      <c r="J250">
        <f>'Fortress Creek'!H44</f>
        <v>76.900000000000006</v>
      </c>
      <c r="K250">
        <f>'Fortress Creek'!I44</f>
        <v>1586</v>
      </c>
      <c r="L250">
        <f>'Fortress Creek'!J44</f>
        <v>1227</v>
      </c>
      <c r="M250">
        <f>'Fortress Creek'!K44</f>
        <v>104</v>
      </c>
      <c r="N250">
        <f>'Fortress Creek'!L44</f>
        <v>135835</v>
      </c>
      <c r="O250">
        <f>'Fortress Creek'!M44</f>
        <v>21.4</v>
      </c>
      <c r="P250">
        <f>'Fortress Creek'!N44</f>
        <v>1055</v>
      </c>
      <c r="Q250">
        <f>'Fortress Creek'!O44</f>
        <v>95</v>
      </c>
      <c r="R250">
        <f>'Fortress Creek'!P44</f>
        <v>7</v>
      </c>
      <c r="S250">
        <f>'Fortress Creek'!Q44</f>
        <v>708</v>
      </c>
      <c r="T250">
        <f>'Fortress Creek'!R44</f>
        <v>0.1</v>
      </c>
      <c r="U250">
        <f>'Fortress Creek'!S44</f>
        <v>1158</v>
      </c>
      <c r="V250">
        <f>'Fortress Creek'!T44</f>
        <v>1</v>
      </c>
      <c r="W250">
        <f>'Fortress Creek'!U44</f>
        <v>1</v>
      </c>
      <c r="X250">
        <f>'Fortress Creek'!V44</f>
        <v>1</v>
      </c>
      <c r="Y250">
        <f>'Fortress Creek'!W44</f>
        <v>0</v>
      </c>
      <c r="Z250">
        <f>'Fortress Creek'!X44</f>
        <v>1286</v>
      </c>
      <c r="AA250">
        <f>'Fortress Creek'!Y44</f>
        <v>23</v>
      </c>
      <c r="AB250">
        <f>'Fortress Creek'!Z44</f>
        <v>1</v>
      </c>
      <c r="AC250">
        <f>'Fortress Creek'!AA44</f>
        <v>24</v>
      </c>
      <c r="AD250">
        <f>'Fortress Creek'!AB44</f>
        <v>0</v>
      </c>
      <c r="AE250">
        <f>'Fortress Creek'!AC44</f>
        <v>1458</v>
      </c>
      <c r="AF250">
        <f>'Fortress Creek'!AD44</f>
        <v>27</v>
      </c>
      <c r="AG250">
        <f>'Fortress Creek'!AE44</f>
        <v>1</v>
      </c>
      <c r="AH250">
        <f>'Fortress Creek'!AF44</f>
        <v>29</v>
      </c>
      <c r="AI250">
        <f>'Fortress Creek'!AG44</f>
        <v>0</v>
      </c>
      <c r="AJ250">
        <f>'Fortress Creek'!AH44</f>
        <v>1502</v>
      </c>
      <c r="AK250">
        <f>'Fortress Creek'!AI44</f>
        <v>175</v>
      </c>
      <c r="AL250">
        <f>'Fortress Creek'!AJ44</f>
        <v>1</v>
      </c>
      <c r="AM250">
        <f>'Fortress Creek'!AK44</f>
        <v>186</v>
      </c>
      <c r="AN250">
        <f>'Fortress Creek'!AL44</f>
        <v>0</v>
      </c>
      <c r="AO250">
        <f>'Fortress Creek'!AM44</f>
        <v>1594</v>
      </c>
      <c r="AP250">
        <f>'Fortress Creek'!AN44</f>
        <v>73</v>
      </c>
      <c r="AQ250">
        <f>'Fortress Creek'!AO44</f>
        <v>23</v>
      </c>
      <c r="AR250">
        <f>'Fortress Creek'!AP44</f>
        <v>1787</v>
      </c>
      <c r="AS250">
        <f>'Fortress Creek'!AQ44</f>
        <v>0.3</v>
      </c>
      <c r="AT250">
        <f>'Fortress Creek'!AR44</f>
        <v>1726</v>
      </c>
      <c r="AU250">
        <f>'Fortress Creek'!AS44</f>
        <v>81</v>
      </c>
      <c r="AV250">
        <f>'Fortress Creek'!AT44</f>
        <v>97</v>
      </c>
      <c r="AW250">
        <f>'Fortress Creek'!AU44</f>
        <v>8364</v>
      </c>
      <c r="AX250">
        <f>'Fortress Creek'!AV44</f>
        <v>1.3</v>
      </c>
    </row>
    <row r="251" spans="1:50">
      <c r="A251" t="str">
        <f>'Fortress Creek'!A45</f>
        <v>/Users/christophermarjo/Documents/Python/Projects/data/bushfire Raman/Fortress Creek/FCM 6.5 (1)</v>
      </c>
      <c r="B251" t="str">
        <f t="shared" si="3"/>
        <v>Fortress Creek</v>
      </c>
      <c r="C251">
        <v>6.5</v>
      </c>
      <c r="D251" t="str">
        <f>'Fortress Creek'!B45</f>
        <v>1.57 counts</v>
      </c>
      <c r="E251">
        <f>'Fortress Creek'!C45</f>
        <v>0.98219500000000004</v>
      </c>
      <c r="F251">
        <f>'Fortress Creek'!D45</f>
        <v>1369</v>
      </c>
      <c r="G251">
        <f>'Fortress Creek'!E45</f>
        <v>755</v>
      </c>
      <c r="H251">
        <f>'Fortress Creek'!F45</f>
        <v>302</v>
      </c>
      <c r="I251">
        <f>'Fortress Creek'!G45</f>
        <v>242709</v>
      </c>
      <c r="J251">
        <f>'Fortress Creek'!H45</f>
        <v>69.099999999999994</v>
      </c>
      <c r="K251">
        <f>'Fortress Creek'!I45</f>
        <v>1586</v>
      </c>
      <c r="L251">
        <f>'Fortress Creek'!J45</f>
        <v>903</v>
      </c>
      <c r="M251">
        <f>'Fortress Creek'!K45</f>
        <v>104</v>
      </c>
      <c r="N251">
        <f>'Fortress Creek'!L45</f>
        <v>99966</v>
      </c>
      <c r="O251">
        <f>'Fortress Creek'!M45</f>
        <v>28.4</v>
      </c>
      <c r="P251">
        <f>'Fortress Creek'!N45</f>
        <v>1051</v>
      </c>
      <c r="Q251">
        <f>'Fortress Creek'!O45</f>
        <v>25</v>
      </c>
      <c r="R251">
        <f>'Fortress Creek'!P45</f>
        <v>35</v>
      </c>
      <c r="S251">
        <f>'Fortress Creek'!Q45</f>
        <v>931</v>
      </c>
      <c r="T251">
        <f>'Fortress Creek'!R45</f>
        <v>0.3</v>
      </c>
      <c r="U251">
        <f>'Fortress Creek'!S45</f>
        <v>1174</v>
      </c>
      <c r="V251">
        <f>'Fortress Creek'!T45</f>
        <v>109</v>
      </c>
      <c r="W251">
        <f>'Fortress Creek'!U45</f>
        <v>1</v>
      </c>
      <c r="X251">
        <f>'Fortress Creek'!V45</f>
        <v>116</v>
      </c>
      <c r="Y251">
        <f>'Fortress Creek'!W45</f>
        <v>0</v>
      </c>
      <c r="Z251">
        <f>'Fortress Creek'!X45</f>
        <v>1296</v>
      </c>
      <c r="AA251">
        <f>'Fortress Creek'!Y45</f>
        <v>35</v>
      </c>
      <c r="AB251">
        <f>'Fortress Creek'!Z45</f>
        <v>1</v>
      </c>
      <c r="AC251">
        <f>'Fortress Creek'!AA45</f>
        <v>37</v>
      </c>
      <c r="AD251">
        <f>'Fortress Creek'!AB45</f>
        <v>0</v>
      </c>
      <c r="AE251">
        <f>'Fortress Creek'!AC45</f>
        <v>1428</v>
      </c>
      <c r="AF251">
        <f>'Fortress Creek'!AD45</f>
        <v>39</v>
      </c>
      <c r="AG251">
        <f>'Fortress Creek'!AE45</f>
        <v>3</v>
      </c>
      <c r="AH251">
        <f>'Fortress Creek'!AF45</f>
        <v>125</v>
      </c>
      <c r="AI251">
        <f>'Fortress Creek'!AG45</f>
        <v>0</v>
      </c>
      <c r="AJ251">
        <f>'Fortress Creek'!AH45</f>
        <v>1500</v>
      </c>
      <c r="AK251">
        <f>'Fortress Creek'!AI45</f>
        <v>83</v>
      </c>
      <c r="AL251">
        <f>'Fortress Creek'!AJ45</f>
        <v>25</v>
      </c>
      <c r="AM251">
        <f>'Fortress Creek'!AK45</f>
        <v>2209</v>
      </c>
      <c r="AN251">
        <f>'Fortress Creek'!AL45</f>
        <v>0.6</v>
      </c>
      <c r="AO251">
        <f>'Fortress Creek'!AM45</f>
        <v>1586</v>
      </c>
      <c r="AP251">
        <f>'Fortress Creek'!AN45</f>
        <v>63</v>
      </c>
      <c r="AQ251">
        <f>'Fortress Creek'!AO45</f>
        <v>27</v>
      </c>
      <c r="AR251">
        <f>'Fortress Creek'!AP45</f>
        <v>1811</v>
      </c>
      <c r="AS251">
        <f>'Fortress Creek'!AQ45</f>
        <v>0.5</v>
      </c>
      <c r="AT251">
        <f>'Fortress Creek'!AR45</f>
        <v>1702</v>
      </c>
      <c r="AU251">
        <f>'Fortress Creek'!AS45</f>
        <v>81</v>
      </c>
      <c r="AV251">
        <f>'Fortress Creek'!AT45</f>
        <v>41</v>
      </c>
      <c r="AW251">
        <f>'Fortress Creek'!AU45</f>
        <v>3535</v>
      </c>
      <c r="AX251">
        <f>'Fortress Creek'!AV45</f>
        <v>1</v>
      </c>
    </row>
    <row r="252" spans="1:50">
      <c r="A252" t="str">
        <f>'Fortress Creek'!A46</f>
        <v>/Users/christophermarjo/Documents/Python/Projects/data/bushfire Raman/Fortress Creek/FCM 6.5 (2)</v>
      </c>
      <c r="B252" t="str">
        <f t="shared" si="3"/>
        <v>Fortress Creek</v>
      </c>
      <c r="C252">
        <v>6.5</v>
      </c>
      <c r="D252" t="str">
        <f>'Fortress Creek'!B46</f>
        <v>1.32 counts</v>
      </c>
      <c r="E252">
        <f>'Fortress Creek'!C46</f>
        <v>0.98433000000000004</v>
      </c>
      <c r="F252">
        <f>'Fortress Creek'!D46</f>
        <v>1369</v>
      </c>
      <c r="G252">
        <f>'Fortress Creek'!E46</f>
        <v>697</v>
      </c>
      <c r="H252">
        <f>'Fortress Creek'!F46</f>
        <v>316</v>
      </c>
      <c r="I252">
        <f>'Fortress Creek'!G46</f>
        <v>234451</v>
      </c>
      <c r="J252">
        <f>'Fortress Creek'!H46</f>
        <v>68.900000000000006</v>
      </c>
      <c r="K252">
        <f>'Fortress Creek'!I46</f>
        <v>1586</v>
      </c>
      <c r="L252">
        <f>'Fortress Creek'!J46</f>
        <v>781</v>
      </c>
      <c r="M252">
        <f>'Fortress Creek'!K46</f>
        <v>112</v>
      </c>
      <c r="N252">
        <f>'Fortress Creek'!L46</f>
        <v>93111</v>
      </c>
      <c r="O252">
        <f>'Fortress Creek'!M46</f>
        <v>27.4</v>
      </c>
      <c r="P252">
        <f>'Fortress Creek'!N46</f>
        <v>1021</v>
      </c>
      <c r="Q252">
        <f>'Fortress Creek'!O46</f>
        <v>21</v>
      </c>
      <c r="R252">
        <f>'Fortress Creek'!P46</f>
        <v>19</v>
      </c>
      <c r="S252">
        <f>'Fortress Creek'!Q46</f>
        <v>425</v>
      </c>
      <c r="T252">
        <f>'Fortress Creek'!R46</f>
        <v>0.1</v>
      </c>
      <c r="U252">
        <f>'Fortress Creek'!S46</f>
        <v>1156</v>
      </c>
      <c r="V252">
        <f>'Fortress Creek'!T46</f>
        <v>3</v>
      </c>
      <c r="W252">
        <f>'Fortress Creek'!U46</f>
        <v>3</v>
      </c>
      <c r="X252">
        <f>'Fortress Creek'!V46</f>
        <v>10</v>
      </c>
      <c r="Y252">
        <f>'Fortress Creek'!W46</f>
        <v>0</v>
      </c>
      <c r="Z252">
        <f>'Fortress Creek'!X46</f>
        <v>1292</v>
      </c>
      <c r="AA252">
        <f>'Fortress Creek'!Y46</f>
        <v>11</v>
      </c>
      <c r="AB252">
        <f>'Fortress Creek'!Z46</f>
        <v>1</v>
      </c>
      <c r="AC252">
        <f>'Fortress Creek'!AA46</f>
        <v>12</v>
      </c>
      <c r="AD252">
        <f>'Fortress Creek'!AB46</f>
        <v>0</v>
      </c>
      <c r="AE252">
        <f>'Fortress Creek'!AC46</f>
        <v>1456</v>
      </c>
      <c r="AF252">
        <f>'Fortress Creek'!AD46</f>
        <v>3</v>
      </c>
      <c r="AG252">
        <f>'Fortress Creek'!AE46</f>
        <v>43</v>
      </c>
      <c r="AH252">
        <f>'Fortress Creek'!AF46</f>
        <v>137</v>
      </c>
      <c r="AI252">
        <f>'Fortress Creek'!AG46</f>
        <v>0</v>
      </c>
      <c r="AJ252">
        <f>'Fortress Creek'!AH46</f>
        <v>1488</v>
      </c>
      <c r="AK252">
        <f>'Fortress Creek'!AI46</f>
        <v>111</v>
      </c>
      <c r="AL252">
        <f>'Fortress Creek'!AJ46</f>
        <v>1</v>
      </c>
      <c r="AM252">
        <f>'Fortress Creek'!AK46</f>
        <v>118</v>
      </c>
      <c r="AN252">
        <f>'Fortress Creek'!AL46</f>
        <v>0</v>
      </c>
      <c r="AO252">
        <f>'Fortress Creek'!AM46</f>
        <v>1594</v>
      </c>
      <c r="AP252">
        <f>'Fortress Creek'!AN46</f>
        <v>29</v>
      </c>
      <c r="AQ252">
        <f>'Fortress Creek'!AO46</f>
        <v>31</v>
      </c>
      <c r="AR252">
        <f>'Fortress Creek'!AP46</f>
        <v>957</v>
      </c>
      <c r="AS252">
        <f>'Fortress Creek'!AQ46</f>
        <v>0.3</v>
      </c>
      <c r="AT252">
        <f>'Fortress Creek'!AR46</f>
        <v>1738</v>
      </c>
      <c r="AU252">
        <f>'Fortress Creek'!AS46</f>
        <v>75</v>
      </c>
      <c r="AV252">
        <f>'Fortress Creek'!AT46</f>
        <v>137</v>
      </c>
      <c r="AW252">
        <f>'Fortress Creek'!AU46</f>
        <v>10937</v>
      </c>
      <c r="AX252">
        <f>'Fortress Creek'!AV46</f>
        <v>3.2</v>
      </c>
    </row>
    <row r="253" spans="1:50">
      <c r="A253" t="str">
        <f>'Fortress Creek'!A47</f>
        <v>/Users/christophermarjo/Documents/Python/Projects/data/bushfire Raman/Fortress Creek/FCM 6.5 (3)</v>
      </c>
      <c r="B253" t="str">
        <f t="shared" si="3"/>
        <v>Fortress Creek</v>
      </c>
      <c r="C253">
        <v>6.5</v>
      </c>
      <c r="D253" t="str">
        <f>'Fortress Creek'!B47</f>
        <v>1.57 counts</v>
      </c>
      <c r="E253">
        <f>'Fortress Creek'!C47</f>
        <v>0.99112199999999995</v>
      </c>
      <c r="F253">
        <f>'Fortress Creek'!D47</f>
        <v>1369</v>
      </c>
      <c r="G253">
        <f>'Fortress Creek'!E47</f>
        <v>1101</v>
      </c>
      <c r="H253">
        <f>'Fortress Creek'!F47</f>
        <v>332</v>
      </c>
      <c r="I253">
        <f>'Fortress Creek'!G47</f>
        <v>389097</v>
      </c>
      <c r="J253">
        <f>'Fortress Creek'!H47</f>
        <v>73.2</v>
      </c>
      <c r="K253">
        <f>'Fortress Creek'!I47</f>
        <v>1584</v>
      </c>
      <c r="L253">
        <f>'Fortress Creek'!J47</f>
        <v>1161</v>
      </c>
      <c r="M253">
        <f>'Fortress Creek'!K47</f>
        <v>106</v>
      </c>
      <c r="N253">
        <f>'Fortress Creek'!L47</f>
        <v>131000</v>
      </c>
      <c r="O253">
        <f>'Fortress Creek'!M47</f>
        <v>24.6</v>
      </c>
      <c r="P253">
        <f>'Fortress Creek'!N47</f>
        <v>1031</v>
      </c>
      <c r="Q253">
        <f>'Fortress Creek'!O47</f>
        <v>45</v>
      </c>
      <c r="R253">
        <f>'Fortress Creek'!P47</f>
        <v>11</v>
      </c>
      <c r="S253">
        <f>'Fortress Creek'!Q47</f>
        <v>527</v>
      </c>
      <c r="T253">
        <f>'Fortress Creek'!R47</f>
        <v>0.1</v>
      </c>
      <c r="U253">
        <f>'Fortress Creek'!S47</f>
        <v>1160</v>
      </c>
      <c r="V253">
        <f>'Fortress Creek'!T47</f>
        <v>65</v>
      </c>
      <c r="W253">
        <f>'Fortress Creek'!U47</f>
        <v>3</v>
      </c>
      <c r="X253">
        <f>'Fortress Creek'!V47</f>
        <v>208</v>
      </c>
      <c r="Y253">
        <f>'Fortress Creek'!W47</f>
        <v>0</v>
      </c>
      <c r="Z253">
        <f>'Fortress Creek'!X47</f>
        <v>1282</v>
      </c>
      <c r="AA253">
        <f>'Fortress Creek'!Y47</f>
        <v>11</v>
      </c>
      <c r="AB253">
        <f>'Fortress Creek'!Z47</f>
        <v>1</v>
      </c>
      <c r="AC253">
        <f>'Fortress Creek'!AA47</f>
        <v>12</v>
      </c>
      <c r="AD253">
        <f>'Fortress Creek'!AB47</f>
        <v>0</v>
      </c>
      <c r="AE253">
        <f>'Fortress Creek'!AC47</f>
        <v>1456</v>
      </c>
      <c r="AF253">
        <f>'Fortress Creek'!AD47</f>
        <v>9</v>
      </c>
      <c r="AG253">
        <f>'Fortress Creek'!AE47</f>
        <v>3</v>
      </c>
      <c r="AH253">
        <f>'Fortress Creek'!AF47</f>
        <v>29</v>
      </c>
      <c r="AI253">
        <f>'Fortress Creek'!AG47</f>
        <v>0</v>
      </c>
      <c r="AJ253">
        <f>'Fortress Creek'!AH47</f>
        <v>1500</v>
      </c>
      <c r="AK253">
        <f>'Fortress Creek'!AI47</f>
        <v>85</v>
      </c>
      <c r="AL253">
        <f>'Fortress Creek'!AJ47</f>
        <v>9</v>
      </c>
      <c r="AM253">
        <f>'Fortress Creek'!AK47</f>
        <v>814</v>
      </c>
      <c r="AN253">
        <f>'Fortress Creek'!AL47</f>
        <v>0.2</v>
      </c>
      <c r="AO253">
        <f>'Fortress Creek'!AM47</f>
        <v>1590</v>
      </c>
      <c r="AP253">
        <f>'Fortress Creek'!AN47</f>
        <v>55</v>
      </c>
      <c r="AQ253">
        <f>'Fortress Creek'!AO47</f>
        <v>25</v>
      </c>
      <c r="AR253">
        <f>'Fortress Creek'!AP47</f>
        <v>1464</v>
      </c>
      <c r="AS253">
        <f>'Fortress Creek'!AQ47</f>
        <v>0.3</v>
      </c>
      <c r="AT253">
        <f>'Fortress Creek'!AR47</f>
        <v>1700</v>
      </c>
      <c r="AU253">
        <f>'Fortress Creek'!AS47</f>
        <v>133</v>
      </c>
      <c r="AV253">
        <f>'Fortress Creek'!AT47</f>
        <v>61</v>
      </c>
      <c r="AW253">
        <f>'Fortress Creek'!AU47</f>
        <v>8636</v>
      </c>
      <c r="AX253">
        <f>'Fortress Creek'!AV47</f>
        <v>1.6</v>
      </c>
    </row>
    <row r="254" spans="1:50">
      <c r="A254" t="str">
        <f>'Fortress Creek'!A48</f>
        <v>/Users/christophermarjo/Documents/Python/Projects/data/bushfire Raman/Fortress Creek/FCM 6.5 (4)</v>
      </c>
      <c r="B254" t="str">
        <f t="shared" si="3"/>
        <v>Fortress Creek</v>
      </c>
      <c r="C254">
        <v>6.5</v>
      </c>
      <c r="D254" t="str">
        <f>'Fortress Creek'!B48</f>
        <v>2.05 counts</v>
      </c>
      <c r="E254">
        <f>'Fortress Creek'!C48</f>
        <v>0.98739600000000005</v>
      </c>
      <c r="F254">
        <f>'Fortress Creek'!D48</f>
        <v>1369</v>
      </c>
      <c r="G254">
        <f>'Fortress Creek'!E48</f>
        <v>1213</v>
      </c>
      <c r="H254">
        <f>'Fortress Creek'!F48</f>
        <v>328</v>
      </c>
      <c r="I254">
        <f>'Fortress Creek'!G48</f>
        <v>423513</v>
      </c>
      <c r="J254">
        <f>'Fortress Creek'!H48</f>
        <v>70.599999999999994</v>
      </c>
      <c r="K254">
        <f>'Fortress Creek'!I48</f>
        <v>1586</v>
      </c>
      <c r="L254">
        <f>'Fortress Creek'!J48</f>
        <v>1403</v>
      </c>
      <c r="M254">
        <f>'Fortress Creek'!K48</f>
        <v>106</v>
      </c>
      <c r="N254">
        <f>'Fortress Creek'!L48</f>
        <v>158305</v>
      </c>
      <c r="O254">
        <f>'Fortress Creek'!M48</f>
        <v>26.4</v>
      </c>
      <c r="P254">
        <f>'Fortress Creek'!N48</f>
        <v>1055</v>
      </c>
      <c r="Q254">
        <f>'Fortress Creek'!O48</f>
        <v>49</v>
      </c>
      <c r="R254">
        <f>'Fortress Creek'!P48</f>
        <v>41</v>
      </c>
      <c r="S254">
        <f>'Fortress Creek'!Q48</f>
        <v>2139</v>
      </c>
      <c r="T254">
        <f>'Fortress Creek'!R48</f>
        <v>0.4</v>
      </c>
      <c r="U254">
        <f>'Fortress Creek'!S48</f>
        <v>1160</v>
      </c>
      <c r="V254">
        <f>'Fortress Creek'!T48</f>
        <v>41</v>
      </c>
      <c r="W254">
        <f>'Fortress Creek'!U48</f>
        <v>1</v>
      </c>
      <c r="X254">
        <f>'Fortress Creek'!V48</f>
        <v>44</v>
      </c>
      <c r="Y254">
        <f>'Fortress Creek'!W48</f>
        <v>0</v>
      </c>
      <c r="Z254">
        <f>'Fortress Creek'!X48</f>
        <v>1260</v>
      </c>
      <c r="AA254">
        <f>'Fortress Creek'!Y48</f>
        <v>1</v>
      </c>
      <c r="AB254">
        <f>'Fortress Creek'!Z48</f>
        <v>1</v>
      </c>
      <c r="AC254">
        <f>'Fortress Creek'!AA48</f>
        <v>1</v>
      </c>
      <c r="AD254">
        <f>'Fortress Creek'!AB48</f>
        <v>0</v>
      </c>
      <c r="AE254">
        <f>'Fortress Creek'!AC48</f>
        <v>1456</v>
      </c>
      <c r="AF254">
        <f>'Fortress Creek'!AD48</f>
        <v>29</v>
      </c>
      <c r="AG254">
        <f>'Fortress Creek'!AE48</f>
        <v>1</v>
      </c>
      <c r="AH254">
        <f>'Fortress Creek'!AF48</f>
        <v>31</v>
      </c>
      <c r="AI254">
        <f>'Fortress Creek'!AG48</f>
        <v>0</v>
      </c>
      <c r="AJ254">
        <f>'Fortress Creek'!AH48</f>
        <v>1500</v>
      </c>
      <c r="AK254">
        <f>'Fortress Creek'!AI48</f>
        <v>65</v>
      </c>
      <c r="AL254">
        <f>'Fortress Creek'!AJ48</f>
        <v>9</v>
      </c>
      <c r="AM254">
        <f>'Fortress Creek'!AK48</f>
        <v>623</v>
      </c>
      <c r="AN254">
        <f>'Fortress Creek'!AL48</f>
        <v>0.1</v>
      </c>
      <c r="AO254">
        <f>'Fortress Creek'!AM48</f>
        <v>1590</v>
      </c>
      <c r="AP254">
        <f>'Fortress Creek'!AN48</f>
        <v>149</v>
      </c>
      <c r="AQ254">
        <f>'Fortress Creek'!AO48</f>
        <v>1</v>
      </c>
      <c r="AR254">
        <f>'Fortress Creek'!AP48</f>
        <v>159</v>
      </c>
      <c r="AS254">
        <f>'Fortress Creek'!AQ48</f>
        <v>0</v>
      </c>
      <c r="AT254">
        <f>'Fortress Creek'!AR48</f>
        <v>1714</v>
      </c>
      <c r="AU254">
        <f>'Fortress Creek'!AS48</f>
        <v>153</v>
      </c>
      <c r="AV254">
        <f>'Fortress Creek'!AT48</f>
        <v>91</v>
      </c>
      <c r="AW254">
        <f>'Fortress Creek'!AU48</f>
        <v>14821</v>
      </c>
      <c r="AX254">
        <f>'Fortress Creek'!AV48</f>
        <v>2.5</v>
      </c>
    </row>
    <row r="255" spans="1:50">
      <c r="A255" t="str">
        <f>'Fortress Creek'!A49</f>
        <v>/Users/christophermarjo/Documents/Python/Projects/data/bushfire Raman/Fortress Creek/FCM 6.5 (5)</v>
      </c>
      <c r="B255" t="str">
        <f t="shared" si="3"/>
        <v>Fortress Creek</v>
      </c>
      <c r="C255">
        <v>6.5</v>
      </c>
      <c r="D255" t="str">
        <f>'Fortress Creek'!B49</f>
        <v>2.56 counts</v>
      </c>
      <c r="E255">
        <f>'Fortress Creek'!C49</f>
        <v>0.98925799999999997</v>
      </c>
      <c r="F255">
        <f>'Fortress Creek'!D49</f>
        <v>1369</v>
      </c>
      <c r="G255">
        <f>'Fortress Creek'!E49</f>
        <v>1611</v>
      </c>
      <c r="H255">
        <f>'Fortress Creek'!F49</f>
        <v>326</v>
      </c>
      <c r="I255">
        <f>'Fortress Creek'!G49</f>
        <v>559043</v>
      </c>
      <c r="J255">
        <f>'Fortress Creek'!H49</f>
        <v>69.900000000000006</v>
      </c>
      <c r="K255">
        <f>'Fortress Creek'!I49</f>
        <v>1588</v>
      </c>
      <c r="L255">
        <f>'Fortress Creek'!J49</f>
        <v>1845</v>
      </c>
      <c r="M255">
        <f>'Fortress Creek'!K49</f>
        <v>112</v>
      </c>
      <c r="N255">
        <f>'Fortress Creek'!L49</f>
        <v>219961</v>
      </c>
      <c r="O255">
        <f>'Fortress Creek'!M49</f>
        <v>27.5</v>
      </c>
      <c r="P255">
        <f>'Fortress Creek'!N49</f>
        <v>1035</v>
      </c>
      <c r="Q255">
        <f>'Fortress Creek'!O49</f>
        <v>149</v>
      </c>
      <c r="R255">
        <f>'Fortress Creek'!P49</f>
        <v>1</v>
      </c>
      <c r="S255">
        <f>'Fortress Creek'!Q49</f>
        <v>159</v>
      </c>
      <c r="T255">
        <f>'Fortress Creek'!R49</f>
        <v>0</v>
      </c>
      <c r="U255">
        <f>'Fortress Creek'!S49</f>
        <v>1156</v>
      </c>
      <c r="V255">
        <f>'Fortress Creek'!T49</f>
        <v>15</v>
      </c>
      <c r="W255">
        <f>'Fortress Creek'!U49</f>
        <v>7</v>
      </c>
      <c r="X255">
        <f>'Fortress Creek'!V49</f>
        <v>112</v>
      </c>
      <c r="Y255">
        <f>'Fortress Creek'!W49</f>
        <v>0</v>
      </c>
      <c r="Z255">
        <f>'Fortress Creek'!X49</f>
        <v>1260</v>
      </c>
      <c r="AA255">
        <f>'Fortress Creek'!Y49</f>
        <v>1</v>
      </c>
      <c r="AB255">
        <f>'Fortress Creek'!Z49</f>
        <v>1</v>
      </c>
      <c r="AC255">
        <f>'Fortress Creek'!AA49</f>
        <v>1</v>
      </c>
      <c r="AD255">
        <f>'Fortress Creek'!AB49</f>
        <v>0</v>
      </c>
      <c r="AE255">
        <f>'Fortress Creek'!AC49</f>
        <v>1456</v>
      </c>
      <c r="AF255">
        <f>'Fortress Creek'!AD49</f>
        <v>31</v>
      </c>
      <c r="AG255">
        <f>'Fortress Creek'!AE49</f>
        <v>69</v>
      </c>
      <c r="AH255">
        <f>'Fortress Creek'!AF49</f>
        <v>2277</v>
      </c>
      <c r="AI255">
        <f>'Fortress Creek'!AG49</f>
        <v>0.3</v>
      </c>
      <c r="AJ255">
        <f>'Fortress Creek'!AH49</f>
        <v>1488</v>
      </c>
      <c r="AK255">
        <f>'Fortress Creek'!AI49</f>
        <v>171</v>
      </c>
      <c r="AL255">
        <f>'Fortress Creek'!AJ49</f>
        <v>3</v>
      </c>
      <c r="AM255">
        <f>'Fortress Creek'!AK49</f>
        <v>546</v>
      </c>
      <c r="AN255">
        <f>'Fortress Creek'!AL49</f>
        <v>0.1</v>
      </c>
      <c r="AO255">
        <f>'Fortress Creek'!AM49</f>
        <v>1586</v>
      </c>
      <c r="AP255">
        <f>'Fortress Creek'!AN49</f>
        <v>103</v>
      </c>
      <c r="AQ255">
        <f>'Fortress Creek'!AO49</f>
        <v>13</v>
      </c>
      <c r="AR255">
        <f>'Fortress Creek'!AP49</f>
        <v>1425</v>
      </c>
      <c r="AS255">
        <f>'Fortress Creek'!AQ49</f>
        <v>0.2</v>
      </c>
      <c r="AT255">
        <f>'Fortress Creek'!AR49</f>
        <v>1726</v>
      </c>
      <c r="AU255">
        <f>'Fortress Creek'!AS49</f>
        <v>171</v>
      </c>
      <c r="AV255">
        <f>'Fortress Creek'!AT49</f>
        <v>89</v>
      </c>
      <c r="AW255">
        <f>'Fortress Creek'!AU49</f>
        <v>16200</v>
      </c>
      <c r="AX255">
        <f>'Fortress Creek'!AV49</f>
        <v>2</v>
      </c>
    </row>
    <row r="256" spans="1:50">
      <c r="A256" t="str">
        <f>'Fortress Creek'!A50</f>
        <v>/Users/christophermarjo/Documents/Python/Projects/data/bushfire Raman/Fortress Creek/FCM 8.5 (1)</v>
      </c>
      <c r="B256" t="str">
        <f t="shared" si="3"/>
        <v>Fortress Creek</v>
      </c>
      <c r="C256">
        <v>8.5</v>
      </c>
      <c r="D256" t="str">
        <f>'Fortress Creek'!B50</f>
        <v>31.98 counts</v>
      </c>
      <c r="E256">
        <f>'Fortress Creek'!C50</f>
        <v>0.98175999999999997</v>
      </c>
      <c r="F256">
        <f>'Fortress Creek'!D50</f>
        <v>1365</v>
      </c>
      <c r="G256">
        <f>'Fortress Creek'!E50</f>
        <v>16417</v>
      </c>
      <c r="H256">
        <f>'Fortress Creek'!F50</f>
        <v>270</v>
      </c>
      <c r="I256">
        <f>'Fortress Creek'!G50</f>
        <v>4718346</v>
      </c>
      <c r="J256">
        <f>'Fortress Creek'!H50</f>
        <v>61.6</v>
      </c>
      <c r="K256">
        <f>'Fortress Creek'!I50</f>
        <v>1594</v>
      </c>
      <c r="L256">
        <f>'Fortress Creek'!J50</f>
        <v>21123</v>
      </c>
      <c r="M256">
        <f>'Fortress Creek'!K50</f>
        <v>100</v>
      </c>
      <c r="N256">
        <f>'Fortress Creek'!L50</f>
        <v>2248474</v>
      </c>
      <c r="O256">
        <f>'Fortress Creek'!M50</f>
        <v>29.4</v>
      </c>
      <c r="P256">
        <f>'Fortress Creek'!N50</f>
        <v>1021</v>
      </c>
      <c r="Q256">
        <f>'Fortress Creek'!O50</f>
        <v>611</v>
      </c>
      <c r="R256">
        <f>'Fortress Creek'!P50</f>
        <v>35</v>
      </c>
      <c r="S256">
        <f>'Fortress Creek'!Q50</f>
        <v>22764</v>
      </c>
      <c r="T256">
        <f>'Fortress Creek'!R50</f>
        <v>0.3</v>
      </c>
      <c r="U256">
        <f>'Fortress Creek'!S50</f>
        <v>1156</v>
      </c>
      <c r="V256">
        <f>'Fortress Creek'!T50</f>
        <v>321</v>
      </c>
      <c r="W256">
        <f>'Fortress Creek'!U50</f>
        <v>43</v>
      </c>
      <c r="X256">
        <f>'Fortress Creek'!V50</f>
        <v>14693</v>
      </c>
      <c r="Y256">
        <f>'Fortress Creek'!W50</f>
        <v>0.2</v>
      </c>
      <c r="Z256">
        <f>'Fortress Creek'!X50</f>
        <v>1270</v>
      </c>
      <c r="AA256">
        <f>'Fortress Creek'!Y50</f>
        <v>1</v>
      </c>
      <c r="AB256">
        <f>'Fortress Creek'!Z50</f>
        <v>1</v>
      </c>
      <c r="AC256">
        <f>'Fortress Creek'!AA50</f>
        <v>1</v>
      </c>
      <c r="AD256">
        <f>'Fortress Creek'!AB50</f>
        <v>0</v>
      </c>
      <c r="AE256">
        <f>'Fortress Creek'!AC50</f>
        <v>1456</v>
      </c>
      <c r="AF256">
        <f>'Fortress Creek'!AD50</f>
        <v>323</v>
      </c>
      <c r="AG256">
        <f>'Fortress Creek'!AE50</f>
        <v>123</v>
      </c>
      <c r="AH256">
        <f>'Fortress Creek'!AF50</f>
        <v>42290</v>
      </c>
      <c r="AI256">
        <f>'Fortress Creek'!AG50</f>
        <v>0.6</v>
      </c>
      <c r="AJ256">
        <f>'Fortress Creek'!AH50</f>
        <v>1500</v>
      </c>
      <c r="AK256">
        <f>'Fortress Creek'!AI50</f>
        <v>519</v>
      </c>
      <c r="AL256">
        <f>'Fortress Creek'!AJ50</f>
        <v>35</v>
      </c>
      <c r="AM256">
        <f>'Fortress Creek'!AK50</f>
        <v>19336</v>
      </c>
      <c r="AN256">
        <f>'Fortress Creek'!AL50</f>
        <v>0.3</v>
      </c>
      <c r="AO256">
        <f>'Fortress Creek'!AM50</f>
        <v>1598</v>
      </c>
      <c r="AP256">
        <f>'Fortress Creek'!AN50</f>
        <v>2195</v>
      </c>
      <c r="AQ256">
        <f>'Fortress Creek'!AO50</f>
        <v>25</v>
      </c>
      <c r="AR256">
        <f>'Fortress Creek'!AP50</f>
        <v>58413</v>
      </c>
      <c r="AS256">
        <f>'Fortress Creek'!AQ50</f>
        <v>0.8</v>
      </c>
      <c r="AT256">
        <f>'Fortress Creek'!AR50</f>
        <v>1738</v>
      </c>
      <c r="AU256">
        <f>'Fortress Creek'!AS50</f>
        <v>2775</v>
      </c>
      <c r="AV256">
        <f>'Fortress Creek'!AT50</f>
        <v>181</v>
      </c>
      <c r="AW256">
        <f>'Fortress Creek'!AU50</f>
        <v>534655</v>
      </c>
      <c r="AX256">
        <f>'Fortress Creek'!AV50</f>
        <v>7</v>
      </c>
    </row>
    <row r="257" spans="1:50">
      <c r="A257" t="str">
        <f>'Fortress Creek'!A51</f>
        <v>/Users/christophermarjo/Documents/Python/Projects/data/bushfire Raman/Fortress Creek/FCM 8.5 (2)</v>
      </c>
      <c r="B257" t="str">
        <f t="shared" si="3"/>
        <v>Fortress Creek</v>
      </c>
      <c r="C257">
        <v>8.5</v>
      </c>
      <c r="D257" t="str">
        <f>'Fortress Creek'!B51</f>
        <v>12.00 counts</v>
      </c>
      <c r="E257">
        <f>'Fortress Creek'!C51</f>
        <v>0.98389499999999996</v>
      </c>
      <c r="F257">
        <f>'Fortress Creek'!D51</f>
        <v>1355</v>
      </c>
      <c r="G257">
        <f>'Fortress Creek'!E51</f>
        <v>6495</v>
      </c>
      <c r="H257">
        <f>'Fortress Creek'!F51</f>
        <v>266</v>
      </c>
      <c r="I257">
        <f>'Fortress Creek'!G51</f>
        <v>1839048</v>
      </c>
      <c r="J257">
        <f>'Fortress Creek'!H51</f>
        <v>61.7</v>
      </c>
      <c r="K257">
        <f>'Fortress Creek'!I51</f>
        <v>1594</v>
      </c>
      <c r="L257">
        <f>'Fortress Creek'!J51</f>
        <v>8617</v>
      </c>
      <c r="M257">
        <f>'Fortress Creek'!K51</f>
        <v>100</v>
      </c>
      <c r="N257">
        <f>'Fortress Creek'!L51</f>
        <v>917251</v>
      </c>
      <c r="O257">
        <f>'Fortress Creek'!M51</f>
        <v>30.8</v>
      </c>
      <c r="P257">
        <f>'Fortress Creek'!N51</f>
        <v>1023</v>
      </c>
      <c r="Q257">
        <f>'Fortress Creek'!O51</f>
        <v>171</v>
      </c>
      <c r="R257">
        <f>'Fortress Creek'!P51</f>
        <v>143</v>
      </c>
      <c r="S257">
        <f>'Fortress Creek'!Q51</f>
        <v>26029</v>
      </c>
      <c r="T257">
        <f>'Fortress Creek'!R51</f>
        <v>0.9</v>
      </c>
      <c r="U257">
        <f>'Fortress Creek'!S51</f>
        <v>1154</v>
      </c>
      <c r="V257">
        <f>'Fortress Creek'!T51</f>
        <v>279</v>
      </c>
      <c r="W257">
        <f>'Fortress Creek'!U51</f>
        <v>1</v>
      </c>
      <c r="X257">
        <f>'Fortress Creek'!V51</f>
        <v>297</v>
      </c>
      <c r="Y257">
        <f>'Fortress Creek'!W51</f>
        <v>0</v>
      </c>
      <c r="Z257">
        <f>'Fortress Creek'!X51</f>
        <v>1270</v>
      </c>
      <c r="AA257">
        <f>'Fortress Creek'!Y51</f>
        <v>1</v>
      </c>
      <c r="AB257">
        <f>'Fortress Creek'!Z51</f>
        <v>1</v>
      </c>
      <c r="AC257">
        <f>'Fortress Creek'!AA51</f>
        <v>1</v>
      </c>
      <c r="AD257">
        <f>'Fortress Creek'!AB51</f>
        <v>0</v>
      </c>
      <c r="AE257">
        <f>'Fortress Creek'!AC51</f>
        <v>1456</v>
      </c>
      <c r="AF257">
        <f>'Fortress Creek'!AD51</f>
        <v>227</v>
      </c>
      <c r="AG257">
        <f>'Fortress Creek'!AE51</f>
        <v>3</v>
      </c>
      <c r="AH257">
        <f>'Fortress Creek'!AF51</f>
        <v>725</v>
      </c>
      <c r="AI257">
        <f>'Fortress Creek'!AG51</f>
        <v>0</v>
      </c>
      <c r="AJ257">
        <f>'Fortress Creek'!AH51</f>
        <v>1500</v>
      </c>
      <c r="AK257">
        <f>'Fortress Creek'!AI51</f>
        <v>263</v>
      </c>
      <c r="AL257">
        <f>'Fortress Creek'!AJ51</f>
        <v>51</v>
      </c>
      <c r="AM257">
        <f>'Fortress Creek'!AK51</f>
        <v>14278</v>
      </c>
      <c r="AN257">
        <f>'Fortress Creek'!AL51</f>
        <v>0.5</v>
      </c>
      <c r="AO257">
        <f>'Fortress Creek'!AM51</f>
        <v>1598</v>
      </c>
      <c r="AP257">
        <f>'Fortress Creek'!AN51</f>
        <v>263</v>
      </c>
      <c r="AQ257">
        <f>'Fortress Creek'!AO51</f>
        <v>29</v>
      </c>
      <c r="AR257">
        <f>'Fortress Creek'!AP51</f>
        <v>8119</v>
      </c>
      <c r="AS257">
        <f>'Fortress Creek'!AQ51</f>
        <v>0.3</v>
      </c>
      <c r="AT257">
        <f>'Fortress Creek'!AR51</f>
        <v>1730</v>
      </c>
      <c r="AU257">
        <f>'Fortress Creek'!AS51</f>
        <v>867</v>
      </c>
      <c r="AV257">
        <f>'Fortress Creek'!AT51</f>
        <v>187</v>
      </c>
      <c r="AW257">
        <f>'Fortress Creek'!AU51</f>
        <v>172581</v>
      </c>
      <c r="AX257">
        <f>'Fortress Creek'!AV51</f>
        <v>5.8</v>
      </c>
    </row>
    <row r="258" spans="1:50">
      <c r="A258" t="str">
        <f>'Fortress Creek'!A52</f>
        <v>/Users/christophermarjo/Documents/Python/Projects/data/bushfire Raman/Fortress Creek/FCM 8.5 (3)</v>
      </c>
      <c r="B258" t="str">
        <f t="shared" si="3"/>
        <v>Fortress Creek</v>
      </c>
      <c r="C258">
        <v>8.5</v>
      </c>
      <c r="D258" t="str">
        <f>'Fortress Creek'!B52</f>
        <v>22.15 counts</v>
      </c>
      <c r="E258">
        <f>'Fortress Creek'!C52</f>
        <v>0.98880400000000002</v>
      </c>
      <c r="F258">
        <f>'Fortress Creek'!D52</f>
        <v>1369</v>
      </c>
      <c r="G258">
        <f>'Fortress Creek'!E52</f>
        <v>14149</v>
      </c>
      <c r="H258">
        <f>'Fortress Creek'!F52</f>
        <v>304</v>
      </c>
      <c r="I258">
        <f>'Fortress Creek'!G52</f>
        <v>4578588</v>
      </c>
      <c r="J258">
        <f>'Fortress Creek'!H52</f>
        <v>67.900000000000006</v>
      </c>
      <c r="K258">
        <f>'Fortress Creek'!I52</f>
        <v>1590</v>
      </c>
      <c r="L258">
        <f>'Fortress Creek'!J52</f>
        <v>16723</v>
      </c>
      <c r="M258">
        <f>'Fortress Creek'!K52</f>
        <v>102</v>
      </c>
      <c r="N258">
        <f>'Fortress Creek'!L52</f>
        <v>1815710</v>
      </c>
      <c r="O258">
        <f>'Fortress Creek'!M52</f>
        <v>26.9</v>
      </c>
      <c r="P258">
        <f>'Fortress Creek'!N52</f>
        <v>1053</v>
      </c>
      <c r="Q258">
        <f>'Fortress Creek'!O52</f>
        <v>501</v>
      </c>
      <c r="R258">
        <f>'Fortress Creek'!P52</f>
        <v>81</v>
      </c>
      <c r="S258">
        <f>'Fortress Creek'!Q52</f>
        <v>43197</v>
      </c>
      <c r="T258">
        <f>'Fortress Creek'!R52</f>
        <v>0.6</v>
      </c>
      <c r="U258">
        <f>'Fortress Creek'!S52</f>
        <v>1152</v>
      </c>
      <c r="V258">
        <f>'Fortress Creek'!T52</f>
        <v>45</v>
      </c>
      <c r="W258">
        <f>'Fortress Creek'!U52</f>
        <v>1</v>
      </c>
      <c r="X258">
        <f>'Fortress Creek'!V52</f>
        <v>48</v>
      </c>
      <c r="Y258">
        <f>'Fortress Creek'!W52</f>
        <v>0</v>
      </c>
      <c r="Z258">
        <f>'Fortress Creek'!X52</f>
        <v>1270</v>
      </c>
      <c r="AA258">
        <f>'Fortress Creek'!Y52</f>
        <v>1</v>
      </c>
      <c r="AB258">
        <f>'Fortress Creek'!Z52</f>
        <v>1</v>
      </c>
      <c r="AC258">
        <f>'Fortress Creek'!AA52</f>
        <v>1</v>
      </c>
      <c r="AD258">
        <f>'Fortress Creek'!AB52</f>
        <v>0</v>
      </c>
      <c r="AE258">
        <f>'Fortress Creek'!AC52</f>
        <v>1404</v>
      </c>
      <c r="AF258">
        <f>'Fortress Creek'!AD52</f>
        <v>235</v>
      </c>
      <c r="AG258">
        <f>'Fortress Creek'!AE52</f>
        <v>5</v>
      </c>
      <c r="AH258">
        <f>'Fortress Creek'!AF52</f>
        <v>1251</v>
      </c>
      <c r="AI258">
        <f>'Fortress Creek'!AG52</f>
        <v>0</v>
      </c>
      <c r="AJ258">
        <f>'Fortress Creek'!AH52</f>
        <v>1500</v>
      </c>
      <c r="AK258">
        <f>'Fortress Creek'!AI52</f>
        <v>461</v>
      </c>
      <c r="AL258">
        <f>'Fortress Creek'!AJ52</f>
        <v>31</v>
      </c>
      <c r="AM258">
        <f>'Fortress Creek'!AK52</f>
        <v>15212</v>
      </c>
      <c r="AN258">
        <f>'Fortress Creek'!AL52</f>
        <v>0.2</v>
      </c>
      <c r="AO258">
        <f>'Fortress Creek'!AM52</f>
        <v>1598</v>
      </c>
      <c r="AP258">
        <f>'Fortress Creek'!AN52</f>
        <v>1761</v>
      </c>
      <c r="AQ258">
        <f>'Fortress Creek'!AO52</f>
        <v>27</v>
      </c>
      <c r="AR258">
        <f>'Fortress Creek'!AP52</f>
        <v>50612</v>
      </c>
      <c r="AS258">
        <f>'Fortress Creek'!AQ52</f>
        <v>0.8</v>
      </c>
      <c r="AT258">
        <f>'Fortress Creek'!AR52</f>
        <v>1738</v>
      </c>
      <c r="AU258">
        <f>'Fortress Creek'!AS52</f>
        <v>1677</v>
      </c>
      <c r="AV258">
        <f>'Fortress Creek'!AT52</f>
        <v>131</v>
      </c>
      <c r="AW258">
        <f>'Fortress Creek'!AU52</f>
        <v>233850</v>
      </c>
      <c r="AX258">
        <f>'Fortress Creek'!AV52</f>
        <v>3.5</v>
      </c>
    </row>
    <row r="259" spans="1:50">
      <c r="A259" t="str">
        <f>'Fortress Creek'!A53</f>
        <v>/Users/christophermarjo/Documents/Python/Projects/data/bushfire Raman/Fortress Creek/FCM 9.5 (1)</v>
      </c>
      <c r="B259" t="str">
        <f t="shared" si="3"/>
        <v>Fortress Creek</v>
      </c>
      <c r="C259">
        <v>9.5</v>
      </c>
      <c r="D259" t="str">
        <f>'Fortress Creek'!B53</f>
        <v>24.14 counts</v>
      </c>
      <c r="E259">
        <f>'Fortress Creek'!C53</f>
        <v>0.98820300000000005</v>
      </c>
      <c r="F259">
        <f>'Fortress Creek'!D53</f>
        <v>1369</v>
      </c>
      <c r="G259">
        <f>'Fortress Creek'!E53</f>
        <v>14499</v>
      </c>
      <c r="H259">
        <f>'Fortress Creek'!F53</f>
        <v>312</v>
      </c>
      <c r="I259">
        <f>'Fortress Creek'!G53</f>
        <v>4815317</v>
      </c>
      <c r="J259">
        <f>'Fortress Creek'!H53</f>
        <v>66.5</v>
      </c>
      <c r="K259">
        <f>'Fortress Creek'!I53</f>
        <v>1590</v>
      </c>
      <c r="L259">
        <f>'Fortress Creek'!J53</f>
        <v>18513</v>
      </c>
      <c r="M259">
        <f>'Fortress Creek'!K53</f>
        <v>104</v>
      </c>
      <c r="N259">
        <f>'Fortress Creek'!L53</f>
        <v>2049474</v>
      </c>
      <c r="O259">
        <f>'Fortress Creek'!M53</f>
        <v>28.3</v>
      </c>
      <c r="P259">
        <f>'Fortress Creek'!N53</f>
        <v>1043</v>
      </c>
      <c r="Q259">
        <f>'Fortress Creek'!O53</f>
        <v>567</v>
      </c>
      <c r="R259">
        <f>'Fortress Creek'!P53</f>
        <v>65</v>
      </c>
      <c r="S259">
        <f>'Fortress Creek'!Q53</f>
        <v>39231</v>
      </c>
      <c r="T259">
        <f>'Fortress Creek'!R53</f>
        <v>0.5</v>
      </c>
      <c r="U259">
        <f>'Fortress Creek'!S53</f>
        <v>1154</v>
      </c>
      <c r="V259">
        <f>'Fortress Creek'!T53</f>
        <v>1</v>
      </c>
      <c r="W259">
        <f>'Fortress Creek'!U53</f>
        <v>1</v>
      </c>
      <c r="X259">
        <f>'Fortress Creek'!V53</f>
        <v>1</v>
      </c>
      <c r="Y259">
        <f>'Fortress Creek'!W53</f>
        <v>0</v>
      </c>
      <c r="Z259">
        <f>'Fortress Creek'!X53</f>
        <v>1270</v>
      </c>
      <c r="AA259">
        <f>'Fortress Creek'!Y53</f>
        <v>1</v>
      </c>
      <c r="AB259">
        <f>'Fortress Creek'!Z53</f>
        <v>1</v>
      </c>
      <c r="AC259">
        <f>'Fortress Creek'!AA53</f>
        <v>1</v>
      </c>
      <c r="AD259">
        <f>'Fortress Creek'!AB53</f>
        <v>0</v>
      </c>
      <c r="AE259">
        <f>'Fortress Creek'!AC53</f>
        <v>1450</v>
      </c>
      <c r="AF259">
        <f>'Fortress Creek'!AD53</f>
        <v>247</v>
      </c>
      <c r="AG259">
        <f>'Fortress Creek'!AE53</f>
        <v>119</v>
      </c>
      <c r="AH259">
        <f>'Fortress Creek'!AF53</f>
        <v>31288</v>
      </c>
      <c r="AI259">
        <f>'Fortress Creek'!AG53</f>
        <v>0.4</v>
      </c>
      <c r="AJ259">
        <f>'Fortress Creek'!AH53</f>
        <v>1498</v>
      </c>
      <c r="AK259">
        <f>'Fortress Creek'!AI53</f>
        <v>539</v>
      </c>
      <c r="AL259">
        <f>'Fortress Creek'!AJ53</f>
        <v>41</v>
      </c>
      <c r="AM259">
        <f>'Fortress Creek'!AK53</f>
        <v>23524</v>
      </c>
      <c r="AN259">
        <f>'Fortress Creek'!AL53</f>
        <v>0.3</v>
      </c>
      <c r="AO259">
        <f>'Fortress Creek'!AM53</f>
        <v>1590</v>
      </c>
      <c r="AP259">
        <f>'Fortress Creek'!AN53</f>
        <v>1085</v>
      </c>
      <c r="AQ259">
        <f>'Fortress Creek'!AO53</f>
        <v>1</v>
      </c>
      <c r="AR259">
        <f>'Fortress Creek'!AP53</f>
        <v>1155</v>
      </c>
      <c r="AS259">
        <f>'Fortress Creek'!AQ53</f>
        <v>0</v>
      </c>
      <c r="AT259">
        <f>'Fortress Creek'!AR53</f>
        <v>1738</v>
      </c>
      <c r="AU259">
        <f>'Fortress Creek'!AS53</f>
        <v>1739</v>
      </c>
      <c r="AV259">
        <f>'Fortress Creek'!AT53</f>
        <v>149</v>
      </c>
      <c r="AW259">
        <f>'Fortress Creek'!AU53</f>
        <v>275815</v>
      </c>
      <c r="AX259">
        <f>'Fortress Creek'!AV53</f>
        <v>3.8</v>
      </c>
    </row>
    <row r="260" spans="1:50">
      <c r="A260" t="str">
        <f>'Fortress Creek'!A54</f>
        <v>/Users/christophermarjo/Documents/Python/Projects/data/bushfire Raman/Fortress Creek/FCM 9.5 (2)</v>
      </c>
      <c r="B260" t="str">
        <f t="shared" si="3"/>
        <v>Fortress Creek</v>
      </c>
      <c r="C260">
        <v>9.5</v>
      </c>
      <c r="D260" t="str">
        <f>'Fortress Creek'!B54</f>
        <v>15.35 counts</v>
      </c>
      <c r="E260">
        <f>'Fortress Creek'!C54</f>
        <v>0.97262300000000002</v>
      </c>
      <c r="F260">
        <f>'Fortress Creek'!D54</f>
        <v>1369</v>
      </c>
      <c r="G260">
        <f>'Fortress Creek'!E54</f>
        <v>5595</v>
      </c>
      <c r="H260">
        <f>'Fortress Creek'!F54</f>
        <v>232</v>
      </c>
      <c r="I260">
        <f>'Fortress Creek'!G54</f>
        <v>1381721</v>
      </c>
      <c r="J260">
        <f>'Fortress Creek'!H54</f>
        <v>44.9</v>
      </c>
      <c r="K260">
        <f>'Fortress Creek'!I54</f>
        <v>1594</v>
      </c>
      <c r="L260">
        <f>'Fortress Creek'!J54</f>
        <v>8651</v>
      </c>
      <c r="M260">
        <f>'Fortress Creek'!K54</f>
        <v>122</v>
      </c>
      <c r="N260">
        <f>'Fortress Creek'!L54</f>
        <v>1123462</v>
      </c>
      <c r="O260">
        <f>'Fortress Creek'!M54</f>
        <v>36.5</v>
      </c>
      <c r="P260">
        <f>'Fortress Creek'!N54</f>
        <v>1031</v>
      </c>
      <c r="Q260">
        <f>'Fortress Creek'!O54</f>
        <v>201</v>
      </c>
      <c r="R260">
        <f>'Fortress Creek'!P54</f>
        <v>41</v>
      </c>
      <c r="S260">
        <f>'Fortress Creek'!Q54</f>
        <v>8772</v>
      </c>
      <c r="T260">
        <f>'Fortress Creek'!R54</f>
        <v>0.3</v>
      </c>
      <c r="U260">
        <f>'Fortress Creek'!S54</f>
        <v>1156</v>
      </c>
      <c r="V260">
        <f>'Fortress Creek'!T54</f>
        <v>433</v>
      </c>
      <c r="W260">
        <f>'Fortress Creek'!U54</f>
        <v>61</v>
      </c>
      <c r="X260">
        <f>'Fortress Creek'!V54</f>
        <v>28116</v>
      </c>
      <c r="Y260">
        <f>'Fortress Creek'!W54</f>
        <v>0.9</v>
      </c>
      <c r="Z260">
        <f>'Fortress Creek'!X54</f>
        <v>1270</v>
      </c>
      <c r="AA260">
        <f>'Fortress Creek'!Y54</f>
        <v>1</v>
      </c>
      <c r="AB260">
        <f>'Fortress Creek'!Z54</f>
        <v>1</v>
      </c>
      <c r="AC260">
        <f>'Fortress Creek'!AA54</f>
        <v>1</v>
      </c>
      <c r="AD260">
        <f>'Fortress Creek'!AB54</f>
        <v>0</v>
      </c>
      <c r="AE260">
        <f>'Fortress Creek'!AC54</f>
        <v>1456</v>
      </c>
      <c r="AF260">
        <f>'Fortress Creek'!AD54</f>
        <v>1481</v>
      </c>
      <c r="AG260">
        <f>'Fortress Creek'!AE54</f>
        <v>87</v>
      </c>
      <c r="AH260">
        <f>'Fortress Creek'!AF54</f>
        <v>137153</v>
      </c>
      <c r="AI260">
        <f>'Fortress Creek'!AG54</f>
        <v>4.5</v>
      </c>
      <c r="AJ260">
        <f>'Fortress Creek'!AH54</f>
        <v>1494</v>
      </c>
      <c r="AK260">
        <f>'Fortress Creek'!AI54</f>
        <v>655</v>
      </c>
      <c r="AL260">
        <f>'Fortress Creek'!AJ54</f>
        <v>1</v>
      </c>
      <c r="AM260">
        <f>'Fortress Creek'!AK54</f>
        <v>697</v>
      </c>
      <c r="AN260">
        <f>'Fortress Creek'!AL54</f>
        <v>0</v>
      </c>
      <c r="AO260">
        <f>'Fortress Creek'!AM54</f>
        <v>1592</v>
      </c>
      <c r="AP260">
        <f>'Fortress Creek'!AN54</f>
        <v>517</v>
      </c>
      <c r="AQ260">
        <f>'Fortress Creek'!AO54</f>
        <v>5</v>
      </c>
      <c r="AR260">
        <f>'Fortress Creek'!AP54</f>
        <v>2752</v>
      </c>
      <c r="AS260">
        <f>'Fortress Creek'!AQ54</f>
        <v>0.1</v>
      </c>
      <c r="AT260">
        <f>'Fortress Creek'!AR54</f>
        <v>1748</v>
      </c>
      <c r="AU260">
        <f>'Fortress Creek'!AS54</f>
        <v>1875</v>
      </c>
      <c r="AV260">
        <f>'Fortress Creek'!AT54</f>
        <v>199</v>
      </c>
      <c r="AW260">
        <f>'Fortress Creek'!AU54</f>
        <v>397179</v>
      </c>
      <c r="AX260">
        <f>'Fortress Creek'!AV54</f>
        <v>12.9</v>
      </c>
    </row>
    <row r="261" spans="1:50">
      <c r="A261" t="str">
        <f>'Fortress Creek'!A55</f>
        <v>/Users/christophermarjo/Documents/Python/Projects/data/bushfire Raman/Fortress Creek/FCM 9.5 (3)</v>
      </c>
      <c r="B261" t="str">
        <f t="shared" si="3"/>
        <v>Fortress Creek</v>
      </c>
      <c r="C261">
        <v>9.5</v>
      </c>
      <c r="D261" t="str">
        <f>'Fortress Creek'!B55</f>
        <v>40.03 counts</v>
      </c>
      <c r="E261">
        <f>'Fortress Creek'!C55</f>
        <v>0.98755300000000001</v>
      </c>
      <c r="F261">
        <f>'Fortress Creek'!D55</f>
        <v>1367</v>
      </c>
      <c r="G261">
        <f>'Fortress Creek'!E55</f>
        <v>23837</v>
      </c>
      <c r="H261">
        <f>'Fortress Creek'!F55</f>
        <v>306</v>
      </c>
      <c r="I261">
        <f>'Fortress Creek'!G55</f>
        <v>7764352</v>
      </c>
      <c r="J261">
        <f>'Fortress Creek'!H55</f>
        <v>66.2</v>
      </c>
      <c r="K261">
        <f>'Fortress Creek'!I55</f>
        <v>1590</v>
      </c>
      <c r="L261">
        <f>'Fortress Creek'!J55</f>
        <v>30457</v>
      </c>
      <c r="M261">
        <f>'Fortress Creek'!K55</f>
        <v>102</v>
      </c>
      <c r="N261">
        <f>'Fortress Creek'!L55</f>
        <v>3306888</v>
      </c>
      <c r="O261">
        <f>'Fortress Creek'!M55</f>
        <v>28.2</v>
      </c>
      <c r="P261">
        <f>'Fortress Creek'!N55</f>
        <v>1035</v>
      </c>
      <c r="Q261">
        <f>'Fortress Creek'!O55</f>
        <v>877</v>
      </c>
      <c r="R261">
        <f>'Fortress Creek'!P55</f>
        <v>63</v>
      </c>
      <c r="S261">
        <f>'Fortress Creek'!Q55</f>
        <v>58813</v>
      </c>
      <c r="T261">
        <f>'Fortress Creek'!R55</f>
        <v>0.5</v>
      </c>
      <c r="U261">
        <f>'Fortress Creek'!S55</f>
        <v>1154</v>
      </c>
      <c r="V261">
        <f>'Fortress Creek'!T55</f>
        <v>1</v>
      </c>
      <c r="W261">
        <f>'Fortress Creek'!U55</f>
        <v>1</v>
      </c>
      <c r="X261">
        <f>'Fortress Creek'!V55</f>
        <v>1</v>
      </c>
      <c r="Y261">
        <f>'Fortress Creek'!W55</f>
        <v>0</v>
      </c>
      <c r="Z261">
        <f>'Fortress Creek'!X55</f>
        <v>1270</v>
      </c>
      <c r="AA261">
        <f>'Fortress Creek'!Y55</f>
        <v>1</v>
      </c>
      <c r="AB261">
        <f>'Fortress Creek'!Z55</f>
        <v>1</v>
      </c>
      <c r="AC261">
        <f>'Fortress Creek'!AA55</f>
        <v>1</v>
      </c>
      <c r="AD261">
        <f>'Fortress Creek'!AB55</f>
        <v>0</v>
      </c>
      <c r="AE261">
        <f>'Fortress Creek'!AC55</f>
        <v>1408</v>
      </c>
      <c r="AF261">
        <f>'Fortress Creek'!AD55</f>
        <v>37</v>
      </c>
      <c r="AG261">
        <f>'Fortress Creek'!AE55</f>
        <v>105</v>
      </c>
      <c r="AH261">
        <f>'Fortress Creek'!AF55</f>
        <v>4135</v>
      </c>
      <c r="AI261">
        <f>'Fortress Creek'!AG55</f>
        <v>0</v>
      </c>
      <c r="AJ261">
        <f>'Fortress Creek'!AH55</f>
        <v>1500</v>
      </c>
      <c r="AK261">
        <f>'Fortress Creek'!AI55</f>
        <v>935</v>
      </c>
      <c r="AL261">
        <f>'Fortress Creek'!AJ55</f>
        <v>31</v>
      </c>
      <c r="AM261">
        <f>'Fortress Creek'!AK55</f>
        <v>30854</v>
      </c>
      <c r="AN261">
        <f>'Fortress Creek'!AL55</f>
        <v>0.3</v>
      </c>
      <c r="AO261">
        <f>'Fortress Creek'!AM55</f>
        <v>1592</v>
      </c>
      <c r="AP261">
        <f>'Fortress Creek'!AN55</f>
        <v>915</v>
      </c>
      <c r="AQ261">
        <f>'Fortress Creek'!AO55</f>
        <v>21</v>
      </c>
      <c r="AR261">
        <f>'Fortress Creek'!AP55</f>
        <v>20454</v>
      </c>
      <c r="AS261">
        <f>'Fortress Creek'!AQ55</f>
        <v>0.2</v>
      </c>
      <c r="AT261">
        <f>'Fortress Creek'!AR55</f>
        <v>1734</v>
      </c>
      <c r="AU261">
        <f>'Fortress Creek'!AS55</f>
        <v>2963</v>
      </c>
      <c r="AV261">
        <f>'Fortress Creek'!AT55</f>
        <v>171</v>
      </c>
      <c r="AW261">
        <f>'Fortress Creek'!AU55</f>
        <v>539337</v>
      </c>
      <c r="AX261">
        <f>'Fortress Creek'!AV55</f>
        <v>4.5999999999999996</v>
      </c>
    </row>
    <row r="262" spans="1:50">
      <c r="A262" t="str">
        <f>'Fortress Creek'!A56</f>
        <v>/Users/christophermarjo/Documents/Python/Projects/data/bushfire Raman/Fortress Creek/FCM 10.5 (1)</v>
      </c>
      <c r="B262" t="str">
        <f t="shared" si="3"/>
        <v>Fortress Creek</v>
      </c>
      <c r="C262">
        <v>10.5</v>
      </c>
      <c r="D262" t="str">
        <f>'Fortress Creek'!B56</f>
        <v>18.57 counts</v>
      </c>
      <c r="E262">
        <f>'Fortress Creek'!C56</f>
        <v>0.942909</v>
      </c>
      <c r="F262">
        <f>'Fortress Creek'!D56</f>
        <v>1369</v>
      </c>
      <c r="G262">
        <f>'Fortress Creek'!E56</f>
        <v>5089</v>
      </c>
      <c r="H262">
        <f>'Fortress Creek'!F56</f>
        <v>286</v>
      </c>
      <c r="I262">
        <f>'Fortress Creek'!G56</f>
        <v>1549283</v>
      </c>
      <c r="J262">
        <f>'Fortress Creek'!H56</f>
        <v>54.7</v>
      </c>
      <c r="K262">
        <f>'Fortress Creek'!I56</f>
        <v>1592</v>
      </c>
      <c r="L262">
        <f>'Fortress Creek'!J56</f>
        <v>6771</v>
      </c>
      <c r="M262">
        <f>'Fortress Creek'!K56</f>
        <v>116</v>
      </c>
      <c r="N262">
        <f>'Fortress Creek'!L56</f>
        <v>836071</v>
      </c>
      <c r="O262">
        <f>'Fortress Creek'!M56</f>
        <v>29.5</v>
      </c>
      <c r="P262">
        <f>'Fortress Creek'!N56</f>
        <v>1029</v>
      </c>
      <c r="Q262">
        <f>'Fortress Creek'!O56</f>
        <v>455</v>
      </c>
      <c r="R262">
        <f>'Fortress Creek'!P56</f>
        <v>23</v>
      </c>
      <c r="S262">
        <f>'Fortress Creek'!Q56</f>
        <v>11140</v>
      </c>
      <c r="T262">
        <f>'Fortress Creek'!R56</f>
        <v>0.4</v>
      </c>
      <c r="U262">
        <f>'Fortress Creek'!S56</f>
        <v>1156</v>
      </c>
      <c r="V262">
        <f>'Fortress Creek'!T56</f>
        <v>99</v>
      </c>
      <c r="W262">
        <f>'Fortress Creek'!U56</f>
        <v>41</v>
      </c>
      <c r="X262">
        <f>'Fortress Creek'!V56</f>
        <v>4321</v>
      </c>
      <c r="Y262">
        <f>'Fortress Creek'!W56</f>
        <v>0.2</v>
      </c>
      <c r="Z262">
        <f>'Fortress Creek'!X56</f>
        <v>1270</v>
      </c>
      <c r="AA262">
        <f>'Fortress Creek'!Y56</f>
        <v>1</v>
      </c>
      <c r="AB262">
        <f>'Fortress Creek'!Z56</f>
        <v>1</v>
      </c>
      <c r="AC262">
        <f>'Fortress Creek'!AA56</f>
        <v>1</v>
      </c>
      <c r="AD262">
        <f>'Fortress Creek'!AB56</f>
        <v>0</v>
      </c>
      <c r="AE262">
        <f>'Fortress Creek'!AC56</f>
        <v>1456</v>
      </c>
      <c r="AF262">
        <f>'Fortress Creek'!AD56</f>
        <v>1101</v>
      </c>
      <c r="AG262">
        <f>'Fortress Creek'!AE56</f>
        <v>65</v>
      </c>
      <c r="AH262">
        <f>'Fortress Creek'!AF56</f>
        <v>76179</v>
      </c>
      <c r="AI262">
        <f>'Fortress Creek'!AG56</f>
        <v>2.7</v>
      </c>
      <c r="AJ262">
        <f>'Fortress Creek'!AH56</f>
        <v>1494</v>
      </c>
      <c r="AK262">
        <f>'Fortress Creek'!AI56</f>
        <v>499</v>
      </c>
      <c r="AL262">
        <f>'Fortress Creek'!AJ56</f>
        <v>27</v>
      </c>
      <c r="AM262">
        <f>'Fortress Creek'!AK56</f>
        <v>14342</v>
      </c>
      <c r="AN262">
        <f>'Fortress Creek'!AL56</f>
        <v>0.5</v>
      </c>
      <c r="AO262">
        <f>'Fortress Creek'!AM56</f>
        <v>1598</v>
      </c>
      <c r="AP262">
        <f>'Fortress Creek'!AN56</f>
        <v>525</v>
      </c>
      <c r="AQ262">
        <f>'Fortress Creek'!AO56</f>
        <v>21</v>
      </c>
      <c r="AR262">
        <f>'Fortress Creek'!AP56</f>
        <v>11736</v>
      </c>
      <c r="AS262">
        <f>'Fortress Creek'!AQ56</f>
        <v>0.4</v>
      </c>
      <c r="AT262">
        <f>'Fortress Creek'!AR56</f>
        <v>1748</v>
      </c>
      <c r="AU262">
        <f>'Fortress Creek'!AS56</f>
        <v>1703</v>
      </c>
      <c r="AV262">
        <f>'Fortress Creek'!AT56</f>
        <v>181</v>
      </c>
      <c r="AW262">
        <f>'Fortress Creek'!AU56</f>
        <v>328115</v>
      </c>
      <c r="AX262">
        <f>'Fortress Creek'!AV56</f>
        <v>11.6</v>
      </c>
    </row>
    <row r="263" spans="1:50">
      <c r="A263" t="str">
        <f>'Fortress Creek'!A57</f>
        <v>/Users/christophermarjo/Documents/Python/Projects/data/bushfire Raman/Fortress Creek/FCM 10.5 (2)</v>
      </c>
      <c r="B263" t="str">
        <f t="shared" si="3"/>
        <v>Fortress Creek</v>
      </c>
      <c r="C263">
        <v>10.5</v>
      </c>
      <c r="D263" t="str">
        <f>'Fortress Creek'!B57</f>
        <v>13.41 counts</v>
      </c>
      <c r="E263">
        <f>'Fortress Creek'!C57</f>
        <v>0.96907299999999996</v>
      </c>
      <c r="F263">
        <f>'Fortress Creek'!D57</f>
        <v>1369</v>
      </c>
      <c r="G263">
        <f>'Fortress Creek'!E57</f>
        <v>5189</v>
      </c>
      <c r="H263">
        <f>'Fortress Creek'!F57</f>
        <v>250</v>
      </c>
      <c r="I263">
        <f>'Fortress Creek'!G57</f>
        <v>1380880</v>
      </c>
      <c r="J263">
        <f>'Fortress Creek'!H57</f>
        <v>53.3</v>
      </c>
      <c r="K263">
        <f>'Fortress Creek'!I57</f>
        <v>1588</v>
      </c>
      <c r="L263">
        <f>'Fortress Creek'!J57</f>
        <v>6641</v>
      </c>
      <c r="M263">
        <f>'Fortress Creek'!K57</f>
        <v>116</v>
      </c>
      <c r="N263">
        <f>'Fortress Creek'!L57</f>
        <v>820019</v>
      </c>
      <c r="O263">
        <f>'Fortress Creek'!M57</f>
        <v>31.7</v>
      </c>
      <c r="P263">
        <f>'Fortress Creek'!N57</f>
        <v>1013</v>
      </c>
      <c r="Q263">
        <f>'Fortress Creek'!O57</f>
        <v>155</v>
      </c>
      <c r="R263">
        <f>'Fortress Creek'!P57</f>
        <v>9</v>
      </c>
      <c r="S263">
        <f>'Fortress Creek'!Q57</f>
        <v>1485</v>
      </c>
      <c r="T263">
        <f>'Fortress Creek'!R57</f>
        <v>0.1</v>
      </c>
      <c r="U263">
        <f>'Fortress Creek'!S57</f>
        <v>1156</v>
      </c>
      <c r="V263">
        <f>'Fortress Creek'!T57</f>
        <v>443</v>
      </c>
      <c r="W263">
        <f>'Fortress Creek'!U57</f>
        <v>43</v>
      </c>
      <c r="X263">
        <f>'Fortress Creek'!V57</f>
        <v>20277</v>
      </c>
      <c r="Y263">
        <f>'Fortress Creek'!W57</f>
        <v>0.8</v>
      </c>
      <c r="Z263">
        <f>'Fortress Creek'!X57</f>
        <v>1298</v>
      </c>
      <c r="AA263">
        <f>'Fortress Creek'!Y57</f>
        <v>1</v>
      </c>
      <c r="AB263">
        <f>'Fortress Creek'!Z57</f>
        <v>1</v>
      </c>
      <c r="AC263">
        <f>'Fortress Creek'!AA57</f>
        <v>1</v>
      </c>
      <c r="AD263">
        <f>'Fortress Creek'!AB57</f>
        <v>0</v>
      </c>
      <c r="AE263">
        <f>'Fortress Creek'!AC57</f>
        <v>1456</v>
      </c>
      <c r="AF263">
        <f>'Fortress Creek'!AD57</f>
        <v>689</v>
      </c>
      <c r="AG263">
        <f>'Fortress Creek'!AE57</f>
        <v>55</v>
      </c>
      <c r="AH263">
        <f>'Fortress Creek'!AF57</f>
        <v>40338</v>
      </c>
      <c r="AI263">
        <f>'Fortress Creek'!AG57</f>
        <v>1.6</v>
      </c>
      <c r="AJ263">
        <f>'Fortress Creek'!AH57</f>
        <v>1494</v>
      </c>
      <c r="AK263">
        <f>'Fortress Creek'!AI57</f>
        <v>409</v>
      </c>
      <c r="AL263">
        <f>'Fortress Creek'!AJ57</f>
        <v>33</v>
      </c>
      <c r="AM263">
        <f>'Fortress Creek'!AK57</f>
        <v>14367</v>
      </c>
      <c r="AN263">
        <f>'Fortress Creek'!AL57</f>
        <v>0.6</v>
      </c>
      <c r="AO263">
        <f>'Fortress Creek'!AM57</f>
        <v>1592</v>
      </c>
      <c r="AP263">
        <f>'Fortress Creek'!AN57</f>
        <v>501</v>
      </c>
      <c r="AQ263">
        <f>'Fortress Creek'!AO57</f>
        <v>1</v>
      </c>
      <c r="AR263">
        <f>'Fortress Creek'!AP57</f>
        <v>533</v>
      </c>
      <c r="AS263">
        <f>'Fortress Creek'!AQ57</f>
        <v>0</v>
      </c>
      <c r="AT263">
        <f>'Fortress Creek'!AR57</f>
        <v>1748</v>
      </c>
      <c r="AU263">
        <f>'Fortress Creek'!AS57</f>
        <v>1467</v>
      </c>
      <c r="AV263">
        <f>'Fortress Creek'!AT57</f>
        <v>199</v>
      </c>
      <c r="AW263">
        <f>'Fortress Creek'!AU57</f>
        <v>310753</v>
      </c>
      <c r="AX263">
        <f>'Fortress Creek'!AV57</f>
        <v>12</v>
      </c>
    </row>
    <row r="264" spans="1:50">
      <c r="A264" t="str">
        <f>'Fortress Creek'!A58</f>
        <v>/Users/christophermarjo/Documents/Python/Projects/data/bushfire Raman/Fortress Creek/FCM 10.5 (3)</v>
      </c>
      <c r="B264" t="str">
        <f t="shared" si="3"/>
        <v>Fortress Creek</v>
      </c>
      <c r="C264">
        <v>10.5</v>
      </c>
      <c r="D264" t="str">
        <f>'Fortress Creek'!B58</f>
        <v>21.67 counts</v>
      </c>
      <c r="E264">
        <f>'Fortress Creek'!C58</f>
        <v>0.98584799999999995</v>
      </c>
      <c r="F264">
        <f>'Fortress Creek'!D58</f>
        <v>1369</v>
      </c>
      <c r="G264">
        <f>'Fortress Creek'!E58</f>
        <v>13185</v>
      </c>
      <c r="H264">
        <f>'Fortress Creek'!F58</f>
        <v>298</v>
      </c>
      <c r="I264">
        <f>'Fortress Creek'!G58</f>
        <v>4182429</v>
      </c>
      <c r="J264">
        <f>'Fortress Creek'!H58</f>
        <v>69.400000000000006</v>
      </c>
      <c r="K264">
        <f>'Fortress Creek'!I58</f>
        <v>1592</v>
      </c>
      <c r="L264">
        <f>'Fortress Creek'!J58</f>
        <v>13143</v>
      </c>
      <c r="M264">
        <f>'Fortress Creek'!K58</f>
        <v>100</v>
      </c>
      <c r="N264">
        <f>'Fortress Creek'!L58</f>
        <v>1399029</v>
      </c>
      <c r="O264">
        <f>'Fortress Creek'!M58</f>
        <v>23.2</v>
      </c>
      <c r="P264">
        <f>'Fortress Creek'!N58</f>
        <v>1053</v>
      </c>
      <c r="Q264">
        <f>'Fortress Creek'!O58</f>
        <v>779</v>
      </c>
      <c r="R264">
        <f>'Fortress Creek'!P58</f>
        <v>109</v>
      </c>
      <c r="S264">
        <f>'Fortress Creek'!Q58</f>
        <v>90385</v>
      </c>
      <c r="T264">
        <f>'Fortress Creek'!R58</f>
        <v>1.5</v>
      </c>
      <c r="U264">
        <f>'Fortress Creek'!S58</f>
        <v>1156</v>
      </c>
      <c r="V264">
        <f>'Fortress Creek'!T58</f>
        <v>115</v>
      </c>
      <c r="W264">
        <f>'Fortress Creek'!U58</f>
        <v>1</v>
      </c>
      <c r="X264">
        <f>'Fortress Creek'!V58</f>
        <v>122</v>
      </c>
      <c r="Y264">
        <f>'Fortress Creek'!W58</f>
        <v>0</v>
      </c>
      <c r="Z264">
        <f>'Fortress Creek'!X58</f>
        <v>1270</v>
      </c>
      <c r="AA264">
        <f>'Fortress Creek'!Y58</f>
        <v>1</v>
      </c>
      <c r="AB264">
        <f>'Fortress Creek'!Z58</f>
        <v>1</v>
      </c>
      <c r="AC264">
        <f>'Fortress Creek'!AA58</f>
        <v>1</v>
      </c>
      <c r="AD264">
        <f>'Fortress Creek'!AB58</f>
        <v>0</v>
      </c>
      <c r="AE264">
        <f>'Fortress Creek'!AC58</f>
        <v>1400</v>
      </c>
      <c r="AF264">
        <f>'Fortress Creek'!AD58</f>
        <v>1</v>
      </c>
      <c r="AG264">
        <f>'Fortress Creek'!AE58</f>
        <v>1</v>
      </c>
      <c r="AH264">
        <f>'Fortress Creek'!AF58</f>
        <v>1</v>
      </c>
      <c r="AI264">
        <f>'Fortress Creek'!AG58</f>
        <v>0</v>
      </c>
      <c r="AJ264">
        <f>'Fortress Creek'!AH58</f>
        <v>1500</v>
      </c>
      <c r="AK264">
        <f>'Fortress Creek'!AI58</f>
        <v>365</v>
      </c>
      <c r="AL264">
        <f>'Fortress Creek'!AJ58</f>
        <v>25</v>
      </c>
      <c r="AM264">
        <f>'Fortress Creek'!AK58</f>
        <v>9713</v>
      </c>
      <c r="AN264">
        <f>'Fortress Creek'!AL58</f>
        <v>0.2</v>
      </c>
      <c r="AO264">
        <f>'Fortress Creek'!AM58</f>
        <v>1596</v>
      </c>
      <c r="AP264">
        <f>'Fortress Creek'!AN58</f>
        <v>2141</v>
      </c>
      <c r="AQ264">
        <f>'Fortress Creek'!AO58</f>
        <v>27</v>
      </c>
      <c r="AR264">
        <f>'Fortress Creek'!AP58</f>
        <v>61534</v>
      </c>
      <c r="AS264">
        <f>'Fortress Creek'!AQ58</f>
        <v>1</v>
      </c>
      <c r="AT264">
        <f>'Fortress Creek'!AR58</f>
        <v>1740</v>
      </c>
      <c r="AU264">
        <f>'Fortress Creek'!AS58</f>
        <v>1435</v>
      </c>
      <c r="AV264">
        <f>'Fortress Creek'!AT58</f>
        <v>183</v>
      </c>
      <c r="AW264">
        <f>'Fortress Creek'!AU58</f>
        <v>279534</v>
      </c>
      <c r="AX264">
        <f>'Fortress Creek'!AV58</f>
        <v>4.5999999999999996</v>
      </c>
    </row>
    <row r="265" spans="1:50">
      <c r="A265" t="str">
        <f>'Kings Tableland'!A2</f>
        <v>/Users/christophermarjo/Documents/Python/Projects/data/bushfire Raman/Kings Tableland (RHS)/KT-M 1.5 (1) txt</v>
      </c>
      <c r="B265" t="str">
        <f>MID(A265,71,15)</f>
        <v>Kings Tableland</v>
      </c>
      <c r="C265">
        <v>1.5</v>
      </c>
      <c r="D265" t="str">
        <f>'Kings Tableland'!B2</f>
        <v>44.96 counts</v>
      </c>
      <c r="E265">
        <f>'Kings Tableland'!C2</f>
        <v>0.98516099999999995</v>
      </c>
      <c r="F265">
        <f>'Kings Tableland'!D2</f>
        <v>1369</v>
      </c>
      <c r="G265">
        <f>'Kings Tableland'!E2</f>
        <v>23313</v>
      </c>
      <c r="H265">
        <f>'Kings Tableland'!F2</f>
        <v>300</v>
      </c>
      <c r="I265">
        <f>'Kings Tableland'!G2</f>
        <v>7444776</v>
      </c>
      <c r="J265">
        <f>'Kings Tableland'!H2</f>
        <v>62.4</v>
      </c>
      <c r="K265">
        <f>'Kings Tableland'!I2</f>
        <v>1586</v>
      </c>
      <c r="L265">
        <f>'Kings Tableland'!J2</f>
        <v>29001</v>
      </c>
      <c r="M265">
        <f>'Kings Tableland'!K2</f>
        <v>124</v>
      </c>
      <c r="N265">
        <f>'Kings Tableland'!L2</f>
        <v>3827955</v>
      </c>
      <c r="O265">
        <f>'Kings Tableland'!M2</f>
        <v>32.1</v>
      </c>
      <c r="P265">
        <f>'Kings Tableland'!N2</f>
        <v>1029</v>
      </c>
      <c r="Q265">
        <f>'Kings Tableland'!O2</f>
        <v>941</v>
      </c>
      <c r="R265">
        <f>'Kings Tableland'!P2</f>
        <v>45</v>
      </c>
      <c r="S265">
        <f>'Kings Tableland'!Q2</f>
        <v>45075</v>
      </c>
      <c r="T265">
        <f>'Kings Tableland'!R2</f>
        <v>0.4</v>
      </c>
      <c r="U265">
        <f>'Kings Tableland'!S2</f>
        <v>1160</v>
      </c>
      <c r="V265">
        <f>'Kings Tableland'!T2</f>
        <v>109</v>
      </c>
      <c r="W265">
        <f>'Kings Tableland'!U2</f>
        <v>1</v>
      </c>
      <c r="X265">
        <f>'Kings Tableland'!V2</f>
        <v>116</v>
      </c>
      <c r="Y265">
        <f>'Kings Tableland'!W2</f>
        <v>0</v>
      </c>
      <c r="Z265">
        <f>'Kings Tableland'!X2</f>
        <v>1260</v>
      </c>
      <c r="AA265">
        <f>'Kings Tableland'!Y2</f>
        <v>1</v>
      </c>
      <c r="AB265">
        <f>'Kings Tableland'!Z2</f>
        <v>1</v>
      </c>
      <c r="AC265">
        <f>'Kings Tableland'!AA2</f>
        <v>1</v>
      </c>
      <c r="AD265">
        <f>'Kings Tableland'!AB2</f>
        <v>0</v>
      </c>
      <c r="AE265">
        <f>'Kings Tableland'!AC2</f>
        <v>1434</v>
      </c>
      <c r="AF265">
        <f>'Kings Tableland'!AD2</f>
        <v>1203</v>
      </c>
      <c r="AG265">
        <f>'Kings Tableland'!AE2</f>
        <v>89</v>
      </c>
      <c r="AH265">
        <f>'Kings Tableland'!AF2</f>
        <v>113969</v>
      </c>
      <c r="AI265">
        <f>'Kings Tableland'!AG2</f>
        <v>1</v>
      </c>
      <c r="AJ265">
        <f>'Kings Tableland'!AH2</f>
        <v>1488</v>
      </c>
      <c r="AK265">
        <f>'Kings Tableland'!AI2</f>
        <v>2635</v>
      </c>
      <c r="AL265">
        <f>'Kings Tableland'!AJ2</f>
        <v>45</v>
      </c>
      <c r="AM265">
        <f>'Kings Tableland'!AK2</f>
        <v>126219</v>
      </c>
      <c r="AN265">
        <f>'Kings Tableland'!AL2</f>
        <v>1.1000000000000001</v>
      </c>
      <c r="AO265">
        <f>'Kings Tableland'!AM2</f>
        <v>1598</v>
      </c>
      <c r="AP265">
        <f>'Kings Tableland'!AN2</f>
        <v>743</v>
      </c>
      <c r="AQ265">
        <f>'Kings Tableland'!AO2</f>
        <v>25</v>
      </c>
      <c r="AR265">
        <f>'Kings Tableland'!AP2</f>
        <v>19772</v>
      </c>
      <c r="AS265">
        <f>'Kings Tableland'!AQ2</f>
        <v>0.2</v>
      </c>
      <c r="AT265">
        <f>'Kings Tableland'!AR2</f>
        <v>1748</v>
      </c>
      <c r="AU265">
        <f>'Kings Tableland'!AS2</f>
        <v>2861</v>
      </c>
      <c r="AV265">
        <f>'Kings Tableland'!AT2</f>
        <v>115</v>
      </c>
      <c r="AW265">
        <f>'Kings Tableland'!AU2</f>
        <v>350226</v>
      </c>
      <c r="AX265">
        <f>'Kings Tableland'!AV2</f>
        <v>2.9</v>
      </c>
    </row>
    <row r="266" spans="1:50">
      <c r="A266" t="str">
        <f>'Kings Tableland'!A3</f>
        <v>/Users/christophermarjo/Documents/Python/Projects/data/bushfire Raman/Kings Tableland (RHS)/KT-M 1.5 (2) txt</v>
      </c>
      <c r="B266" t="str">
        <f t="shared" ref="B266:B303" si="4">MID(A266,71,15)</f>
        <v>Kings Tableland</v>
      </c>
      <c r="C266">
        <v>1.5</v>
      </c>
      <c r="D266" t="str">
        <f>'Kings Tableland'!B3</f>
        <v>23.90 counts</v>
      </c>
      <c r="E266">
        <f>'Kings Tableland'!C3</f>
        <v>0.98469300000000004</v>
      </c>
      <c r="F266">
        <f>'Kings Tableland'!D3</f>
        <v>1369</v>
      </c>
      <c r="G266">
        <f>'Kings Tableland'!E3</f>
        <v>11925</v>
      </c>
      <c r="H266">
        <f>'Kings Tableland'!F3</f>
        <v>342</v>
      </c>
      <c r="I266">
        <f>'Kings Tableland'!G3</f>
        <v>4341269</v>
      </c>
      <c r="J266">
        <f>'Kings Tableland'!H3</f>
        <v>66.8</v>
      </c>
      <c r="K266">
        <f>'Kings Tableland'!I3</f>
        <v>1584</v>
      </c>
      <c r="L266">
        <f>'Kings Tableland'!J3</f>
        <v>13305</v>
      </c>
      <c r="M266">
        <f>'Kings Tableland'!K3</f>
        <v>136</v>
      </c>
      <c r="N266">
        <f>'Kings Tableland'!L3</f>
        <v>1926132</v>
      </c>
      <c r="O266">
        <f>'Kings Tableland'!M3</f>
        <v>29.7</v>
      </c>
      <c r="P266">
        <f>'Kings Tableland'!N3</f>
        <v>1013</v>
      </c>
      <c r="Q266">
        <f>'Kings Tableland'!O3</f>
        <v>189</v>
      </c>
      <c r="R266">
        <f>'Kings Tableland'!P3</f>
        <v>73</v>
      </c>
      <c r="S266">
        <f>'Kings Tableland'!Q3</f>
        <v>14686</v>
      </c>
      <c r="T266">
        <f>'Kings Tableland'!R3</f>
        <v>0.2</v>
      </c>
      <c r="U266">
        <f>'Kings Tableland'!S3</f>
        <v>1158</v>
      </c>
      <c r="V266">
        <f>'Kings Tableland'!T3</f>
        <v>1</v>
      </c>
      <c r="W266">
        <f>'Kings Tableland'!U3</f>
        <v>1</v>
      </c>
      <c r="X266">
        <f>'Kings Tableland'!V3</f>
        <v>1</v>
      </c>
      <c r="Y266">
        <f>'Kings Tableland'!W3</f>
        <v>0</v>
      </c>
      <c r="Z266">
        <f>'Kings Tableland'!X3</f>
        <v>1260</v>
      </c>
      <c r="AA266">
        <f>'Kings Tableland'!Y3</f>
        <v>1</v>
      </c>
      <c r="AB266">
        <f>'Kings Tableland'!Z3</f>
        <v>1</v>
      </c>
      <c r="AC266">
        <f>'Kings Tableland'!AA3</f>
        <v>1</v>
      </c>
      <c r="AD266">
        <f>'Kings Tableland'!AB3</f>
        <v>0</v>
      </c>
      <c r="AE266">
        <f>'Kings Tableland'!AC3</f>
        <v>1434</v>
      </c>
      <c r="AF266">
        <f>'Kings Tableland'!AD3</f>
        <v>385</v>
      </c>
      <c r="AG266">
        <f>'Kings Tableland'!AE3</f>
        <v>97</v>
      </c>
      <c r="AH266">
        <f>'Kings Tableland'!AF3</f>
        <v>39753</v>
      </c>
      <c r="AI266">
        <f>'Kings Tableland'!AG3</f>
        <v>0.6</v>
      </c>
      <c r="AJ266">
        <f>'Kings Tableland'!AH3</f>
        <v>1482</v>
      </c>
      <c r="AK266">
        <f>'Kings Tableland'!AI3</f>
        <v>1171</v>
      </c>
      <c r="AL266">
        <f>'Kings Tableland'!AJ3</f>
        <v>53</v>
      </c>
      <c r="AM266">
        <f>'Kings Tableland'!AK3</f>
        <v>66064</v>
      </c>
      <c r="AN266">
        <f>'Kings Tableland'!AL3</f>
        <v>1</v>
      </c>
      <c r="AO266">
        <f>'Kings Tableland'!AM3</f>
        <v>1598</v>
      </c>
      <c r="AP266">
        <f>'Kings Tableland'!AN3</f>
        <v>445</v>
      </c>
      <c r="AQ266">
        <f>'Kings Tableland'!AO3</f>
        <v>1</v>
      </c>
      <c r="AR266">
        <f>'Kings Tableland'!AP3</f>
        <v>474</v>
      </c>
      <c r="AS266">
        <f>'Kings Tableland'!AQ3</f>
        <v>0</v>
      </c>
      <c r="AT266">
        <f>'Kings Tableland'!AR3</f>
        <v>1748</v>
      </c>
      <c r="AU266">
        <f>'Kings Tableland'!AS3</f>
        <v>1409</v>
      </c>
      <c r="AV266">
        <f>'Kings Tableland'!AT3</f>
        <v>71</v>
      </c>
      <c r="AW266">
        <f>'Kings Tableland'!AU3</f>
        <v>106488</v>
      </c>
      <c r="AX266">
        <f>'Kings Tableland'!AV3</f>
        <v>1.6</v>
      </c>
    </row>
    <row r="267" spans="1:50">
      <c r="A267" t="str">
        <f>'Kings Tableland'!A4</f>
        <v>/Users/christophermarjo/Documents/Python/Projects/data/bushfire Raman/Kings Tableland (RHS)/KTM 0 (1) .txt</v>
      </c>
      <c r="B267" t="str">
        <f t="shared" si="4"/>
        <v>Kings Tableland</v>
      </c>
      <c r="C267">
        <v>0</v>
      </c>
      <c r="D267" t="str">
        <f>'Kings Tableland'!B4</f>
        <v>11.00 counts</v>
      </c>
      <c r="E267">
        <f>'Kings Tableland'!C4</f>
        <v>0.98352799999999996</v>
      </c>
      <c r="F267">
        <f>'Kings Tableland'!D4</f>
        <v>1369</v>
      </c>
      <c r="G267">
        <f>'Kings Tableland'!E4</f>
        <v>5433</v>
      </c>
      <c r="H267">
        <f>'Kings Tableland'!F4</f>
        <v>302</v>
      </c>
      <c r="I267">
        <f>'Kings Tableland'!G4</f>
        <v>1746541</v>
      </c>
      <c r="J267">
        <f>'Kings Tableland'!H4</f>
        <v>61.8</v>
      </c>
      <c r="K267">
        <f>'Kings Tableland'!I4</f>
        <v>1594</v>
      </c>
      <c r="L267">
        <f>'Kings Tableland'!J4</f>
        <v>7709</v>
      </c>
      <c r="M267">
        <f>'Kings Tableland'!K4</f>
        <v>104</v>
      </c>
      <c r="N267">
        <f>'Kings Tableland'!L4</f>
        <v>853422</v>
      </c>
      <c r="O267">
        <f>'Kings Tableland'!M4</f>
        <v>30.2</v>
      </c>
      <c r="P267">
        <f>'Kings Tableland'!N4</f>
        <v>1005</v>
      </c>
      <c r="Q267">
        <f>'Kings Tableland'!O4</f>
        <v>221</v>
      </c>
      <c r="R267">
        <f>'Kings Tableland'!P4</f>
        <v>15</v>
      </c>
      <c r="S267">
        <f>'Kings Tableland'!Q4</f>
        <v>3529</v>
      </c>
      <c r="T267">
        <f>'Kings Tableland'!R4</f>
        <v>0.1</v>
      </c>
      <c r="U267">
        <f>'Kings Tableland'!S4</f>
        <v>1156</v>
      </c>
      <c r="V267">
        <f>'Kings Tableland'!T4</f>
        <v>301</v>
      </c>
      <c r="W267">
        <f>'Kings Tableland'!U4</f>
        <v>21</v>
      </c>
      <c r="X267">
        <f>'Kings Tableland'!V4</f>
        <v>6728</v>
      </c>
      <c r="Y267">
        <f>'Kings Tableland'!W4</f>
        <v>0.2</v>
      </c>
      <c r="Z267">
        <f>'Kings Tableland'!X4</f>
        <v>1260</v>
      </c>
      <c r="AA267">
        <f>'Kings Tableland'!Y4</f>
        <v>1</v>
      </c>
      <c r="AB267">
        <f>'Kings Tableland'!Z4</f>
        <v>1</v>
      </c>
      <c r="AC267">
        <f>'Kings Tableland'!AA4</f>
        <v>1</v>
      </c>
      <c r="AD267">
        <f>'Kings Tableland'!AB4</f>
        <v>0</v>
      </c>
      <c r="AE267">
        <f>'Kings Tableland'!AC4</f>
        <v>1418</v>
      </c>
      <c r="AF267">
        <f>'Kings Tableland'!AD4</f>
        <v>135</v>
      </c>
      <c r="AG267">
        <f>'Kings Tableland'!AE4</f>
        <v>119</v>
      </c>
      <c r="AH267">
        <f>'Kings Tableland'!AF4</f>
        <v>17101</v>
      </c>
      <c r="AI267">
        <f>'Kings Tableland'!AG4</f>
        <v>0.6</v>
      </c>
      <c r="AJ267">
        <f>'Kings Tableland'!AH4</f>
        <v>1502</v>
      </c>
      <c r="AK267">
        <f>'Kings Tableland'!AI4</f>
        <v>785</v>
      </c>
      <c r="AL267">
        <f>'Kings Tableland'!AJ4</f>
        <v>35</v>
      </c>
      <c r="AM267">
        <f>'Kings Tableland'!AK4</f>
        <v>29246</v>
      </c>
      <c r="AN267">
        <f>'Kings Tableland'!AL4</f>
        <v>1</v>
      </c>
      <c r="AO267">
        <f>'Kings Tableland'!AM4</f>
        <v>1598</v>
      </c>
      <c r="AP267">
        <f>'Kings Tableland'!AN4</f>
        <v>101</v>
      </c>
      <c r="AQ267">
        <f>'Kings Tableland'!AO4</f>
        <v>17</v>
      </c>
      <c r="AR267">
        <f>'Kings Tableland'!AP4</f>
        <v>1828</v>
      </c>
      <c r="AS267">
        <f>'Kings Tableland'!AQ4</f>
        <v>0.1</v>
      </c>
      <c r="AT267">
        <f>'Kings Tableland'!AR4</f>
        <v>1748</v>
      </c>
      <c r="AU267">
        <f>'Kings Tableland'!AS4</f>
        <v>783</v>
      </c>
      <c r="AV267">
        <f>'Kings Tableland'!AT4</f>
        <v>199</v>
      </c>
      <c r="AW267">
        <f>'Kings Tableland'!AU4</f>
        <v>165862</v>
      </c>
      <c r="AX267">
        <f>'Kings Tableland'!AV4</f>
        <v>5.9</v>
      </c>
    </row>
    <row r="268" spans="1:50">
      <c r="A268" t="str">
        <f>'Kings Tableland'!A5</f>
        <v>/Users/christophermarjo/Documents/Python/Projects/data/bushfire Raman/Kings Tableland (RHS)/KTM 0 (2). txt</v>
      </c>
      <c r="B268" t="str">
        <f t="shared" si="4"/>
        <v>Kings Tableland</v>
      </c>
      <c r="C268">
        <v>0</v>
      </c>
      <c r="D268" t="str">
        <f>'Kings Tableland'!B5</f>
        <v>9.49 counts</v>
      </c>
      <c r="E268">
        <f>'Kings Tableland'!C5</f>
        <v>0.98611800000000005</v>
      </c>
      <c r="F268">
        <f>'Kings Tableland'!D5</f>
        <v>1369</v>
      </c>
      <c r="G268">
        <f>'Kings Tableland'!E5</f>
        <v>5373</v>
      </c>
      <c r="H268">
        <f>'Kings Tableland'!F5</f>
        <v>282</v>
      </c>
      <c r="I268">
        <f>'Kings Tableland'!G5</f>
        <v>1612866</v>
      </c>
      <c r="J268">
        <f>'Kings Tableland'!H5</f>
        <v>62.7</v>
      </c>
      <c r="K268">
        <f>'Kings Tableland'!I5</f>
        <v>1594</v>
      </c>
      <c r="L268">
        <f>'Kings Tableland'!J5</f>
        <v>7283</v>
      </c>
      <c r="M268">
        <f>'Kings Tableland'!K5</f>
        <v>100</v>
      </c>
      <c r="N268">
        <f>'Kings Tableland'!L5</f>
        <v>775251</v>
      </c>
      <c r="O268">
        <f>'Kings Tableland'!M5</f>
        <v>30.1</v>
      </c>
      <c r="P268">
        <f>'Kings Tableland'!N5</f>
        <v>1049</v>
      </c>
      <c r="Q268">
        <f>'Kings Tableland'!O5</f>
        <v>225</v>
      </c>
      <c r="R268">
        <f>'Kings Tableland'!P5</f>
        <v>109</v>
      </c>
      <c r="S268">
        <f>'Kings Tableland'!Q5</f>
        <v>26106</v>
      </c>
      <c r="T268">
        <f>'Kings Tableland'!R5</f>
        <v>1</v>
      </c>
      <c r="U268">
        <f>'Kings Tableland'!S5</f>
        <v>1156</v>
      </c>
      <c r="V268">
        <f>'Kings Tableland'!T5</f>
        <v>309</v>
      </c>
      <c r="W268">
        <f>'Kings Tableland'!U5</f>
        <v>11</v>
      </c>
      <c r="X268">
        <f>'Kings Tableland'!V5</f>
        <v>3618</v>
      </c>
      <c r="Y268">
        <f>'Kings Tableland'!W5</f>
        <v>0.1</v>
      </c>
      <c r="Z268">
        <f>'Kings Tableland'!X5</f>
        <v>1260</v>
      </c>
      <c r="AA268">
        <f>'Kings Tableland'!Y5</f>
        <v>1</v>
      </c>
      <c r="AB268">
        <f>'Kings Tableland'!Z5</f>
        <v>1</v>
      </c>
      <c r="AC268">
        <f>'Kings Tableland'!AA5</f>
        <v>1</v>
      </c>
      <c r="AD268">
        <f>'Kings Tableland'!AB5</f>
        <v>0</v>
      </c>
      <c r="AE268">
        <f>'Kings Tableland'!AC5</f>
        <v>1450</v>
      </c>
      <c r="AF268">
        <f>'Kings Tableland'!AD5</f>
        <v>307</v>
      </c>
      <c r="AG268">
        <f>'Kings Tableland'!AE5</f>
        <v>93</v>
      </c>
      <c r="AH268">
        <f>'Kings Tableland'!AF5</f>
        <v>30392</v>
      </c>
      <c r="AI268">
        <f>'Kings Tableland'!AG5</f>
        <v>1.2</v>
      </c>
      <c r="AJ268">
        <f>'Kings Tableland'!AH5</f>
        <v>1528</v>
      </c>
      <c r="AK268">
        <f>'Kings Tableland'!AI5</f>
        <v>121</v>
      </c>
      <c r="AL268">
        <f>'Kings Tableland'!AJ5</f>
        <v>3</v>
      </c>
      <c r="AM268">
        <f>'Kings Tableland'!AK5</f>
        <v>386</v>
      </c>
      <c r="AN268">
        <f>'Kings Tableland'!AL5</f>
        <v>0</v>
      </c>
      <c r="AO268">
        <f>'Kings Tableland'!AM5</f>
        <v>1592</v>
      </c>
      <c r="AP268">
        <f>'Kings Tableland'!AN5</f>
        <v>255</v>
      </c>
      <c r="AQ268">
        <f>'Kings Tableland'!AO5</f>
        <v>27</v>
      </c>
      <c r="AR268">
        <f>'Kings Tableland'!AP5</f>
        <v>7329</v>
      </c>
      <c r="AS268">
        <f>'Kings Tableland'!AQ5</f>
        <v>0.3</v>
      </c>
      <c r="AT268">
        <f>'Kings Tableland'!AR5</f>
        <v>1730</v>
      </c>
      <c r="AU268">
        <f>'Kings Tableland'!AS5</f>
        <v>789</v>
      </c>
      <c r="AV268">
        <f>'Kings Tableland'!AT5</f>
        <v>139</v>
      </c>
      <c r="AW268">
        <f>'Kings Tableland'!AU5</f>
        <v>116741</v>
      </c>
      <c r="AX268">
        <f>'Kings Tableland'!AV5</f>
        <v>4.5</v>
      </c>
    </row>
    <row r="269" spans="1:50">
      <c r="A269" t="str">
        <f>'Kings Tableland'!A6</f>
        <v>/Users/christophermarjo/Documents/Python/Projects/data/bushfire Raman/Kings Tableland (RHS)/KTM 0 (3) .txt</v>
      </c>
      <c r="B269" t="str">
        <f t="shared" si="4"/>
        <v>Kings Tableland</v>
      </c>
      <c r="C269">
        <v>0</v>
      </c>
      <c r="D269" t="str">
        <f>'Kings Tableland'!B6</f>
        <v>11.04 counts</v>
      </c>
      <c r="E269">
        <f>'Kings Tableland'!C6</f>
        <v>0.98255499999999996</v>
      </c>
      <c r="F269">
        <f>'Kings Tableland'!D6</f>
        <v>1365</v>
      </c>
      <c r="G269">
        <f>'Kings Tableland'!E6</f>
        <v>5779</v>
      </c>
      <c r="H269">
        <f>'Kings Tableland'!F6</f>
        <v>280</v>
      </c>
      <c r="I269">
        <f>'Kings Tableland'!G6</f>
        <v>1722435</v>
      </c>
      <c r="J269">
        <f>'Kings Tableland'!H6</f>
        <v>62.3</v>
      </c>
      <c r="K269">
        <f>'Kings Tableland'!I6</f>
        <v>1594</v>
      </c>
      <c r="L269">
        <f>'Kings Tableland'!J6</f>
        <v>7589</v>
      </c>
      <c r="M269">
        <f>'Kings Tableland'!K6</f>
        <v>100</v>
      </c>
      <c r="N269">
        <f>'Kings Tableland'!L6</f>
        <v>807824</v>
      </c>
      <c r="O269">
        <f>'Kings Tableland'!M6</f>
        <v>29.2</v>
      </c>
      <c r="P269">
        <f>'Kings Tableland'!N6</f>
        <v>1063</v>
      </c>
      <c r="Q269">
        <f>'Kings Tableland'!O6</f>
        <v>257</v>
      </c>
      <c r="R269">
        <f>'Kings Tableland'!P6</f>
        <v>107</v>
      </c>
      <c r="S269">
        <f>'Kings Tableland'!Q6</f>
        <v>29272</v>
      </c>
      <c r="T269">
        <f>'Kings Tableland'!R6</f>
        <v>1.1000000000000001</v>
      </c>
      <c r="U269">
        <f>'Kings Tableland'!S6</f>
        <v>1152</v>
      </c>
      <c r="V269">
        <f>'Kings Tableland'!T6</f>
        <v>51</v>
      </c>
      <c r="W269">
        <f>'Kings Tableland'!U6</f>
        <v>1</v>
      </c>
      <c r="X269">
        <f>'Kings Tableland'!V6</f>
        <v>54</v>
      </c>
      <c r="Y269">
        <f>'Kings Tableland'!W6</f>
        <v>0</v>
      </c>
      <c r="Z269">
        <f>'Kings Tableland'!X6</f>
        <v>1260</v>
      </c>
      <c r="AA269">
        <f>'Kings Tableland'!Y6</f>
        <v>1</v>
      </c>
      <c r="AB269">
        <f>'Kings Tableland'!Z6</f>
        <v>1</v>
      </c>
      <c r="AC269">
        <f>'Kings Tableland'!AA6</f>
        <v>1</v>
      </c>
      <c r="AD269">
        <f>'Kings Tableland'!AB6</f>
        <v>0</v>
      </c>
      <c r="AE269">
        <f>'Kings Tableland'!AC6</f>
        <v>1450</v>
      </c>
      <c r="AF269">
        <f>'Kings Tableland'!AD6</f>
        <v>103</v>
      </c>
      <c r="AG269">
        <f>'Kings Tableland'!AE6</f>
        <v>133</v>
      </c>
      <c r="AH269">
        <f>'Kings Tableland'!AF6</f>
        <v>14582</v>
      </c>
      <c r="AI269">
        <f>'Kings Tableland'!AG6</f>
        <v>0.5</v>
      </c>
      <c r="AJ269">
        <f>'Kings Tableland'!AH6</f>
        <v>1494</v>
      </c>
      <c r="AK269">
        <f>'Kings Tableland'!AI6</f>
        <v>231</v>
      </c>
      <c r="AL269">
        <f>'Kings Tableland'!AJ6</f>
        <v>25</v>
      </c>
      <c r="AM269">
        <f>'Kings Tableland'!AK6</f>
        <v>6147</v>
      </c>
      <c r="AN269">
        <f>'Kings Tableland'!AL6</f>
        <v>0.2</v>
      </c>
      <c r="AO269">
        <f>'Kings Tableland'!AM6</f>
        <v>1582</v>
      </c>
      <c r="AP269">
        <f>'Kings Tableland'!AN6</f>
        <v>175</v>
      </c>
      <c r="AQ269">
        <f>'Kings Tableland'!AO6</f>
        <v>7</v>
      </c>
      <c r="AR269">
        <f>'Kings Tableland'!AP6</f>
        <v>1304</v>
      </c>
      <c r="AS269">
        <f>'Kings Tableland'!AQ6</f>
        <v>0</v>
      </c>
      <c r="AT269">
        <f>'Kings Tableland'!AR6</f>
        <v>1730</v>
      </c>
      <c r="AU269">
        <f>'Kings Tableland'!AS6</f>
        <v>979</v>
      </c>
      <c r="AV269">
        <f>'Kings Tableland'!AT6</f>
        <v>175</v>
      </c>
      <c r="AW269">
        <f>'Kings Tableland'!AU6</f>
        <v>182370</v>
      </c>
      <c r="AX269">
        <f>'Kings Tableland'!AV6</f>
        <v>6.6</v>
      </c>
    </row>
    <row r="270" spans="1:50">
      <c r="A270" t="str">
        <f>'Kings Tableland'!A7</f>
        <v>/Users/christophermarjo/Documents/Python/Projects/data/bushfire Raman/Kings Tableland (RHS)/KTM 0. 5 (2) .txt</v>
      </c>
      <c r="B270" t="str">
        <f t="shared" si="4"/>
        <v>Kings Tableland</v>
      </c>
      <c r="C270">
        <v>5</v>
      </c>
      <c r="D270" t="str">
        <f>'Kings Tableland'!B7</f>
        <v>14.79 counts</v>
      </c>
      <c r="E270">
        <f>'Kings Tableland'!C7</f>
        <v>0.97623000000000004</v>
      </c>
      <c r="F270">
        <f>'Kings Tableland'!D7</f>
        <v>1363</v>
      </c>
      <c r="G270">
        <f>'Kings Tableland'!E7</f>
        <v>6801</v>
      </c>
      <c r="H270">
        <f>'Kings Tableland'!F7</f>
        <v>260</v>
      </c>
      <c r="I270">
        <f>'Kings Tableland'!G7</f>
        <v>1882254</v>
      </c>
      <c r="J270">
        <f>'Kings Tableland'!H7</f>
        <v>56.7</v>
      </c>
      <c r="K270">
        <f>'Kings Tableland'!I7</f>
        <v>1598</v>
      </c>
      <c r="L270">
        <f>'Kings Tableland'!J7</f>
        <v>9137</v>
      </c>
      <c r="M270">
        <f>'Kings Tableland'!K7</f>
        <v>100</v>
      </c>
      <c r="N270">
        <f>'Kings Tableland'!L7</f>
        <v>972604</v>
      </c>
      <c r="O270">
        <f>'Kings Tableland'!M7</f>
        <v>29.3</v>
      </c>
      <c r="P270">
        <f>'Kings Tableland'!N7</f>
        <v>1073</v>
      </c>
      <c r="Q270">
        <f>'Kings Tableland'!O7</f>
        <v>201</v>
      </c>
      <c r="R270">
        <f>'Kings Tableland'!P7</f>
        <v>117</v>
      </c>
      <c r="S270">
        <f>'Kings Tableland'!Q7</f>
        <v>25033</v>
      </c>
      <c r="T270">
        <f>'Kings Tableland'!R7</f>
        <v>0.8</v>
      </c>
      <c r="U270">
        <f>'Kings Tableland'!S7</f>
        <v>1156</v>
      </c>
      <c r="V270">
        <f>'Kings Tableland'!T7</f>
        <v>231</v>
      </c>
      <c r="W270">
        <f>'Kings Tableland'!U7</f>
        <v>33</v>
      </c>
      <c r="X270">
        <f>'Kings Tableland'!V7</f>
        <v>8114</v>
      </c>
      <c r="Y270">
        <f>'Kings Tableland'!W7</f>
        <v>0.2</v>
      </c>
      <c r="Z270">
        <f>'Kings Tableland'!X7</f>
        <v>1260</v>
      </c>
      <c r="AA270">
        <f>'Kings Tableland'!Y7</f>
        <v>1</v>
      </c>
      <c r="AB270">
        <f>'Kings Tableland'!Z7</f>
        <v>1</v>
      </c>
      <c r="AC270">
        <f>'Kings Tableland'!AA7</f>
        <v>1</v>
      </c>
      <c r="AD270">
        <f>'Kings Tableland'!AB7</f>
        <v>0</v>
      </c>
      <c r="AE270">
        <f>'Kings Tableland'!AC7</f>
        <v>1418</v>
      </c>
      <c r="AF270">
        <f>'Kings Tableland'!AD7</f>
        <v>149</v>
      </c>
      <c r="AG270">
        <f>'Kings Tableland'!AE7</f>
        <v>141</v>
      </c>
      <c r="AH270">
        <f>'Kings Tableland'!AF7</f>
        <v>22363</v>
      </c>
      <c r="AI270">
        <f>'Kings Tableland'!AG7</f>
        <v>0.7</v>
      </c>
      <c r="AJ270">
        <f>'Kings Tableland'!AH7</f>
        <v>1494</v>
      </c>
      <c r="AK270">
        <f>'Kings Tableland'!AI7</f>
        <v>745</v>
      </c>
      <c r="AL270">
        <f>'Kings Tableland'!AJ7</f>
        <v>55</v>
      </c>
      <c r="AM270">
        <f>'Kings Tableland'!AK7</f>
        <v>43617</v>
      </c>
      <c r="AN270">
        <f>'Kings Tableland'!AL7</f>
        <v>1.3</v>
      </c>
      <c r="AO270">
        <f>'Kings Tableland'!AM7</f>
        <v>1598</v>
      </c>
      <c r="AP270">
        <f>'Kings Tableland'!AN7</f>
        <v>539</v>
      </c>
      <c r="AQ270">
        <f>'Kings Tableland'!AO7</f>
        <v>25</v>
      </c>
      <c r="AR270">
        <f>'Kings Tableland'!AP7</f>
        <v>14344</v>
      </c>
      <c r="AS270">
        <f>'Kings Tableland'!AQ7</f>
        <v>0.4</v>
      </c>
      <c r="AT270">
        <f>'Kings Tableland'!AR7</f>
        <v>1748</v>
      </c>
      <c r="AU270">
        <f>'Kings Tableland'!AS7</f>
        <v>1667</v>
      </c>
      <c r="AV270">
        <f>'Kings Tableland'!AT7</f>
        <v>199</v>
      </c>
      <c r="AW270">
        <f>'Kings Tableland'!AU7</f>
        <v>353119</v>
      </c>
      <c r="AX270">
        <f>'Kings Tableland'!AV7</f>
        <v>10.6</v>
      </c>
    </row>
    <row r="271" spans="1:50">
      <c r="A271" t="str">
        <f>'Kings Tableland'!A8</f>
        <v>/Users/christophermarjo/Documents/Python/Projects/data/bushfire Raman/Kings Tableland (RHS)/KTM 0.5 (1). txt</v>
      </c>
      <c r="B271" t="str">
        <f t="shared" si="4"/>
        <v>Kings Tableland</v>
      </c>
      <c r="C271">
        <v>0.5</v>
      </c>
      <c r="D271" t="str">
        <f>'Kings Tableland'!B8</f>
        <v>11.92 counts</v>
      </c>
      <c r="E271">
        <f>'Kings Tableland'!C8</f>
        <v>0.98428000000000004</v>
      </c>
      <c r="F271">
        <f>'Kings Tableland'!D8</f>
        <v>1359</v>
      </c>
      <c r="G271">
        <f>'Kings Tableland'!E8</f>
        <v>6565</v>
      </c>
      <c r="H271">
        <f>'Kings Tableland'!F8</f>
        <v>256</v>
      </c>
      <c r="I271">
        <f>'Kings Tableland'!G8</f>
        <v>1788986</v>
      </c>
      <c r="J271">
        <f>'Kings Tableland'!H8</f>
        <v>58.9</v>
      </c>
      <c r="K271">
        <f>'Kings Tableland'!I8</f>
        <v>1596</v>
      </c>
      <c r="L271">
        <f>'Kings Tableland'!J8</f>
        <v>8787</v>
      </c>
      <c r="M271">
        <f>'Kings Tableland'!K8</f>
        <v>100</v>
      </c>
      <c r="N271">
        <f>'Kings Tableland'!L8</f>
        <v>935347</v>
      </c>
      <c r="O271">
        <f>'Kings Tableland'!M8</f>
        <v>30.8</v>
      </c>
      <c r="P271">
        <f>'Kings Tableland'!N8</f>
        <v>1073</v>
      </c>
      <c r="Q271">
        <f>'Kings Tableland'!O8</f>
        <v>291</v>
      </c>
      <c r="R271">
        <f>'Kings Tableland'!P8</f>
        <v>119</v>
      </c>
      <c r="S271">
        <f>'Kings Tableland'!Q8</f>
        <v>36861</v>
      </c>
      <c r="T271">
        <f>'Kings Tableland'!R8</f>
        <v>1.2</v>
      </c>
      <c r="U271">
        <f>'Kings Tableland'!S8</f>
        <v>1150</v>
      </c>
      <c r="V271">
        <f>'Kings Tableland'!T8</f>
        <v>463</v>
      </c>
      <c r="W271">
        <f>'Kings Tableland'!U8</f>
        <v>1</v>
      </c>
      <c r="X271">
        <f>'Kings Tableland'!V8</f>
        <v>493</v>
      </c>
      <c r="Y271">
        <f>'Kings Tableland'!W8</f>
        <v>0</v>
      </c>
      <c r="Z271">
        <f>'Kings Tableland'!X8</f>
        <v>1260</v>
      </c>
      <c r="AA271">
        <f>'Kings Tableland'!Y8</f>
        <v>1</v>
      </c>
      <c r="AB271">
        <f>'Kings Tableland'!Z8</f>
        <v>1</v>
      </c>
      <c r="AC271">
        <f>'Kings Tableland'!AA8</f>
        <v>1</v>
      </c>
      <c r="AD271">
        <f>'Kings Tableland'!AB8</f>
        <v>0</v>
      </c>
      <c r="AE271">
        <f>'Kings Tableland'!AC8</f>
        <v>1450</v>
      </c>
      <c r="AF271">
        <f>'Kings Tableland'!AD8</f>
        <v>49</v>
      </c>
      <c r="AG271">
        <f>'Kings Tableland'!AE8</f>
        <v>163</v>
      </c>
      <c r="AH271">
        <f>'Kings Tableland'!AF8</f>
        <v>8502</v>
      </c>
      <c r="AI271">
        <f>'Kings Tableland'!AG8</f>
        <v>0.3</v>
      </c>
      <c r="AJ271">
        <f>'Kings Tableland'!AH8</f>
        <v>1494</v>
      </c>
      <c r="AK271">
        <f>'Kings Tableland'!AI8</f>
        <v>479</v>
      </c>
      <c r="AL271">
        <f>'Kings Tableland'!AJ8</f>
        <v>45</v>
      </c>
      <c r="AM271">
        <f>'Kings Tableland'!AK8</f>
        <v>22945</v>
      </c>
      <c r="AN271">
        <f>'Kings Tableland'!AL8</f>
        <v>0.8</v>
      </c>
      <c r="AO271">
        <f>'Kings Tableland'!AM8</f>
        <v>1598</v>
      </c>
      <c r="AP271">
        <f>'Kings Tableland'!AN8</f>
        <v>1121</v>
      </c>
      <c r="AQ271">
        <f>'Kings Tableland'!AO8</f>
        <v>31</v>
      </c>
      <c r="AR271">
        <f>'Kings Tableland'!AP8</f>
        <v>36991</v>
      </c>
      <c r="AS271">
        <f>'Kings Tableland'!AQ8</f>
        <v>1.2</v>
      </c>
      <c r="AT271">
        <f>'Kings Tableland'!AR8</f>
        <v>1748</v>
      </c>
      <c r="AU271">
        <f>'Kings Tableland'!AS8</f>
        <v>989</v>
      </c>
      <c r="AV271">
        <f>'Kings Tableland'!AT8</f>
        <v>199</v>
      </c>
      <c r="AW271">
        <f>'Kings Tableland'!AU8</f>
        <v>209499</v>
      </c>
      <c r="AX271">
        <f>'Kings Tableland'!AV8</f>
        <v>6.9</v>
      </c>
    </row>
    <row r="272" spans="1:50">
      <c r="A272" t="str">
        <f>'Kings Tableland'!A9</f>
        <v>/Users/christophermarjo/Documents/Python/Projects/data/bushfire Raman/Kings Tableland (RHS)/KTM 1 (3).txt</v>
      </c>
      <c r="B272" t="str">
        <f t="shared" si="4"/>
        <v>Kings Tableland</v>
      </c>
      <c r="C272">
        <v>1</v>
      </c>
      <c r="D272" t="str">
        <f>'Kings Tableland'!B9</f>
        <v>13.95 counts</v>
      </c>
      <c r="E272">
        <f>'Kings Tableland'!C9</f>
        <v>0.95187900000000003</v>
      </c>
      <c r="F272">
        <f>'Kings Tableland'!D9</f>
        <v>1365</v>
      </c>
      <c r="G272">
        <f>'Kings Tableland'!E9</f>
        <v>4483</v>
      </c>
      <c r="H272">
        <f>'Kings Tableland'!F9</f>
        <v>222</v>
      </c>
      <c r="I272">
        <f>'Kings Tableland'!G9</f>
        <v>1059385</v>
      </c>
      <c r="J272">
        <f>'Kings Tableland'!H9</f>
        <v>45.1</v>
      </c>
      <c r="K272">
        <f>'Kings Tableland'!I9</f>
        <v>1592</v>
      </c>
      <c r="L272">
        <f>'Kings Tableland'!J9</f>
        <v>5545</v>
      </c>
      <c r="M272">
        <f>'Kings Tableland'!K9</f>
        <v>128</v>
      </c>
      <c r="N272">
        <f>'Kings Tableland'!L9</f>
        <v>755516</v>
      </c>
      <c r="O272">
        <f>'Kings Tableland'!M9</f>
        <v>32.1</v>
      </c>
      <c r="P272">
        <f>'Kings Tableland'!N9</f>
        <v>1025</v>
      </c>
      <c r="Q272">
        <f>'Kings Tableland'!O9</f>
        <v>241</v>
      </c>
      <c r="R272">
        <f>'Kings Tableland'!P9</f>
        <v>33</v>
      </c>
      <c r="S272">
        <f>'Kings Tableland'!Q9</f>
        <v>8466</v>
      </c>
      <c r="T272">
        <f>'Kings Tableland'!R9</f>
        <v>0.4</v>
      </c>
      <c r="U272">
        <f>'Kings Tableland'!S9</f>
        <v>1166</v>
      </c>
      <c r="V272">
        <f>'Kings Tableland'!T9</f>
        <v>665</v>
      </c>
      <c r="W272">
        <f>'Kings Tableland'!U9</f>
        <v>35</v>
      </c>
      <c r="X272">
        <f>'Kings Tableland'!V9</f>
        <v>24775</v>
      </c>
      <c r="Y272">
        <f>'Kings Tableland'!W9</f>
        <v>1.1000000000000001</v>
      </c>
      <c r="Z272">
        <f>'Kings Tableland'!X9</f>
        <v>1260</v>
      </c>
      <c r="AA272">
        <f>'Kings Tableland'!Y9</f>
        <v>1</v>
      </c>
      <c r="AB272">
        <f>'Kings Tableland'!Z9</f>
        <v>1</v>
      </c>
      <c r="AC272">
        <f>'Kings Tableland'!AA9</f>
        <v>1</v>
      </c>
      <c r="AD272">
        <f>'Kings Tableland'!AB9</f>
        <v>0</v>
      </c>
      <c r="AE272">
        <f>'Kings Tableland'!AC9</f>
        <v>1434</v>
      </c>
      <c r="AF272">
        <f>'Kings Tableland'!AD9</f>
        <v>757</v>
      </c>
      <c r="AG272">
        <f>'Kings Tableland'!AE9</f>
        <v>107</v>
      </c>
      <c r="AH272">
        <f>'Kings Tableland'!AF9</f>
        <v>86221</v>
      </c>
      <c r="AI272">
        <f>'Kings Tableland'!AG9</f>
        <v>3.7</v>
      </c>
      <c r="AJ272">
        <f>'Kings Tableland'!AH9</f>
        <v>1494</v>
      </c>
      <c r="AK272">
        <f>'Kings Tableland'!AI9</f>
        <v>389</v>
      </c>
      <c r="AL272">
        <f>'Kings Tableland'!AJ9</f>
        <v>37</v>
      </c>
      <c r="AM272">
        <f>'Kings Tableland'!AK9</f>
        <v>15321</v>
      </c>
      <c r="AN272">
        <f>'Kings Tableland'!AL9</f>
        <v>0.7</v>
      </c>
      <c r="AO272">
        <f>'Kings Tableland'!AM9</f>
        <v>1598</v>
      </c>
      <c r="AP272">
        <f>'Kings Tableland'!AN9</f>
        <v>355</v>
      </c>
      <c r="AQ272">
        <f>'Kings Tableland'!AO9</f>
        <v>11</v>
      </c>
      <c r="AR272">
        <f>'Kings Tableland'!AP9</f>
        <v>4157</v>
      </c>
      <c r="AS272">
        <f>'Kings Tableland'!AQ9</f>
        <v>0.2</v>
      </c>
      <c r="AT272">
        <f>'Kings Tableland'!AR9</f>
        <v>1748</v>
      </c>
      <c r="AU272">
        <f>'Kings Tableland'!AS9</f>
        <v>1891</v>
      </c>
      <c r="AV272">
        <f>'Kings Tableland'!AT9</f>
        <v>197</v>
      </c>
      <c r="AW272">
        <f>'Kings Tableland'!AU9</f>
        <v>396543</v>
      </c>
      <c r="AX272">
        <f>'Kings Tableland'!AV9</f>
        <v>16.899999999999999</v>
      </c>
    </row>
    <row r="273" spans="1:50">
      <c r="A273" t="str">
        <f>'Kings Tableland'!A10</f>
        <v>/Users/christophermarjo/Documents/Python/Projects/data/bushfire Raman/Kings Tableland (RHS)/KTM 1(4).txt</v>
      </c>
      <c r="B273" t="str">
        <f t="shared" si="4"/>
        <v>Kings Tableland</v>
      </c>
      <c r="C273">
        <v>1</v>
      </c>
      <c r="D273" t="str">
        <f>'Kings Tableland'!B10</f>
        <v>6.04 counts</v>
      </c>
      <c r="E273">
        <f>'Kings Tableland'!C10</f>
        <v>0.98251200000000005</v>
      </c>
      <c r="F273">
        <f>'Kings Tableland'!D10</f>
        <v>1367</v>
      </c>
      <c r="G273">
        <f>'Kings Tableland'!E10</f>
        <v>3737</v>
      </c>
      <c r="H273">
        <f>'Kings Tableland'!F10</f>
        <v>212</v>
      </c>
      <c r="I273">
        <f>'Kings Tableland'!G10</f>
        <v>843318</v>
      </c>
      <c r="J273">
        <f>'Kings Tableland'!H10</f>
        <v>60.9</v>
      </c>
      <c r="K273">
        <f>'Kings Tableland'!I10</f>
        <v>1596</v>
      </c>
      <c r="L273">
        <f>'Kings Tableland'!J10</f>
        <v>3791</v>
      </c>
      <c r="M273">
        <f>'Kings Tableland'!K10</f>
        <v>100</v>
      </c>
      <c r="N273">
        <f>'Kings Tableland'!L10</f>
        <v>403539</v>
      </c>
      <c r="O273">
        <f>'Kings Tableland'!M10</f>
        <v>29.1</v>
      </c>
      <c r="P273">
        <f>'Kings Tableland'!N10</f>
        <v>1073</v>
      </c>
      <c r="Q273">
        <f>'Kings Tableland'!O10</f>
        <v>321</v>
      </c>
      <c r="R273">
        <f>'Kings Tableland'!P10</f>
        <v>151</v>
      </c>
      <c r="S273">
        <f>'Kings Tableland'!Q10</f>
        <v>51596</v>
      </c>
      <c r="T273">
        <f>'Kings Tableland'!R10</f>
        <v>3.7</v>
      </c>
      <c r="U273">
        <f>'Kings Tableland'!S10</f>
        <v>1156</v>
      </c>
      <c r="V273">
        <f>'Kings Tableland'!T10</f>
        <v>355</v>
      </c>
      <c r="W273">
        <f>'Kings Tableland'!U10</f>
        <v>85</v>
      </c>
      <c r="X273">
        <f>'Kings Tableland'!V10</f>
        <v>32120</v>
      </c>
      <c r="Y273">
        <f>'Kings Tableland'!W10</f>
        <v>2.2999999999999998</v>
      </c>
      <c r="Z273">
        <f>'Kings Tableland'!X10</f>
        <v>1272</v>
      </c>
      <c r="AA273">
        <f>'Kings Tableland'!Y10</f>
        <v>13</v>
      </c>
      <c r="AB273">
        <f>'Kings Tableland'!Z10</f>
        <v>1</v>
      </c>
      <c r="AC273">
        <f>'Kings Tableland'!AA10</f>
        <v>14</v>
      </c>
      <c r="AD273">
        <f>'Kings Tableland'!AB10</f>
        <v>0</v>
      </c>
      <c r="AE273">
        <f>'Kings Tableland'!AC10</f>
        <v>1400</v>
      </c>
      <c r="AF273">
        <f>'Kings Tableland'!AD10</f>
        <v>1</v>
      </c>
      <c r="AG273">
        <f>'Kings Tableland'!AE10</f>
        <v>1</v>
      </c>
      <c r="AH273">
        <f>'Kings Tableland'!AF10</f>
        <v>1</v>
      </c>
      <c r="AI273">
        <f>'Kings Tableland'!AG10</f>
        <v>0</v>
      </c>
      <c r="AJ273">
        <f>'Kings Tableland'!AH10</f>
        <v>1518</v>
      </c>
      <c r="AK273">
        <f>'Kings Tableland'!AI10</f>
        <v>289</v>
      </c>
      <c r="AL273">
        <f>'Kings Tableland'!AJ10</f>
        <v>31</v>
      </c>
      <c r="AM273">
        <f>'Kings Tableland'!AK10</f>
        <v>9537</v>
      </c>
      <c r="AN273">
        <f>'Kings Tableland'!AL10</f>
        <v>0.7</v>
      </c>
      <c r="AO273">
        <f>'Kings Tableland'!AM10</f>
        <v>1598</v>
      </c>
      <c r="AP273">
        <f>'Kings Tableland'!AN10</f>
        <v>327</v>
      </c>
      <c r="AQ273">
        <f>'Kings Tableland'!AO10</f>
        <v>21</v>
      </c>
      <c r="AR273">
        <f>'Kings Tableland'!AP10</f>
        <v>7310</v>
      </c>
      <c r="AS273">
        <f>'Kings Tableland'!AQ10</f>
        <v>0.5</v>
      </c>
      <c r="AT273">
        <f>'Kings Tableland'!AR10</f>
        <v>1726</v>
      </c>
      <c r="AU273">
        <f>'Kings Tableland'!AS10</f>
        <v>395</v>
      </c>
      <c r="AV273">
        <f>'Kings Tableland'!AT10</f>
        <v>89</v>
      </c>
      <c r="AW273">
        <f>'Kings Tableland'!AU10</f>
        <v>37421</v>
      </c>
      <c r="AX273">
        <f>'Kings Tableland'!AV10</f>
        <v>2.7</v>
      </c>
    </row>
    <row r="274" spans="1:50">
      <c r="A274" t="str">
        <f>'Kings Tableland'!A11</f>
        <v>/Users/christophermarjo/Documents/Python/Projects/data/bushfire Raman/Kings Tableland (RHS)/KTM 2 (3) .txt</v>
      </c>
      <c r="B274" t="str">
        <f t="shared" si="4"/>
        <v>Kings Tableland</v>
      </c>
      <c r="C274">
        <v>2</v>
      </c>
      <c r="D274" t="str">
        <f>'Kings Tableland'!B11</f>
        <v>2.75 counts</v>
      </c>
      <c r="E274">
        <f>'Kings Tableland'!C11</f>
        <v>0.98082800000000003</v>
      </c>
      <c r="F274">
        <f>'Kings Tableland'!D11</f>
        <v>1361</v>
      </c>
      <c r="G274">
        <f>'Kings Tableland'!E11</f>
        <v>1461</v>
      </c>
      <c r="H274">
        <f>'Kings Tableland'!F11</f>
        <v>264</v>
      </c>
      <c r="I274">
        <f>'Kings Tableland'!G11</f>
        <v>410569</v>
      </c>
      <c r="J274">
        <f>'Kings Tableland'!H11</f>
        <v>65.599999999999994</v>
      </c>
      <c r="K274">
        <f>'Kings Tableland'!I11</f>
        <v>1592</v>
      </c>
      <c r="L274">
        <f>'Kings Tableland'!J11</f>
        <v>1593</v>
      </c>
      <c r="M274">
        <f>'Kings Tableland'!K11</f>
        <v>100</v>
      </c>
      <c r="N274">
        <f>'Kings Tableland'!L11</f>
        <v>169570</v>
      </c>
      <c r="O274">
        <f>'Kings Tableland'!M11</f>
        <v>27.1</v>
      </c>
      <c r="P274">
        <f>'Kings Tableland'!N11</f>
        <v>1073</v>
      </c>
      <c r="Q274">
        <f>'Kings Tableland'!O11</f>
        <v>57</v>
      </c>
      <c r="R274">
        <f>'Kings Tableland'!P11</f>
        <v>111</v>
      </c>
      <c r="S274">
        <f>'Kings Tableland'!Q11</f>
        <v>6735</v>
      </c>
      <c r="T274">
        <f>'Kings Tableland'!R11</f>
        <v>1.1000000000000001</v>
      </c>
      <c r="U274">
        <f>'Kings Tableland'!S11</f>
        <v>1156</v>
      </c>
      <c r="V274">
        <f>'Kings Tableland'!T11</f>
        <v>17</v>
      </c>
      <c r="W274">
        <f>'Kings Tableland'!U11</f>
        <v>35</v>
      </c>
      <c r="X274">
        <f>'Kings Tableland'!V11</f>
        <v>633</v>
      </c>
      <c r="Y274">
        <f>'Kings Tableland'!W11</f>
        <v>0.1</v>
      </c>
      <c r="Z274">
        <f>'Kings Tableland'!X11</f>
        <v>1298</v>
      </c>
      <c r="AA274">
        <f>'Kings Tableland'!Y11</f>
        <v>27</v>
      </c>
      <c r="AB274">
        <f>'Kings Tableland'!Z11</f>
        <v>1</v>
      </c>
      <c r="AC274">
        <f>'Kings Tableland'!AA11</f>
        <v>29</v>
      </c>
      <c r="AD274">
        <f>'Kings Tableland'!AB11</f>
        <v>0</v>
      </c>
      <c r="AE274">
        <f>'Kings Tableland'!AC11</f>
        <v>1400</v>
      </c>
      <c r="AF274">
        <f>'Kings Tableland'!AD11</f>
        <v>1</v>
      </c>
      <c r="AG274">
        <f>'Kings Tableland'!AE11</f>
        <v>1</v>
      </c>
      <c r="AH274">
        <f>'Kings Tableland'!AF11</f>
        <v>1</v>
      </c>
      <c r="AI274">
        <f>'Kings Tableland'!AG11</f>
        <v>0</v>
      </c>
      <c r="AJ274">
        <f>'Kings Tableland'!AH11</f>
        <v>1522</v>
      </c>
      <c r="AK274">
        <f>'Kings Tableland'!AI11</f>
        <v>71</v>
      </c>
      <c r="AL274">
        <f>'Kings Tableland'!AJ11</f>
        <v>23</v>
      </c>
      <c r="AM274">
        <f>'Kings Tableland'!AK11</f>
        <v>1738</v>
      </c>
      <c r="AN274">
        <f>'Kings Tableland'!AL11</f>
        <v>0.3</v>
      </c>
      <c r="AO274">
        <f>'Kings Tableland'!AM11</f>
        <v>1598</v>
      </c>
      <c r="AP274">
        <f>'Kings Tableland'!AN11</f>
        <v>313</v>
      </c>
      <c r="AQ274">
        <f>'Kings Tableland'!AO11</f>
        <v>21</v>
      </c>
      <c r="AR274">
        <f>'Kings Tableland'!AP11</f>
        <v>6997</v>
      </c>
      <c r="AS274">
        <f>'Kings Tableland'!AQ11</f>
        <v>1.1000000000000001</v>
      </c>
      <c r="AT274">
        <f>'Kings Tableland'!AR11</f>
        <v>1744</v>
      </c>
      <c r="AU274">
        <f>'Kings Tableland'!AS11</f>
        <v>141</v>
      </c>
      <c r="AV274">
        <f>'Kings Tableland'!AT11</f>
        <v>199</v>
      </c>
      <c r="AW274">
        <f>'Kings Tableland'!AU11</f>
        <v>29868</v>
      </c>
      <c r="AX274">
        <f>'Kings Tableland'!AV11</f>
        <v>4.8</v>
      </c>
    </row>
    <row r="275" spans="1:50">
      <c r="A275" t="str">
        <f>'Kings Tableland'!A12</f>
        <v>/Users/christophermarjo/Documents/Python/Projects/data/bushfire Raman/Kings Tableland (RHS)/KTM 2.5 (1) txt</v>
      </c>
      <c r="B275" t="str">
        <f t="shared" si="4"/>
        <v>Kings Tableland</v>
      </c>
      <c r="C275">
        <v>2.5</v>
      </c>
      <c r="D275" t="str">
        <f>'Kings Tableland'!B12</f>
        <v>7.27 counts</v>
      </c>
      <c r="E275">
        <f>'Kings Tableland'!C12</f>
        <v>0.98794300000000002</v>
      </c>
      <c r="F275">
        <f>'Kings Tableland'!D12</f>
        <v>1365</v>
      </c>
      <c r="G275">
        <f>'Kings Tableland'!E12</f>
        <v>4695</v>
      </c>
      <c r="H275">
        <f>'Kings Tableland'!F12</f>
        <v>270</v>
      </c>
      <c r="I275">
        <f>'Kings Tableland'!G12</f>
        <v>1349372</v>
      </c>
      <c r="J275">
        <f>'Kings Tableland'!H12</f>
        <v>63.5</v>
      </c>
      <c r="K275">
        <f>'Kings Tableland'!I12</f>
        <v>1594</v>
      </c>
      <c r="L275">
        <f>'Kings Tableland'!J12</f>
        <v>5669</v>
      </c>
      <c r="M275">
        <f>'Kings Tableland'!K12</f>
        <v>100</v>
      </c>
      <c r="N275">
        <f>'Kings Tableland'!L12</f>
        <v>603446</v>
      </c>
      <c r="O275">
        <f>'Kings Tableland'!M12</f>
        <v>28.4</v>
      </c>
      <c r="P275">
        <f>'Kings Tableland'!N12</f>
        <v>1073</v>
      </c>
      <c r="Q275">
        <f>'Kings Tableland'!O12</f>
        <v>267</v>
      </c>
      <c r="R275">
        <f>'Kings Tableland'!P12</f>
        <v>125</v>
      </c>
      <c r="S275">
        <f>'Kings Tableland'!Q12</f>
        <v>35527</v>
      </c>
      <c r="T275">
        <f>'Kings Tableland'!R12</f>
        <v>1.7</v>
      </c>
      <c r="U275">
        <f>'Kings Tableland'!S12</f>
        <v>1170</v>
      </c>
      <c r="V275">
        <f>'Kings Tableland'!T12</f>
        <v>67</v>
      </c>
      <c r="W275">
        <f>'Kings Tableland'!U12</f>
        <v>21</v>
      </c>
      <c r="X275">
        <f>'Kings Tableland'!V12</f>
        <v>1498</v>
      </c>
      <c r="Y275">
        <f>'Kings Tableland'!W12</f>
        <v>0.1</v>
      </c>
      <c r="Z275">
        <f>'Kings Tableland'!X12</f>
        <v>1260</v>
      </c>
      <c r="AA275">
        <f>'Kings Tableland'!Y12</f>
        <v>1</v>
      </c>
      <c r="AB275">
        <f>'Kings Tableland'!Z12</f>
        <v>1</v>
      </c>
      <c r="AC275">
        <f>'Kings Tableland'!AA12</f>
        <v>1</v>
      </c>
      <c r="AD275">
        <f>'Kings Tableland'!AB12</f>
        <v>0</v>
      </c>
      <c r="AE275">
        <f>'Kings Tableland'!AC12</f>
        <v>1440</v>
      </c>
      <c r="AF275">
        <f>'Kings Tableland'!AD12</f>
        <v>37</v>
      </c>
      <c r="AG275">
        <f>'Kings Tableland'!AE12</f>
        <v>167</v>
      </c>
      <c r="AH275">
        <f>'Kings Tableland'!AF12</f>
        <v>6577</v>
      </c>
      <c r="AI275">
        <f>'Kings Tableland'!AG12</f>
        <v>0.3</v>
      </c>
      <c r="AJ275">
        <f>'Kings Tableland'!AH12</f>
        <v>1528</v>
      </c>
      <c r="AK275">
        <f>'Kings Tableland'!AI12</f>
        <v>51</v>
      </c>
      <c r="AL275">
        <f>'Kings Tableland'!AJ12</f>
        <v>3</v>
      </c>
      <c r="AM275">
        <f>'Kings Tableland'!AK12</f>
        <v>163</v>
      </c>
      <c r="AN275">
        <f>'Kings Tableland'!AL12</f>
        <v>0</v>
      </c>
      <c r="AO275">
        <f>'Kings Tableland'!AM12</f>
        <v>1592</v>
      </c>
      <c r="AP275">
        <f>'Kings Tableland'!AN12</f>
        <v>187</v>
      </c>
      <c r="AQ275">
        <f>'Kings Tableland'!AO12</f>
        <v>27</v>
      </c>
      <c r="AR275">
        <f>'Kings Tableland'!AP12</f>
        <v>5374</v>
      </c>
      <c r="AS275">
        <f>'Kings Tableland'!AQ12</f>
        <v>0.3</v>
      </c>
      <c r="AT275">
        <f>'Kings Tableland'!AR12</f>
        <v>1744</v>
      </c>
      <c r="AU275">
        <f>'Kings Tableland'!AS12</f>
        <v>587</v>
      </c>
      <c r="AV275">
        <f>'Kings Tableland'!AT12</f>
        <v>199</v>
      </c>
      <c r="AW275">
        <f>'Kings Tableland'!AU12</f>
        <v>124344</v>
      </c>
      <c r="AX275">
        <f>'Kings Tableland'!AV12</f>
        <v>5.8</v>
      </c>
    </row>
    <row r="276" spans="1:50">
      <c r="A276" t="str">
        <f>'Kings Tableland'!A13</f>
        <v>/Users/christophermarjo/Documents/Python/Projects/data/bushfire Raman/Kings Tableland (RHS)/KTM 2.5 (2).txt</v>
      </c>
      <c r="B276" t="str">
        <f t="shared" si="4"/>
        <v>Kings Tableland</v>
      </c>
      <c r="C276">
        <v>2.5</v>
      </c>
      <c r="D276" t="str">
        <f>'Kings Tableland'!B13</f>
        <v>14.15 counts</v>
      </c>
      <c r="E276">
        <f>'Kings Tableland'!C13</f>
        <v>0.97363900000000003</v>
      </c>
      <c r="F276">
        <f>'Kings Tableland'!D13</f>
        <v>1361</v>
      </c>
      <c r="G276">
        <f>'Kings Tableland'!E13</f>
        <v>6293</v>
      </c>
      <c r="H276">
        <f>'Kings Tableland'!F13</f>
        <v>270</v>
      </c>
      <c r="I276">
        <f>'Kings Tableland'!G13</f>
        <v>1808647</v>
      </c>
      <c r="J276">
        <f>'Kings Tableland'!H13</f>
        <v>59</v>
      </c>
      <c r="K276">
        <f>'Kings Tableland'!I13</f>
        <v>1596</v>
      </c>
      <c r="L276">
        <f>'Kings Tableland'!J13</f>
        <v>7965</v>
      </c>
      <c r="M276">
        <f>'Kings Tableland'!K13</f>
        <v>102</v>
      </c>
      <c r="N276">
        <f>'Kings Tableland'!L13</f>
        <v>864805</v>
      </c>
      <c r="O276">
        <f>'Kings Tableland'!M13</f>
        <v>28.2</v>
      </c>
      <c r="P276">
        <f>'Kings Tableland'!N13</f>
        <v>1035</v>
      </c>
      <c r="Q276">
        <f>'Kings Tableland'!O13</f>
        <v>307</v>
      </c>
      <c r="R276">
        <f>'Kings Tableland'!P13</f>
        <v>57</v>
      </c>
      <c r="S276">
        <f>'Kings Tableland'!Q13</f>
        <v>18627</v>
      </c>
      <c r="T276">
        <f>'Kings Tableland'!R13</f>
        <v>0.6</v>
      </c>
      <c r="U276">
        <f>'Kings Tableland'!S13</f>
        <v>1160</v>
      </c>
      <c r="V276">
        <f>'Kings Tableland'!T13</f>
        <v>327</v>
      </c>
      <c r="W276">
        <f>'Kings Tableland'!U13</f>
        <v>1</v>
      </c>
      <c r="X276">
        <f>'Kings Tableland'!V13</f>
        <v>348</v>
      </c>
      <c r="Y276">
        <f>'Kings Tableland'!W13</f>
        <v>0</v>
      </c>
      <c r="Z276">
        <f>'Kings Tableland'!X13</f>
        <v>1260</v>
      </c>
      <c r="AA276">
        <f>'Kings Tableland'!Y13</f>
        <v>1</v>
      </c>
      <c r="AB276">
        <f>'Kings Tableland'!Z13</f>
        <v>1</v>
      </c>
      <c r="AC276">
        <f>'Kings Tableland'!AA13</f>
        <v>1</v>
      </c>
      <c r="AD276">
        <f>'Kings Tableland'!AB13</f>
        <v>0</v>
      </c>
      <c r="AE276">
        <f>'Kings Tableland'!AC13</f>
        <v>1434</v>
      </c>
      <c r="AF276">
        <f>'Kings Tableland'!AD13</f>
        <v>31</v>
      </c>
      <c r="AG276">
        <f>'Kings Tableland'!AE13</f>
        <v>153</v>
      </c>
      <c r="AH276">
        <f>'Kings Tableland'!AF13</f>
        <v>5049</v>
      </c>
      <c r="AI276">
        <f>'Kings Tableland'!AG13</f>
        <v>0.2</v>
      </c>
      <c r="AJ276">
        <f>'Kings Tableland'!AH13</f>
        <v>1528</v>
      </c>
      <c r="AK276">
        <f>'Kings Tableland'!AI13</f>
        <v>207</v>
      </c>
      <c r="AL276">
        <f>'Kings Tableland'!AJ13</f>
        <v>189</v>
      </c>
      <c r="AM276">
        <f>'Kings Tableland'!AK13</f>
        <v>41645</v>
      </c>
      <c r="AN276">
        <f>'Kings Tableland'!AL13</f>
        <v>1.4</v>
      </c>
      <c r="AO276">
        <f>'Kings Tableland'!AM13</f>
        <v>1590</v>
      </c>
      <c r="AP276">
        <f>'Kings Tableland'!AN13</f>
        <v>125</v>
      </c>
      <c r="AQ276">
        <f>'Kings Tableland'!AO13</f>
        <v>1</v>
      </c>
      <c r="AR276">
        <f>'Kings Tableland'!AP13</f>
        <v>133</v>
      </c>
      <c r="AS276">
        <f>'Kings Tableland'!AQ13</f>
        <v>0</v>
      </c>
      <c r="AT276">
        <f>'Kings Tableland'!AR13</f>
        <v>1748</v>
      </c>
      <c r="AU276">
        <f>'Kings Tableland'!AS13</f>
        <v>1537</v>
      </c>
      <c r="AV276">
        <f>'Kings Tableland'!AT13</f>
        <v>199</v>
      </c>
      <c r="AW276">
        <f>'Kings Tableland'!AU13</f>
        <v>325581</v>
      </c>
      <c r="AX276">
        <f>'Kings Tableland'!AV13</f>
        <v>10.6</v>
      </c>
    </row>
    <row r="277" spans="1:50">
      <c r="A277" t="str">
        <f>'Kings Tableland'!A14</f>
        <v>/Users/christophermarjo/Documents/Python/Projects/data/bushfire Raman/Kings Tableland (RHS)/KTM 2.5 (3) .txt</v>
      </c>
      <c r="B277" t="str">
        <f t="shared" si="4"/>
        <v>Kings Tableland</v>
      </c>
      <c r="C277">
        <v>2.5</v>
      </c>
      <c r="D277" t="str">
        <f>'Kings Tableland'!B14</f>
        <v>14.78 counts</v>
      </c>
      <c r="E277">
        <f>'Kings Tableland'!C14</f>
        <v>0.88190800000000003</v>
      </c>
      <c r="F277">
        <f>'Kings Tableland'!D14</f>
        <v>1361</v>
      </c>
      <c r="G277">
        <f>'Kings Tableland'!E14</f>
        <v>2947</v>
      </c>
      <c r="H277">
        <f>'Kings Tableland'!F14</f>
        <v>254</v>
      </c>
      <c r="I277">
        <f>'Kings Tableland'!G14</f>
        <v>796794</v>
      </c>
      <c r="J277">
        <f>'Kings Tableland'!H14</f>
        <v>62.4</v>
      </c>
      <c r="K277">
        <f>'Kings Tableland'!I14</f>
        <v>1594</v>
      </c>
      <c r="L277">
        <f>'Kings Tableland'!J14</f>
        <v>3701</v>
      </c>
      <c r="M277">
        <f>'Kings Tableland'!K14</f>
        <v>100</v>
      </c>
      <c r="N277">
        <f>'Kings Tableland'!L14</f>
        <v>393959</v>
      </c>
      <c r="O277">
        <f>'Kings Tableland'!M14</f>
        <v>30.8</v>
      </c>
      <c r="P277">
        <f>'Kings Tableland'!N14</f>
        <v>1073</v>
      </c>
      <c r="Q277">
        <f>'Kings Tableland'!O14</f>
        <v>123</v>
      </c>
      <c r="R277">
        <f>'Kings Tableland'!P14</f>
        <v>111</v>
      </c>
      <c r="S277">
        <f>'Kings Tableland'!Q14</f>
        <v>14533</v>
      </c>
      <c r="T277">
        <f>'Kings Tableland'!R14</f>
        <v>1.1000000000000001</v>
      </c>
      <c r="U277">
        <f>'Kings Tableland'!S14</f>
        <v>1150</v>
      </c>
      <c r="V277">
        <f>'Kings Tableland'!T14</f>
        <v>111</v>
      </c>
      <c r="W277">
        <f>'Kings Tableland'!U14</f>
        <v>35</v>
      </c>
      <c r="X277">
        <f>'Kings Tableland'!V14</f>
        <v>4135</v>
      </c>
      <c r="Y277">
        <f>'Kings Tableland'!W14</f>
        <v>0.3</v>
      </c>
      <c r="Z277">
        <f>'Kings Tableland'!X14</f>
        <v>1260</v>
      </c>
      <c r="AA277">
        <f>'Kings Tableland'!Y14</f>
        <v>1</v>
      </c>
      <c r="AB277">
        <f>'Kings Tableland'!Z14</f>
        <v>1</v>
      </c>
      <c r="AC277">
        <f>'Kings Tableland'!AA14</f>
        <v>1</v>
      </c>
      <c r="AD277">
        <f>'Kings Tableland'!AB14</f>
        <v>0</v>
      </c>
      <c r="AE277">
        <f>'Kings Tableland'!AC14</f>
        <v>1402</v>
      </c>
      <c r="AF277">
        <f>'Kings Tableland'!AD14</f>
        <v>79</v>
      </c>
      <c r="AG277">
        <f>'Kings Tableland'!AE14</f>
        <v>105</v>
      </c>
      <c r="AH277">
        <f>'Kings Tableland'!AF14</f>
        <v>8830</v>
      </c>
      <c r="AI277">
        <f>'Kings Tableland'!AG14</f>
        <v>0.7</v>
      </c>
      <c r="AJ277">
        <f>'Kings Tableland'!AH14</f>
        <v>1528</v>
      </c>
      <c r="AK277">
        <f>'Kings Tableland'!AI14</f>
        <v>93</v>
      </c>
      <c r="AL277">
        <f>'Kings Tableland'!AJ14</f>
        <v>3</v>
      </c>
      <c r="AM277">
        <f>'Kings Tableland'!AK14</f>
        <v>297</v>
      </c>
      <c r="AN277">
        <f>'Kings Tableland'!AL14</f>
        <v>0</v>
      </c>
      <c r="AO277">
        <f>'Kings Tableland'!AM14</f>
        <v>1586</v>
      </c>
      <c r="AP277">
        <f>'Kings Tableland'!AN14</f>
        <v>171</v>
      </c>
      <c r="AQ277">
        <f>'Kings Tableland'!AO14</f>
        <v>3</v>
      </c>
      <c r="AR277">
        <f>'Kings Tableland'!AP14</f>
        <v>546</v>
      </c>
      <c r="AS277">
        <f>'Kings Tableland'!AQ14</f>
        <v>0</v>
      </c>
      <c r="AT277">
        <f>'Kings Tableland'!AR14</f>
        <v>1736</v>
      </c>
      <c r="AU277">
        <f>'Kings Tableland'!AS14</f>
        <v>315</v>
      </c>
      <c r="AV277">
        <f>'Kings Tableland'!AT14</f>
        <v>173</v>
      </c>
      <c r="AW277">
        <f>'Kings Tableland'!AU14</f>
        <v>58008</v>
      </c>
      <c r="AX277">
        <f>'Kings Tableland'!AV14</f>
        <v>4.5</v>
      </c>
    </row>
    <row r="278" spans="1:50">
      <c r="A278" t="str">
        <f>'Kings Tableland'!A15</f>
        <v>/Users/christophermarjo/Documents/Python/Projects/data/bushfire Raman/Kings Tableland (RHS)/KTM 3 (1) .txt</v>
      </c>
      <c r="B278" t="str">
        <f t="shared" si="4"/>
        <v>Kings Tableland</v>
      </c>
      <c r="C278">
        <v>3</v>
      </c>
      <c r="D278" t="str">
        <f>'Kings Tableland'!B15</f>
        <v>8.05 counts</v>
      </c>
      <c r="E278">
        <f>'Kings Tableland'!C15</f>
        <v>0.31500299999999998</v>
      </c>
      <c r="F278">
        <f>'Kings Tableland'!D15</f>
        <v>1351</v>
      </c>
      <c r="G278">
        <f>'Kings Tableland'!E15</f>
        <v>1</v>
      </c>
      <c r="H278">
        <f>'Kings Tableland'!F15</f>
        <v>100</v>
      </c>
      <c r="I278">
        <f>'Kings Tableland'!G15</f>
        <v>106</v>
      </c>
      <c r="J278">
        <f>'Kings Tableland'!H15</f>
        <v>1</v>
      </c>
      <c r="K278">
        <f>'Kings Tableland'!I15</f>
        <v>1584</v>
      </c>
      <c r="L278">
        <f>'Kings Tableland'!J15</f>
        <v>1</v>
      </c>
      <c r="M278">
        <f>'Kings Tableland'!K15</f>
        <v>100</v>
      </c>
      <c r="N278">
        <f>'Kings Tableland'!L15</f>
        <v>106</v>
      </c>
      <c r="O278">
        <f>'Kings Tableland'!M15</f>
        <v>1</v>
      </c>
      <c r="P278">
        <f>'Kings Tableland'!N15</f>
        <v>1041</v>
      </c>
      <c r="Q278">
        <f>'Kings Tableland'!O15</f>
        <v>45</v>
      </c>
      <c r="R278">
        <f>'Kings Tableland'!P15</f>
        <v>1</v>
      </c>
      <c r="S278">
        <f>'Kings Tableland'!Q15</f>
        <v>48</v>
      </c>
      <c r="T278">
        <f>'Kings Tableland'!R15</f>
        <v>0.4</v>
      </c>
      <c r="U278">
        <f>'Kings Tableland'!S15</f>
        <v>1178</v>
      </c>
      <c r="V278">
        <f>'Kings Tableland'!T15</f>
        <v>3347</v>
      </c>
      <c r="W278">
        <f>'Kings Tableland'!U15</f>
        <v>3</v>
      </c>
      <c r="X278">
        <f>'Kings Tableland'!V15</f>
        <v>10688</v>
      </c>
      <c r="Y278">
        <f>'Kings Tableland'!W15</f>
        <v>96.7</v>
      </c>
      <c r="Z278">
        <f>'Kings Tableland'!X15</f>
        <v>1290</v>
      </c>
      <c r="AA278">
        <f>'Kings Tableland'!Y15</f>
        <v>17</v>
      </c>
      <c r="AB278">
        <f>'Kings Tableland'!Z15</f>
        <v>1</v>
      </c>
      <c r="AC278">
        <f>'Kings Tableland'!AA15</f>
        <v>18</v>
      </c>
      <c r="AD278">
        <f>'Kings Tableland'!AB15</f>
        <v>0.2</v>
      </c>
      <c r="AE278">
        <f>'Kings Tableland'!AC15</f>
        <v>1430</v>
      </c>
      <c r="AF278">
        <f>'Kings Tableland'!AD15</f>
        <v>15</v>
      </c>
      <c r="AG278">
        <f>'Kings Tableland'!AE15</f>
        <v>1</v>
      </c>
      <c r="AH278">
        <f>'Kings Tableland'!AF15</f>
        <v>16</v>
      </c>
      <c r="AI278">
        <f>'Kings Tableland'!AG15</f>
        <v>0.1</v>
      </c>
      <c r="AJ278">
        <f>'Kings Tableland'!AH15</f>
        <v>1486</v>
      </c>
      <c r="AK278">
        <f>'Kings Tableland'!AI15</f>
        <v>59</v>
      </c>
      <c r="AL278">
        <f>'Kings Tableland'!AJ15</f>
        <v>1</v>
      </c>
      <c r="AM278">
        <f>'Kings Tableland'!AK15</f>
        <v>63</v>
      </c>
      <c r="AN278">
        <f>'Kings Tableland'!AL15</f>
        <v>0.6</v>
      </c>
      <c r="AO278">
        <f>'Kings Tableland'!AM15</f>
        <v>1572</v>
      </c>
      <c r="AP278">
        <f>'Kings Tableland'!AN15</f>
        <v>1</v>
      </c>
      <c r="AQ278">
        <f>'Kings Tableland'!AO15</f>
        <v>1</v>
      </c>
      <c r="AR278">
        <f>'Kings Tableland'!AP15</f>
        <v>1</v>
      </c>
      <c r="AS278">
        <f>'Kings Tableland'!AQ15</f>
        <v>0</v>
      </c>
      <c r="AT278">
        <f>'Kings Tableland'!AR15</f>
        <v>1722</v>
      </c>
      <c r="AU278">
        <f>'Kings Tableland'!AS15</f>
        <v>3</v>
      </c>
      <c r="AV278">
        <f>'Kings Tableland'!AT15</f>
        <v>1</v>
      </c>
      <c r="AW278">
        <f>'Kings Tableland'!AU15</f>
        <v>3</v>
      </c>
      <c r="AX278">
        <f>'Kings Tableland'!AV15</f>
        <v>0</v>
      </c>
    </row>
    <row r="279" spans="1:50">
      <c r="A279" t="str">
        <f>'Kings Tableland'!A16</f>
        <v>/Users/christophermarjo/Documents/Python/Projects/data/bushfire Raman/Kings Tableland (RHS)/KTM 3 (1).txt</v>
      </c>
      <c r="B279" t="str">
        <f t="shared" si="4"/>
        <v>Kings Tableland</v>
      </c>
      <c r="C279">
        <v>3</v>
      </c>
      <c r="D279" t="str">
        <f>'Kings Tableland'!B16</f>
        <v>1.41 counts</v>
      </c>
      <c r="E279">
        <f>'Kings Tableland'!C16</f>
        <v>0.94632000000000005</v>
      </c>
      <c r="F279">
        <f>'Kings Tableland'!D16</f>
        <v>1365</v>
      </c>
      <c r="G279">
        <f>'Kings Tableland'!E16</f>
        <v>397</v>
      </c>
      <c r="H279">
        <f>'Kings Tableland'!F16</f>
        <v>262</v>
      </c>
      <c r="I279">
        <f>'Kings Tableland'!G16</f>
        <v>110719</v>
      </c>
      <c r="J279">
        <f>'Kings Tableland'!H16</f>
        <v>62.9</v>
      </c>
      <c r="K279">
        <f>'Kings Tableland'!I16</f>
        <v>1596</v>
      </c>
      <c r="L279">
        <f>'Kings Tableland'!J16</f>
        <v>531</v>
      </c>
      <c r="M279">
        <f>'Kings Tableland'!K16</f>
        <v>100</v>
      </c>
      <c r="N279">
        <f>'Kings Tableland'!L16</f>
        <v>56523</v>
      </c>
      <c r="O279">
        <f>'Kings Tableland'!M16</f>
        <v>32.1</v>
      </c>
      <c r="P279">
        <f>'Kings Tableland'!N16</f>
        <v>1019</v>
      </c>
      <c r="Q279">
        <f>'Kings Tableland'!O16</f>
        <v>33</v>
      </c>
      <c r="R279">
        <f>'Kings Tableland'!P16</f>
        <v>51</v>
      </c>
      <c r="S279">
        <f>'Kings Tableland'!Q16</f>
        <v>1791</v>
      </c>
      <c r="T279">
        <f>'Kings Tableland'!R16</f>
        <v>1</v>
      </c>
      <c r="U279">
        <f>'Kings Tableland'!S16</f>
        <v>1156</v>
      </c>
      <c r="V279">
        <f>'Kings Tableland'!T16</f>
        <v>19</v>
      </c>
      <c r="W279">
        <f>'Kings Tableland'!U16</f>
        <v>79</v>
      </c>
      <c r="X279">
        <f>'Kings Tableland'!V16</f>
        <v>1598</v>
      </c>
      <c r="Y279">
        <f>'Kings Tableland'!W16</f>
        <v>0.9</v>
      </c>
      <c r="Z279">
        <f>'Kings Tableland'!X16</f>
        <v>1276</v>
      </c>
      <c r="AA279">
        <f>'Kings Tableland'!Y16</f>
        <v>21</v>
      </c>
      <c r="AB279">
        <f>'Kings Tableland'!Z16</f>
        <v>1</v>
      </c>
      <c r="AC279">
        <f>'Kings Tableland'!AA16</f>
        <v>22</v>
      </c>
      <c r="AD279">
        <f>'Kings Tableland'!AB16</f>
        <v>0</v>
      </c>
      <c r="AE279">
        <f>'Kings Tableland'!AC16</f>
        <v>1434</v>
      </c>
      <c r="AF279">
        <f>'Kings Tableland'!AD16</f>
        <v>37</v>
      </c>
      <c r="AG279">
        <f>'Kings Tableland'!AE16</f>
        <v>3</v>
      </c>
      <c r="AH279">
        <f>'Kings Tableland'!AF16</f>
        <v>118</v>
      </c>
      <c r="AI279">
        <f>'Kings Tableland'!AG16</f>
        <v>0.1</v>
      </c>
      <c r="AJ279">
        <f>'Kings Tableland'!AH16</f>
        <v>1534</v>
      </c>
      <c r="AK279">
        <f>'Kings Tableland'!AI16</f>
        <v>55</v>
      </c>
      <c r="AL279">
        <f>'Kings Tableland'!AJ16</f>
        <v>3</v>
      </c>
      <c r="AM279">
        <f>'Kings Tableland'!AK16</f>
        <v>176</v>
      </c>
      <c r="AN279">
        <f>'Kings Tableland'!AL16</f>
        <v>0.1</v>
      </c>
      <c r="AO279">
        <f>'Kings Tableland'!AM16</f>
        <v>1592</v>
      </c>
      <c r="AP279">
        <f>'Kings Tableland'!AN16</f>
        <v>99</v>
      </c>
      <c r="AQ279">
        <f>'Kings Tableland'!AO16</f>
        <v>7</v>
      </c>
      <c r="AR279">
        <f>'Kings Tableland'!AP16</f>
        <v>738</v>
      </c>
      <c r="AS279">
        <f>'Kings Tableland'!AQ16</f>
        <v>0.4</v>
      </c>
      <c r="AT279">
        <f>'Kings Tableland'!AR16</f>
        <v>1728</v>
      </c>
      <c r="AU279">
        <f>'Kings Tableland'!AS16</f>
        <v>43</v>
      </c>
      <c r="AV279">
        <f>'Kings Tableland'!AT16</f>
        <v>97</v>
      </c>
      <c r="AW279">
        <f>'Kings Tableland'!AU16</f>
        <v>4440</v>
      </c>
      <c r="AX279">
        <f>'Kings Tableland'!AV16</f>
        <v>2.5</v>
      </c>
    </row>
    <row r="280" spans="1:50">
      <c r="A280" t="str">
        <f>'Kings Tableland'!A17</f>
        <v>/Users/christophermarjo/Documents/Python/Projects/data/bushfire Raman/Kings Tableland (RHS)/KTM 3 (2).txt</v>
      </c>
      <c r="B280" t="str">
        <f t="shared" si="4"/>
        <v>Kings Tableland</v>
      </c>
      <c r="C280">
        <v>3</v>
      </c>
      <c r="D280" t="str">
        <f>'Kings Tableland'!B17</f>
        <v>6.45 counts</v>
      </c>
      <c r="E280">
        <f>'Kings Tableland'!C17</f>
        <v>0.97848000000000002</v>
      </c>
      <c r="F280">
        <f>'Kings Tableland'!D17</f>
        <v>1369</v>
      </c>
      <c r="G280">
        <f>'Kings Tableland'!E17</f>
        <v>3111</v>
      </c>
      <c r="H280">
        <f>'Kings Tableland'!F17</f>
        <v>320</v>
      </c>
      <c r="I280">
        <f>'Kings Tableland'!G17</f>
        <v>1059698</v>
      </c>
      <c r="J280">
        <f>'Kings Tableland'!H17</f>
        <v>70.599999999999994</v>
      </c>
      <c r="K280">
        <f>'Kings Tableland'!I17</f>
        <v>1594</v>
      </c>
      <c r="L280">
        <f>'Kings Tableland'!J17</f>
        <v>3041</v>
      </c>
      <c r="M280">
        <f>'Kings Tableland'!K17</f>
        <v>100</v>
      </c>
      <c r="N280">
        <f>'Kings Tableland'!L17</f>
        <v>323704</v>
      </c>
      <c r="O280">
        <f>'Kings Tableland'!M17</f>
        <v>21.6</v>
      </c>
      <c r="P280">
        <f>'Kings Tableland'!N17</f>
        <v>1047</v>
      </c>
      <c r="Q280">
        <f>'Kings Tableland'!O17</f>
        <v>235</v>
      </c>
      <c r="R280">
        <f>'Kings Tableland'!P17</f>
        <v>109</v>
      </c>
      <c r="S280">
        <f>'Kings Tableland'!Q17</f>
        <v>27266</v>
      </c>
      <c r="T280">
        <f>'Kings Tableland'!R17</f>
        <v>1.8</v>
      </c>
      <c r="U280">
        <f>'Kings Tableland'!S17</f>
        <v>1154</v>
      </c>
      <c r="V280">
        <f>'Kings Tableland'!T17</f>
        <v>1</v>
      </c>
      <c r="W280">
        <f>'Kings Tableland'!U17</f>
        <v>1</v>
      </c>
      <c r="X280">
        <f>'Kings Tableland'!V17</f>
        <v>1</v>
      </c>
      <c r="Y280">
        <f>'Kings Tableland'!W17</f>
        <v>0</v>
      </c>
      <c r="Z280">
        <f>'Kings Tableland'!X17</f>
        <v>1296</v>
      </c>
      <c r="AA280">
        <f>'Kings Tableland'!Y17</f>
        <v>59</v>
      </c>
      <c r="AB280">
        <f>'Kings Tableland'!Z17</f>
        <v>1</v>
      </c>
      <c r="AC280">
        <f>'Kings Tableland'!AA17</f>
        <v>63</v>
      </c>
      <c r="AD280">
        <f>'Kings Tableland'!AB17</f>
        <v>0</v>
      </c>
      <c r="AE280">
        <f>'Kings Tableland'!AC17</f>
        <v>1402</v>
      </c>
      <c r="AF280">
        <f>'Kings Tableland'!AD17</f>
        <v>91</v>
      </c>
      <c r="AG280">
        <f>'Kings Tableland'!AE17</f>
        <v>127</v>
      </c>
      <c r="AH280">
        <f>'Kings Tableland'!AF17</f>
        <v>12302</v>
      </c>
      <c r="AI280">
        <f>'Kings Tableland'!AG17</f>
        <v>0.8</v>
      </c>
      <c r="AJ280">
        <f>'Kings Tableland'!AH17</f>
        <v>1500</v>
      </c>
      <c r="AK280">
        <f>'Kings Tableland'!AI17</f>
        <v>111</v>
      </c>
      <c r="AL280">
        <f>'Kings Tableland'!AJ17</f>
        <v>3</v>
      </c>
      <c r="AM280">
        <f>'Kings Tableland'!AK17</f>
        <v>354</v>
      </c>
      <c r="AN280">
        <f>'Kings Tableland'!AL17</f>
        <v>0</v>
      </c>
      <c r="AO280">
        <f>'Kings Tableland'!AM17</f>
        <v>1592</v>
      </c>
      <c r="AP280">
        <f>'Kings Tableland'!AN17</f>
        <v>299</v>
      </c>
      <c r="AQ280">
        <f>'Kings Tableland'!AO17</f>
        <v>27</v>
      </c>
      <c r="AR280">
        <f>'Kings Tableland'!AP17</f>
        <v>8593</v>
      </c>
      <c r="AS280">
        <f>'Kings Tableland'!AQ17</f>
        <v>0.6</v>
      </c>
      <c r="AT280">
        <f>'Kings Tableland'!AR17</f>
        <v>1748</v>
      </c>
      <c r="AU280">
        <f>'Kings Tableland'!AS17</f>
        <v>383</v>
      </c>
      <c r="AV280">
        <f>'Kings Tableland'!AT17</f>
        <v>171</v>
      </c>
      <c r="AW280">
        <f>'Kings Tableland'!AU17</f>
        <v>69715</v>
      </c>
      <c r="AX280">
        <f>'Kings Tableland'!AV17</f>
        <v>4.5999999999999996</v>
      </c>
    </row>
    <row r="281" spans="1:50">
      <c r="A281" t="str">
        <f>'Kings Tableland'!A18</f>
        <v>/Users/christophermarjo/Documents/Python/Projects/data/bushfire Raman/Kings Tableland (RHS)/KTM 3(3).txt</v>
      </c>
      <c r="B281" t="str">
        <f t="shared" si="4"/>
        <v>Kings Tableland</v>
      </c>
      <c r="C281">
        <v>3</v>
      </c>
      <c r="D281" t="str">
        <f>'Kings Tableland'!B18</f>
        <v>7.68 counts</v>
      </c>
      <c r="E281">
        <f>'Kings Tableland'!C18</f>
        <v>0.975858</v>
      </c>
      <c r="F281">
        <f>'Kings Tableland'!D18</f>
        <v>1369</v>
      </c>
      <c r="G281">
        <f>'Kings Tableland'!E18</f>
        <v>3565</v>
      </c>
      <c r="H281">
        <f>'Kings Tableland'!F18</f>
        <v>338</v>
      </c>
      <c r="I281">
        <f>'Kings Tableland'!G18</f>
        <v>1282651</v>
      </c>
      <c r="J281">
        <f>'Kings Tableland'!H18</f>
        <v>74.400000000000006</v>
      </c>
      <c r="K281">
        <f>'Kings Tableland'!I18</f>
        <v>1592</v>
      </c>
      <c r="L281">
        <f>'Kings Tableland'!J18</f>
        <v>3201</v>
      </c>
      <c r="M281">
        <f>'Kings Tableland'!K18</f>
        <v>100</v>
      </c>
      <c r="N281">
        <f>'Kings Tableland'!L18</f>
        <v>340736</v>
      </c>
      <c r="O281">
        <f>'Kings Tableland'!M18</f>
        <v>19.8</v>
      </c>
      <c r="P281">
        <f>'Kings Tableland'!N18</f>
        <v>1023</v>
      </c>
      <c r="Q281">
        <f>'Kings Tableland'!O18</f>
        <v>149</v>
      </c>
      <c r="R281">
        <f>'Kings Tableland'!P18</f>
        <v>93</v>
      </c>
      <c r="S281">
        <f>'Kings Tableland'!Q18</f>
        <v>14750</v>
      </c>
      <c r="T281">
        <f>'Kings Tableland'!R18</f>
        <v>0.9</v>
      </c>
      <c r="U281">
        <f>'Kings Tableland'!S18</f>
        <v>1154</v>
      </c>
      <c r="V281">
        <f>'Kings Tableland'!T18</f>
        <v>1</v>
      </c>
      <c r="W281">
        <f>'Kings Tableland'!U18</f>
        <v>1</v>
      </c>
      <c r="X281">
        <f>'Kings Tableland'!V18</f>
        <v>1</v>
      </c>
      <c r="Y281">
        <f>'Kings Tableland'!W18</f>
        <v>0</v>
      </c>
      <c r="Z281">
        <f>'Kings Tableland'!X18</f>
        <v>1270</v>
      </c>
      <c r="AA281">
        <f>'Kings Tableland'!Y18</f>
        <v>1</v>
      </c>
      <c r="AB281">
        <f>'Kings Tableland'!Z18</f>
        <v>1</v>
      </c>
      <c r="AC281">
        <f>'Kings Tableland'!AA18</f>
        <v>1</v>
      </c>
      <c r="AD281">
        <f>'Kings Tableland'!AB18</f>
        <v>0</v>
      </c>
      <c r="AE281">
        <f>'Kings Tableland'!AC18</f>
        <v>1402</v>
      </c>
      <c r="AF281">
        <f>'Kings Tableland'!AD18</f>
        <v>3</v>
      </c>
      <c r="AG281">
        <f>'Kings Tableland'!AE18</f>
        <v>1</v>
      </c>
      <c r="AH281">
        <f>'Kings Tableland'!AF18</f>
        <v>3</v>
      </c>
      <c r="AI281">
        <f>'Kings Tableland'!AG18</f>
        <v>0</v>
      </c>
      <c r="AJ281">
        <f>'Kings Tableland'!AH18</f>
        <v>1500</v>
      </c>
      <c r="AK281">
        <f>'Kings Tableland'!AI18</f>
        <v>7</v>
      </c>
      <c r="AL281">
        <f>'Kings Tableland'!AJ18</f>
        <v>1</v>
      </c>
      <c r="AM281">
        <f>'Kings Tableland'!AK18</f>
        <v>7</v>
      </c>
      <c r="AN281">
        <f>'Kings Tableland'!AL18</f>
        <v>0</v>
      </c>
      <c r="AO281">
        <f>'Kings Tableland'!AM18</f>
        <v>1592</v>
      </c>
      <c r="AP281">
        <f>'Kings Tableland'!AN18</f>
        <v>295</v>
      </c>
      <c r="AQ281">
        <f>'Kings Tableland'!AO18</f>
        <v>27</v>
      </c>
      <c r="AR281">
        <f>'Kings Tableland'!AP18</f>
        <v>8478</v>
      </c>
      <c r="AS281">
        <f>'Kings Tableland'!AQ18</f>
        <v>0.5</v>
      </c>
      <c r="AT281">
        <f>'Kings Tableland'!AR18</f>
        <v>1748</v>
      </c>
      <c r="AU281">
        <f>'Kings Tableland'!AS18</f>
        <v>365</v>
      </c>
      <c r="AV281">
        <f>'Kings Tableland'!AT18</f>
        <v>199</v>
      </c>
      <c r="AW281">
        <f>'Kings Tableland'!AU18</f>
        <v>77318</v>
      </c>
      <c r="AX281">
        <f>'Kings Tableland'!AV18</f>
        <v>4.5</v>
      </c>
    </row>
    <row r="282" spans="1:50">
      <c r="A282" t="str">
        <f>'Kings Tableland'!A19</f>
        <v>/Users/christophermarjo/Documents/Python/Projects/data/bushfire Raman/Kings Tableland (RHS)/KTM 4 (1).txt</v>
      </c>
      <c r="B282" t="str">
        <f t="shared" si="4"/>
        <v>Kings Tableland</v>
      </c>
      <c r="C282">
        <v>4</v>
      </c>
      <c r="D282" t="str">
        <f>'Kings Tableland'!B19</f>
        <v>32.57 counts</v>
      </c>
      <c r="E282">
        <f>'Kings Tableland'!C19</f>
        <v>0.98255199999999998</v>
      </c>
      <c r="F282">
        <f>'Kings Tableland'!D19</f>
        <v>1369</v>
      </c>
      <c r="G282">
        <f>'Kings Tableland'!E19</f>
        <v>16497</v>
      </c>
      <c r="H282">
        <f>'Kings Tableland'!F19</f>
        <v>332</v>
      </c>
      <c r="I282">
        <f>'Kings Tableland'!G19</f>
        <v>5830090</v>
      </c>
      <c r="J282">
        <f>'Kings Tableland'!H19</f>
        <v>69.400000000000006</v>
      </c>
      <c r="K282">
        <f>'Kings Tableland'!I19</f>
        <v>1590</v>
      </c>
      <c r="L282">
        <f>'Kings Tableland'!J19</f>
        <v>19081</v>
      </c>
      <c r="M282">
        <f>'Kings Tableland'!K19</f>
        <v>102</v>
      </c>
      <c r="N282">
        <f>'Kings Tableland'!L19</f>
        <v>2071732</v>
      </c>
      <c r="O282">
        <f>'Kings Tableland'!M19</f>
        <v>24.7</v>
      </c>
      <c r="P282">
        <f>'Kings Tableland'!N19</f>
        <v>1027</v>
      </c>
      <c r="Q282">
        <f>'Kings Tableland'!O19</f>
        <v>673</v>
      </c>
      <c r="R282">
        <f>'Kings Tableland'!P19</f>
        <v>65</v>
      </c>
      <c r="S282">
        <f>'Kings Tableland'!Q19</f>
        <v>46565</v>
      </c>
      <c r="T282">
        <f>'Kings Tableland'!R19</f>
        <v>0.6</v>
      </c>
      <c r="U282">
        <f>'Kings Tableland'!S19</f>
        <v>1154</v>
      </c>
      <c r="V282">
        <f>'Kings Tableland'!T19</f>
        <v>1</v>
      </c>
      <c r="W282">
        <f>'Kings Tableland'!U19</f>
        <v>1</v>
      </c>
      <c r="X282">
        <f>'Kings Tableland'!V19</f>
        <v>1</v>
      </c>
      <c r="Y282">
        <f>'Kings Tableland'!W19</f>
        <v>0</v>
      </c>
      <c r="Z282">
        <f>'Kings Tableland'!X19</f>
        <v>1270</v>
      </c>
      <c r="AA282">
        <f>'Kings Tableland'!Y19</f>
        <v>1</v>
      </c>
      <c r="AB282">
        <f>'Kings Tableland'!Z19</f>
        <v>1</v>
      </c>
      <c r="AC282">
        <f>'Kings Tableland'!AA19</f>
        <v>1</v>
      </c>
      <c r="AD282">
        <f>'Kings Tableland'!AB19</f>
        <v>0</v>
      </c>
      <c r="AE282">
        <f>'Kings Tableland'!AC19</f>
        <v>1456</v>
      </c>
      <c r="AF282">
        <f>'Kings Tableland'!AD19</f>
        <v>403</v>
      </c>
      <c r="AG282">
        <f>'Kings Tableland'!AE19</f>
        <v>127</v>
      </c>
      <c r="AH282">
        <f>'Kings Tableland'!AF19</f>
        <v>54480</v>
      </c>
      <c r="AI282">
        <f>'Kings Tableland'!AG19</f>
        <v>0.6</v>
      </c>
      <c r="AJ282">
        <f>'Kings Tableland'!AH19</f>
        <v>1500</v>
      </c>
      <c r="AK282">
        <f>'Kings Tableland'!AI19</f>
        <v>705</v>
      </c>
      <c r="AL282">
        <f>'Kings Tableland'!AJ19</f>
        <v>35</v>
      </c>
      <c r="AM282">
        <f>'Kings Tableland'!AK19</f>
        <v>26266</v>
      </c>
      <c r="AN282">
        <f>'Kings Tableland'!AL19</f>
        <v>0.3</v>
      </c>
      <c r="AO282">
        <f>'Kings Tableland'!AM19</f>
        <v>1598</v>
      </c>
      <c r="AP282">
        <f>'Kings Tableland'!AN19</f>
        <v>1019</v>
      </c>
      <c r="AQ282">
        <f>'Kings Tableland'!AO19</f>
        <v>27</v>
      </c>
      <c r="AR282">
        <f>'Kings Tableland'!AP19</f>
        <v>29287</v>
      </c>
      <c r="AS282">
        <f>'Kings Tableland'!AQ19</f>
        <v>0.3</v>
      </c>
      <c r="AT282">
        <f>'Kings Tableland'!AR19</f>
        <v>1740</v>
      </c>
      <c r="AU282">
        <f>'Kings Tableland'!AS19</f>
        <v>1973</v>
      </c>
      <c r="AV282">
        <f>'Kings Tableland'!AT19</f>
        <v>161</v>
      </c>
      <c r="AW282">
        <f>'Kings Tableland'!AU19</f>
        <v>338131</v>
      </c>
      <c r="AX282">
        <f>'Kings Tableland'!AV19</f>
        <v>4</v>
      </c>
    </row>
    <row r="283" spans="1:50">
      <c r="A283" t="str">
        <f>'Kings Tableland'!A20</f>
        <v>/Users/christophermarjo/Documents/Python/Projects/data/bushfire Raman/Kings Tableland (RHS)/KTM 4.5 (1).txt</v>
      </c>
      <c r="B283" t="str">
        <f t="shared" si="4"/>
        <v>Kings Tableland</v>
      </c>
      <c r="C283">
        <v>4.5</v>
      </c>
      <c r="D283" t="str">
        <f>'Kings Tableland'!B20</f>
        <v>37.85 counts</v>
      </c>
      <c r="E283">
        <f>'Kings Tableland'!C20</f>
        <v>0.92681000000000002</v>
      </c>
      <c r="F283">
        <f>'Kings Tableland'!D20</f>
        <v>1369</v>
      </c>
      <c r="G283">
        <f>'Kings Tableland'!E20</f>
        <v>7139</v>
      </c>
      <c r="H283">
        <f>'Kings Tableland'!F20</f>
        <v>316</v>
      </c>
      <c r="I283">
        <f>'Kings Tableland'!G20</f>
        <v>2401357</v>
      </c>
      <c r="J283">
        <f>'Kings Tableland'!H20</f>
        <v>48.9</v>
      </c>
      <c r="K283">
        <f>'Kings Tableland'!I20</f>
        <v>1592</v>
      </c>
      <c r="L283">
        <f>'Kings Tableland'!J20</f>
        <v>10889</v>
      </c>
      <c r="M283">
        <f>'Kings Tableland'!K20</f>
        <v>140</v>
      </c>
      <c r="N283">
        <f>'Kings Tableland'!L20</f>
        <v>1622737</v>
      </c>
      <c r="O283">
        <f>'Kings Tableland'!M20</f>
        <v>33.1</v>
      </c>
      <c r="P283">
        <f>'Kings Tableland'!N20</f>
        <v>1009</v>
      </c>
      <c r="Q283">
        <f>'Kings Tableland'!O20</f>
        <v>497</v>
      </c>
      <c r="R283">
        <f>'Kings Tableland'!P20</f>
        <v>9</v>
      </c>
      <c r="S283">
        <f>'Kings Tableland'!Q20</f>
        <v>4761</v>
      </c>
      <c r="T283">
        <f>'Kings Tableland'!R20</f>
        <v>0.1</v>
      </c>
      <c r="U283">
        <f>'Kings Tableland'!S20</f>
        <v>1156</v>
      </c>
      <c r="V283">
        <f>'Kings Tableland'!T20</f>
        <v>3779</v>
      </c>
      <c r="W283">
        <f>'Kings Tableland'!U20</f>
        <v>19</v>
      </c>
      <c r="X283">
        <f>'Kings Tableland'!V20</f>
        <v>76430</v>
      </c>
      <c r="Y283">
        <f>'Kings Tableland'!W20</f>
        <v>1.6</v>
      </c>
      <c r="Z283">
        <f>'Kings Tableland'!X20</f>
        <v>1260</v>
      </c>
      <c r="AA283">
        <f>'Kings Tableland'!Y20</f>
        <v>1</v>
      </c>
      <c r="AB283">
        <f>'Kings Tableland'!Z20</f>
        <v>1</v>
      </c>
      <c r="AC283">
        <f>'Kings Tableland'!AA20</f>
        <v>1</v>
      </c>
      <c r="AD283">
        <f>'Kings Tableland'!AB20</f>
        <v>0</v>
      </c>
      <c r="AE283">
        <f>'Kings Tableland'!AC20</f>
        <v>1434</v>
      </c>
      <c r="AF283">
        <f>'Kings Tableland'!AD20</f>
        <v>1035</v>
      </c>
      <c r="AG283">
        <f>'Kings Tableland'!AE20</f>
        <v>131</v>
      </c>
      <c r="AH283">
        <f>'Kings Tableland'!AF20</f>
        <v>144326</v>
      </c>
      <c r="AI283">
        <f>'Kings Tableland'!AG20</f>
        <v>2.9</v>
      </c>
      <c r="AJ283">
        <f>'Kings Tableland'!AH20</f>
        <v>1508</v>
      </c>
      <c r="AK283">
        <f>'Kings Tableland'!AI20</f>
        <v>7631</v>
      </c>
      <c r="AL283">
        <f>'Kings Tableland'!AJ20</f>
        <v>17</v>
      </c>
      <c r="AM283">
        <f>'Kings Tableland'!AK20</f>
        <v>138090</v>
      </c>
      <c r="AN283">
        <f>'Kings Tableland'!AL20</f>
        <v>2.8</v>
      </c>
      <c r="AO283">
        <f>'Kings Tableland'!AM20</f>
        <v>1592</v>
      </c>
      <c r="AP283">
        <f>'Kings Tableland'!AN20</f>
        <v>793</v>
      </c>
      <c r="AQ283">
        <f>'Kings Tableland'!AO20</f>
        <v>23</v>
      </c>
      <c r="AR283">
        <f>'Kings Tableland'!AP20</f>
        <v>19415</v>
      </c>
      <c r="AS283">
        <f>'Kings Tableland'!AQ20</f>
        <v>0.4</v>
      </c>
      <c r="AT283">
        <f>'Kings Tableland'!AR20</f>
        <v>1748</v>
      </c>
      <c r="AU283">
        <f>'Kings Tableland'!AS20</f>
        <v>2509</v>
      </c>
      <c r="AV283">
        <f>'Kings Tableland'!AT20</f>
        <v>187</v>
      </c>
      <c r="AW283">
        <f>'Kings Tableland'!AU20</f>
        <v>499430</v>
      </c>
      <c r="AX283">
        <f>'Kings Tableland'!AV20</f>
        <v>10.199999999999999</v>
      </c>
    </row>
    <row r="284" spans="1:50">
      <c r="A284" t="str">
        <f>'Kings Tableland'!A21</f>
        <v>/Users/christophermarjo/Documents/Python/Projects/data/bushfire Raman/Kings Tableland (RHS)/KTM 4.5 (2).txt</v>
      </c>
      <c r="B284" t="str">
        <f t="shared" si="4"/>
        <v>Kings Tableland</v>
      </c>
      <c r="C284">
        <v>4.5</v>
      </c>
      <c r="D284" t="str">
        <f>'Kings Tableland'!B21</f>
        <v>22.72 counts</v>
      </c>
      <c r="E284">
        <f>'Kings Tableland'!C21</f>
        <v>0.94776899999999997</v>
      </c>
      <c r="F284">
        <f>'Kings Tableland'!D21</f>
        <v>1369</v>
      </c>
      <c r="G284">
        <f>'Kings Tableland'!E21</f>
        <v>6093</v>
      </c>
      <c r="H284">
        <f>'Kings Tableland'!F21</f>
        <v>254</v>
      </c>
      <c r="I284">
        <f>'Kings Tableland'!G21</f>
        <v>1647393</v>
      </c>
      <c r="J284">
        <f>'Kings Tableland'!H21</f>
        <v>47.3</v>
      </c>
      <c r="K284">
        <f>'Kings Tableland'!I21</f>
        <v>1592</v>
      </c>
      <c r="L284">
        <f>'Kings Tableland'!J21</f>
        <v>8921</v>
      </c>
      <c r="M284">
        <f>'Kings Tableland'!K21</f>
        <v>128</v>
      </c>
      <c r="N284">
        <f>'Kings Tableland'!L21</f>
        <v>1215502</v>
      </c>
      <c r="O284">
        <f>'Kings Tableland'!M21</f>
        <v>34.9</v>
      </c>
      <c r="P284">
        <f>'Kings Tableland'!N21</f>
        <v>1023</v>
      </c>
      <c r="Q284">
        <f>'Kings Tableland'!O21</f>
        <v>273</v>
      </c>
      <c r="R284">
        <f>'Kings Tableland'!P21</f>
        <v>29</v>
      </c>
      <c r="S284">
        <f>'Kings Tableland'!Q21</f>
        <v>8427</v>
      </c>
      <c r="T284">
        <f>'Kings Tableland'!R21</f>
        <v>0.2</v>
      </c>
      <c r="U284">
        <f>'Kings Tableland'!S21</f>
        <v>1174</v>
      </c>
      <c r="V284">
        <f>'Kings Tableland'!T21</f>
        <v>627</v>
      </c>
      <c r="W284">
        <f>'Kings Tableland'!U21</f>
        <v>7</v>
      </c>
      <c r="X284">
        <f>'Kings Tableland'!V21</f>
        <v>4672</v>
      </c>
      <c r="Y284">
        <f>'Kings Tableland'!W21</f>
        <v>0.1</v>
      </c>
      <c r="Z284">
        <f>'Kings Tableland'!X21</f>
        <v>1260</v>
      </c>
      <c r="AA284">
        <f>'Kings Tableland'!Y21</f>
        <v>1</v>
      </c>
      <c r="AB284">
        <f>'Kings Tableland'!Z21</f>
        <v>1</v>
      </c>
      <c r="AC284">
        <f>'Kings Tableland'!AA21</f>
        <v>1</v>
      </c>
      <c r="AD284">
        <f>'Kings Tableland'!AB21</f>
        <v>0</v>
      </c>
      <c r="AE284">
        <f>'Kings Tableland'!AC21</f>
        <v>1434</v>
      </c>
      <c r="AF284">
        <f>'Kings Tableland'!AD21</f>
        <v>571</v>
      </c>
      <c r="AG284">
        <f>'Kings Tableland'!AE21</f>
        <v>135</v>
      </c>
      <c r="AH284">
        <f>'Kings Tableland'!AF21</f>
        <v>82054</v>
      </c>
      <c r="AI284">
        <f>'Kings Tableland'!AG21</f>
        <v>2.4</v>
      </c>
      <c r="AJ284">
        <f>'Kings Tableland'!AH21</f>
        <v>1504</v>
      </c>
      <c r="AK284">
        <f>'Kings Tableland'!AI21</f>
        <v>2055</v>
      </c>
      <c r="AL284">
        <f>'Kings Tableland'!AJ21</f>
        <v>25</v>
      </c>
      <c r="AM284">
        <f>'Kings Tableland'!AK21</f>
        <v>54687</v>
      </c>
      <c r="AN284">
        <f>'Kings Tableland'!AL21</f>
        <v>1.6</v>
      </c>
      <c r="AO284">
        <f>'Kings Tableland'!AM21</f>
        <v>1592</v>
      </c>
      <c r="AP284">
        <f>'Kings Tableland'!AN21</f>
        <v>161</v>
      </c>
      <c r="AQ284">
        <f>'Kings Tableland'!AO21</f>
        <v>35</v>
      </c>
      <c r="AR284">
        <f>'Kings Tableland'!AP21</f>
        <v>5998</v>
      </c>
      <c r="AS284">
        <f>'Kings Tableland'!AQ21</f>
        <v>0.2</v>
      </c>
      <c r="AT284">
        <f>'Kings Tableland'!AR21</f>
        <v>1748</v>
      </c>
      <c r="AU284">
        <f>'Kings Tableland'!AS21</f>
        <v>2299</v>
      </c>
      <c r="AV284">
        <f>'Kings Tableland'!AT21</f>
        <v>191</v>
      </c>
      <c r="AW284">
        <f>'Kings Tableland'!AU21</f>
        <v>467417</v>
      </c>
      <c r="AX284">
        <f>'Kings Tableland'!AV21</f>
        <v>13.4</v>
      </c>
    </row>
    <row r="285" spans="1:50">
      <c r="A285" t="str">
        <f>'Kings Tableland'!A22</f>
        <v>/Users/christophermarjo/Documents/Python/Projects/data/bushfire Raman/Kings Tableland (RHS)/KTM 4.5 (3) .txt</v>
      </c>
      <c r="B285" t="str">
        <f t="shared" si="4"/>
        <v>Kings Tableland</v>
      </c>
      <c r="C285">
        <v>4.5</v>
      </c>
      <c r="D285" t="str">
        <f>'Kings Tableland'!B22</f>
        <v>14.40 counts</v>
      </c>
      <c r="E285">
        <f>'Kings Tableland'!C22</f>
        <v>0.98326000000000002</v>
      </c>
      <c r="F285">
        <f>'Kings Tableland'!D22</f>
        <v>1369</v>
      </c>
      <c r="G285">
        <f>'Kings Tableland'!E22</f>
        <v>7387</v>
      </c>
      <c r="H285">
        <f>'Kings Tableland'!F22</f>
        <v>282</v>
      </c>
      <c r="I285">
        <f>'Kings Tableland'!G22</f>
        <v>2217427</v>
      </c>
      <c r="J285">
        <f>'Kings Tableland'!H22</f>
        <v>59.5</v>
      </c>
      <c r="K285">
        <f>'Kings Tableland'!I22</f>
        <v>1596</v>
      </c>
      <c r="L285">
        <f>'Kings Tableland'!J22</f>
        <v>9919</v>
      </c>
      <c r="M285">
        <f>'Kings Tableland'!K22</f>
        <v>100</v>
      </c>
      <c r="N285">
        <f>'Kings Tableland'!L22</f>
        <v>1055845</v>
      </c>
      <c r="O285">
        <f>'Kings Tableland'!M22</f>
        <v>28.3</v>
      </c>
      <c r="P285">
        <f>'Kings Tableland'!N22</f>
        <v>1051</v>
      </c>
      <c r="Q285">
        <f>'Kings Tableland'!O22</f>
        <v>157</v>
      </c>
      <c r="R285">
        <f>'Kings Tableland'!P22</f>
        <v>15</v>
      </c>
      <c r="S285">
        <f>'Kings Tableland'!Q22</f>
        <v>2507</v>
      </c>
      <c r="T285">
        <f>'Kings Tableland'!R22</f>
        <v>0.1</v>
      </c>
      <c r="U285">
        <f>'Kings Tableland'!S22</f>
        <v>1158</v>
      </c>
      <c r="V285">
        <f>'Kings Tableland'!T22</f>
        <v>1249</v>
      </c>
      <c r="W285">
        <f>'Kings Tableland'!U22</f>
        <v>21</v>
      </c>
      <c r="X285">
        <f>'Kings Tableland'!V22</f>
        <v>27920</v>
      </c>
      <c r="Y285">
        <f>'Kings Tableland'!W22</f>
        <v>0.7</v>
      </c>
      <c r="Z285">
        <f>'Kings Tableland'!X22</f>
        <v>1260</v>
      </c>
      <c r="AA285">
        <f>'Kings Tableland'!Y22</f>
        <v>1</v>
      </c>
      <c r="AB285">
        <f>'Kings Tableland'!Z22</f>
        <v>1</v>
      </c>
      <c r="AC285">
        <f>'Kings Tableland'!AA22</f>
        <v>1</v>
      </c>
      <c r="AD285">
        <f>'Kings Tableland'!AB22</f>
        <v>0</v>
      </c>
      <c r="AE285">
        <f>'Kings Tableland'!AC22</f>
        <v>1408</v>
      </c>
      <c r="AF285">
        <f>'Kings Tableland'!AD22</f>
        <v>279</v>
      </c>
      <c r="AG285">
        <f>'Kings Tableland'!AE22</f>
        <v>127</v>
      </c>
      <c r="AH285">
        <f>'Kings Tableland'!AF22</f>
        <v>37717</v>
      </c>
      <c r="AI285">
        <f>'Kings Tableland'!AG22</f>
        <v>1</v>
      </c>
      <c r="AJ285">
        <f>'Kings Tableland'!AH22</f>
        <v>1504</v>
      </c>
      <c r="AK285">
        <f>'Kings Tableland'!AI22</f>
        <v>1857</v>
      </c>
      <c r="AL285">
        <f>'Kings Tableland'!AJ22</f>
        <v>29</v>
      </c>
      <c r="AM285">
        <f>'Kings Tableland'!AK22</f>
        <v>57325</v>
      </c>
      <c r="AN285">
        <f>'Kings Tableland'!AL22</f>
        <v>1.5</v>
      </c>
      <c r="AO285">
        <f>'Kings Tableland'!AM22</f>
        <v>1598</v>
      </c>
      <c r="AP285">
        <f>'Kings Tableland'!AN22</f>
        <v>17</v>
      </c>
      <c r="AQ285">
        <f>'Kings Tableland'!AO22</f>
        <v>33</v>
      </c>
      <c r="AR285">
        <f>'Kings Tableland'!AP22</f>
        <v>597</v>
      </c>
      <c r="AS285">
        <f>'Kings Tableland'!AQ22</f>
        <v>0</v>
      </c>
      <c r="AT285">
        <f>'Kings Tableland'!AR22</f>
        <v>1748</v>
      </c>
      <c r="AU285">
        <f>'Kings Tableland'!AS22</f>
        <v>1543</v>
      </c>
      <c r="AV285">
        <f>'Kings Tableland'!AT22</f>
        <v>199</v>
      </c>
      <c r="AW285">
        <f>'Kings Tableland'!AU22</f>
        <v>326852</v>
      </c>
      <c r="AX285">
        <f>'Kings Tableland'!AV22</f>
        <v>8.8000000000000007</v>
      </c>
    </row>
    <row r="286" spans="1:50">
      <c r="A286" t="str">
        <f>'Kings Tableland'!A23</f>
        <v>/Users/christophermarjo/Documents/Python/Projects/data/bushfire Raman/Kings Tableland (RHS)/KTM 4.5 (4).txt</v>
      </c>
      <c r="B286" t="str">
        <f t="shared" si="4"/>
        <v>Kings Tableland</v>
      </c>
      <c r="C286">
        <v>4.5</v>
      </c>
      <c r="D286" t="str">
        <f>'Kings Tableland'!B23</f>
        <v>62.98 counts</v>
      </c>
      <c r="E286">
        <f>'Kings Tableland'!C23</f>
        <v>0.982352</v>
      </c>
      <c r="F286">
        <f>'Kings Tableland'!D23</f>
        <v>1369</v>
      </c>
      <c r="G286">
        <f>'Kings Tableland'!E23</f>
        <v>30771</v>
      </c>
      <c r="H286">
        <f>'Kings Tableland'!F23</f>
        <v>276</v>
      </c>
      <c r="I286">
        <f>'Kings Tableland'!G23</f>
        <v>9040301</v>
      </c>
      <c r="J286">
        <f>'Kings Tableland'!H23</f>
        <v>58.9</v>
      </c>
      <c r="K286">
        <f>'Kings Tableland'!I23</f>
        <v>1590</v>
      </c>
      <c r="L286">
        <f>'Kings Tableland'!J23</f>
        <v>41053</v>
      </c>
      <c r="M286">
        <f>'Kings Tableland'!K23</f>
        <v>114</v>
      </c>
      <c r="N286">
        <f>'Kings Tableland'!L23</f>
        <v>4981750</v>
      </c>
      <c r="O286">
        <f>'Kings Tableland'!M23</f>
        <v>32.5</v>
      </c>
      <c r="P286">
        <f>'Kings Tableland'!N23</f>
        <v>1031</v>
      </c>
      <c r="Q286">
        <f>'Kings Tableland'!O23</f>
        <v>781</v>
      </c>
      <c r="R286">
        <f>'Kings Tableland'!P23</f>
        <v>37</v>
      </c>
      <c r="S286">
        <f>'Kings Tableland'!Q23</f>
        <v>30760</v>
      </c>
      <c r="T286">
        <f>'Kings Tableland'!R23</f>
        <v>0.2</v>
      </c>
      <c r="U286">
        <f>'Kings Tableland'!S23</f>
        <v>1156</v>
      </c>
      <c r="V286">
        <f>'Kings Tableland'!T23</f>
        <v>783</v>
      </c>
      <c r="W286">
        <f>'Kings Tableland'!U23</f>
        <v>29</v>
      </c>
      <c r="X286">
        <f>'Kings Tableland'!V23</f>
        <v>24171</v>
      </c>
      <c r="Y286">
        <f>'Kings Tableland'!W23</f>
        <v>0.2</v>
      </c>
      <c r="Z286">
        <f>'Kings Tableland'!X23</f>
        <v>1270</v>
      </c>
      <c r="AA286">
        <f>'Kings Tableland'!Y23</f>
        <v>1</v>
      </c>
      <c r="AB286">
        <f>'Kings Tableland'!Z23</f>
        <v>1</v>
      </c>
      <c r="AC286">
        <f>'Kings Tableland'!AA23</f>
        <v>1</v>
      </c>
      <c r="AD286">
        <f>'Kings Tableland'!AB23</f>
        <v>0</v>
      </c>
      <c r="AE286">
        <f>'Kings Tableland'!AC23</f>
        <v>1456</v>
      </c>
      <c r="AF286">
        <f>'Kings Tableland'!AD23</f>
        <v>2401</v>
      </c>
      <c r="AG286">
        <f>'Kings Tableland'!AE23</f>
        <v>71</v>
      </c>
      <c r="AH286">
        <f>'Kings Tableland'!AF23</f>
        <v>181461</v>
      </c>
      <c r="AI286">
        <f>'Kings Tableland'!AG23</f>
        <v>1.2</v>
      </c>
      <c r="AJ286">
        <f>'Kings Tableland'!AH23</f>
        <v>1496</v>
      </c>
      <c r="AK286">
        <f>'Kings Tableland'!AI23</f>
        <v>3067</v>
      </c>
      <c r="AL286">
        <f>'Kings Tableland'!AJ23</f>
        <v>37</v>
      </c>
      <c r="AM286">
        <f>'Kings Tableland'!AK23</f>
        <v>120795</v>
      </c>
      <c r="AN286">
        <f>'Kings Tableland'!AL23</f>
        <v>0.8</v>
      </c>
      <c r="AO286">
        <f>'Kings Tableland'!AM23</f>
        <v>1592</v>
      </c>
      <c r="AP286">
        <f>'Kings Tableland'!AN23</f>
        <v>315</v>
      </c>
      <c r="AQ286">
        <f>'Kings Tableland'!AO23</f>
        <v>23</v>
      </c>
      <c r="AR286">
        <f>'Kings Tableland'!AP23</f>
        <v>7712</v>
      </c>
      <c r="AS286">
        <f>'Kings Tableland'!AQ23</f>
        <v>0.1</v>
      </c>
      <c r="AT286">
        <f>'Kings Tableland'!AR23</f>
        <v>1748</v>
      </c>
      <c r="AU286">
        <f>'Kings Tableland'!AS23</f>
        <v>4877</v>
      </c>
      <c r="AV286">
        <f>'Kings Tableland'!AT23</f>
        <v>185</v>
      </c>
      <c r="AW286">
        <f>'Kings Tableland'!AU23</f>
        <v>960410</v>
      </c>
      <c r="AX286">
        <f>'Kings Tableland'!AV23</f>
        <v>6.3</v>
      </c>
    </row>
    <row r="287" spans="1:50">
      <c r="A287" t="str">
        <f>'Kings Tableland'!A24</f>
        <v>/Users/christophermarjo/Documents/Python/Projects/data/bushfire Raman/Kings Tableland (RHS)/KTM 4(2).txt</v>
      </c>
      <c r="B287" t="str">
        <f t="shared" si="4"/>
        <v>Kings Tableland</v>
      </c>
      <c r="C287">
        <v>4</v>
      </c>
      <c r="D287" t="str">
        <f>'Kings Tableland'!B24</f>
        <v>26.83 counts</v>
      </c>
      <c r="E287">
        <f>'Kings Tableland'!C24</f>
        <v>0.98802299999999998</v>
      </c>
      <c r="F287">
        <f>'Kings Tableland'!D24</f>
        <v>1369</v>
      </c>
      <c r="G287">
        <f>'Kings Tableland'!E24</f>
        <v>16559</v>
      </c>
      <c r="H287">
        <f>'Kings Tableland'!F24</f>
        <v>326</v>
      </c>
      <c r="I287">
        <f>'Kings Tableland'!G24</f>
        <v>5746242</v>
      </c>
      <c r="J287">
        <f>'Kings Tableland'!H24</f>
        <v>70.400000000000006</v>
      </c>
      <c r="K287">
        <f>'Kings Tableland'!I24</f>
        <v>1590</v>
      </c>
      <c r="L287">
        <f>'Kings Tableland'!J24</f>
        <v>18439</v>
      </c>
      <c r="M287">
        <f>'Kings Tableland'!K24</f>
        <v>102</v>
      </c>
      <c r="N287">
        <f>'Kings Tableland'!L24</f>
        <v>2002026</v>
      </c>
      <c r="O287">
        <f>'Kings Tableland'!M24</f>
        <v>24.5</v>
      </c>
      <c r="P287">
        <f>'Kings Tableland'!N24</f>
        <v>1041</v>
      </c>
      <c r="Q287">
        <f>'Kings Tableland'!O24</f>
        <v>697</v>
      </c>
      <c r="R287">
        <f>'Kings Tableland'!P24</f>
        <v>61</v>
      </c>
      <c r="S287">
        <f>'Kings Tableland'!Q24</f>
        <v>45258</v>
      </c>
      <c r="T287">
        <f>'Kings Tableland'!R24</f>
        <v>0.6</v>
      </c>
      <c r="U287">
        <f>'Kings Tableland'!S24</f>
        <v>1154</v>
      </c>
      <c r="V287">
        <f>'Kings Tableland'!T24</f>
        <v>1</v>
      </c>
      <c r="W287">
        <f>'Kings Tableland'!U24</f>
        <v>1</v>
      </c>
      <c r="X287">
        <f>'Kings Tableland'!V24</f>
        <v>1</v>
      </c>
      <c r="Y287">
        <f>'Kings Tableland'!W24</f>
        <v>0</v>
      </c>
      <c r="Z287">
        <f>'Kings Tableland'!X24</f>
        <v>1270</v>
      </c>
      <c r="AA287">
        <f>'Kings Tableland'!Y24</f>
        <v>1</v>
      </c>
      <c r="AB287">
        <f>'Kings Tableland'!Z24</f>
        <v>1</v>
      </c>
      <c r="AC287">
        <f>'Kings Tableland'!AA24</f>
        <v>1</v>
      </c>
      <c r="AD287">
        <f>'Kings Tableland'!AB24</f>
        <v>0</v>
      </c>
      <c r="AE287">
        <f>'Kings Tableland'!AC24</f>
        <v>1402</v>
      </c>
      <c r="AF287">
        <f>'Kings Tableland'!AD24</f>
        <v>341</v>
      </c>
      <c r="AG287">
        <f>'Kings Tableland'!AE24</f>
        <v>111</v>
      </c>
      <c r="AH287">
        <f>'Kings Tableland'!AF24</f>
        <v>40291</v>
      </c>
      <c r="AI287">
        <f>'Kings Tableland'!AG24</f>
        <v>0.5</v>
      </c>
      <c r="AJ287">
        <f>'Kings Tableland'!AH24</f>
        <v>1500</v>
      </c>
      <c r="AK287">
        <f>'Kings Tableland'!AI24</f>
        <v>581</v>
      </c>
      <c r="AL287">
        <f>'Kings Tableland'!AJ24</f>
        <v>35</v>
      </c>
      <c r="AM287">
        <f>'Kings Tableland'!AK24</f>
        <v>21646</v>
      </c>
      <c r="AN287">
        <f>'Kings Tableland'!AL24</f>
        <v>0.3</v>
      </c>
      <c r="AO287">
        <f>'Kings Tableland'!AM24</f>
        <v>1596</v>
      </c>
      <c r="AP287">
        <f>'Kings Tableland'!AN24</f>
        <v>1247</v>
      </c>
      <c r="AQ287">
        <f>'Kings Tableland'!AO24</f>
        <v>27</v>
      </c>
      <c r="AR287">
        <f>'Kings Tableland'!AP24</f>
        <v>35840</v>
      </c>
      <c r="AS287">
        <f>'Kings Tableland'!AQ24</f>
        <v>0.4</v>
      </c>
      <c r="AT287">
        <f>'Kings Tableland'!AR24</f>
        <v>1730</v>
      </c>
      <c r="AU287">
        <f>'Kings Tableland'!AS24</f>
        <v>1899</v>
      </c>
      <c r="AV287">
        <f>'Kings Tableland'!AT24</f>
        <v>135</v>
      </c>
      <c r="AW287">
        <f>'Kings Tableland'!AU24</f>
        <v>272892</v>
      </c>
      <c r="AX287">
        <f>'Kings Tableland'!AV24</f>
        <v>3.3</v>
      </c>
    </row>
    <row r="288" spans="1:50">
      <c r="A288" t="str">
        <f>'Kings Tableland'!A25</f>
        <v>/Users/christophermarjo/Documents/Python/Projects/data/bushfire Raman/Kings Tableland (RHS)/KTM 4(3).txt</v>
      </c>
      <c r="B288" t="str">
        <f t="shared" si="4"/>
        <v>Kings Tableland</v>
      </c>
      <c r="C288">
        <v>4</v>
      </c>
      <c r="D288" t="str">
        <f>'Kings Tableland'!B25</f>
        <v>18.06 counts</v>
      </c>
      <c r="E288">
        <f>'Kings Tableland'!C25</f>
        <v>0.98684300000000003</v>
      </c>
      <c r="F288">
        <f>'Kings Tableland'!D25</f>
        <v>1369</v>
      </c>
      <c r="G288">
        <f>'Kings Tableland'!E25</f>
        <v>10749</v>
      </c>
      <c r="H288">
        <f>'Kings Tableland'!F25</f>
        <v>322</v>
      </c>
      <c r="I288">
        <f>'Kings Tableland'!G25</f>
        <v>3684310</v>
      </c>
      <c r="J288">
        <f>'Kings Tableland'!H25</f>
        <v>69.400000000000006</v>
      </c>
      <c r="K288">
        <f>'Kings Tableland'!I25</f>
        <v>1590</v>
      </c>
      <c r="L288">
        <f>'Kings Tableland'!J25</f>
        <v>12071</v>
      </c>
      <c r="M288">
        <f>'Kings Tableland'!K25</f>
        <v>102</v>
      </c>
      <c r="N288">
        <f>'Kings Tableland'!L25</f>
        <v>1310617</v>
      </c>
      <c r="O288">
        <f>'Kings Tableland'!M25</f>
        <v>24.7</v>
      </c>
      <c r="P288">
        <f>'Kings Tableland'!N25</f>
        <v>1029</v>
      </c>
      <c r="Q288">
        <f>'Kings Tableland'!O25</f>
        <v>497</v>
      </c>
      <c r="R288">
        <f>'Kings Tableland'!P25</f>
        <v>67</v>
      </c>
      <c r="S288">
        <f>'Kings Tableland'!Q25</f>
        <v>35446</v>
      </c>
      <c r="T288">
        <f>'Kings Tableland'!R25</f>
        <v>0.7</v>
      </c>
      <c r="U288">
        <f>'Kings Tableland'!S25</f>
        <v>1154</v>
      </c>
      <c r="V288">
        <f>'Kings Tableland'!T25</f>
        <v>1</v>
      </c>
      <c r="W288">
        <f>'Kings Tableland'!U25</f>
        <v>1</v>
      </c>
      <c r="X288">
        <f>'Kings Tableland'!V25</f>
        <v>1</v>
      </c>
      <c r="Y288">
        <f>'Kings Tableland'!W25</f>
        <v>0</v>
      </c>
      <c r="Z288">
        <f>'Kings Tableland'!X25</f>
        <v>1270</v>
      </c>
      <c r="AA288">
        <f>'Kings Tableland'!Y25</f>
        <v>1</v>
      </c>
      <c r="AB288">
        <f>'Kings Tableland'!Z25</f>
        <v>1</v>
      </c>
      <c r="AC288">
        <f>'Kings Tableland'!AA25</f>
        <v>1</v>
      </c>
      <c r="AD288">
        <f>'Kings Tableland'!AB25</f>
        <v>0</v>
      </c>
      <c r="AE288">
        <f>'Kings Tableland'!AC25</f>
        <v>1456</v>
      </c>
      <c r="AF288">
        <f>'Kings Tableland'!AD25</f>
        <v>59</v>
      </c>
      <c r="AG288">
        <f>'Kings Tableland'!AE25</f>
        <v>149</v>
      </c>
      <c r="AH288">
        <f>'Kings Tableland'!AF25</f>
        <v>9358</v>
      </c>
      <c r="AI288">
        <f>'Kings Tableland'!AG25</f>
        <v>0.2</v>
      </c>
      <c r="AJ288">
        <f>'Kings Tableland'!AH25</f>
        <v>1500</v>
      </c>
      <c r="AK288">
        <f>'Kings Tableland'!AI25</f>
        <v>511</v>
      </c>
      <c r="AL288">
        <f>'Kings Tableland'!AJ25</f>
        <v>35</v>
      </c>
      <c r="AM288">
        <f>'Kings Tableland'!AK25</f>
        <v>19038</v>
      </c>
      <c r="AN288">
        <f>'Kings Tableland'!AL25</f>
        <v>0.4</v>
      </c>
      <c r="AO288">
        <f>'Kings Tableland'!AM25</f>
        <v>1598</v>
      </c>
      <c r="AP288">
        <f>'Kings Tableland'!AN25</f>
        <v>701</v>
      </c>
      <c r="AQ288">
        <f>'Kings Tableland'!AO25</f>
        <v>27</v>
      </c>
      <c r="AR288">
        <f>'Kings Tableland'!AP25</f>
        <v>20147</v>
      </c>
      <c r="AS288">
        <f>'Kings Tableland'!AQ25</f>
        <v>0.4</v>
      </c>
      <c r="AT288">
        <f>'Kings Tableland'!AR25</f>
        <v>1732</v>
      </c>
      <c r="AU288">
        <f>'Kings Tableland'!AS25</f>
        <v>1427</v>
      </c>
      <c r="AV288">
        <f>'Kings Tableland'!AT25</f>
        <v>153</v>
      </c>
      <c r="AW288">
        <f>'Kings Tableland'!AU25</f>
        <v>232406</v>
      </c>
      <c r="AX288">
        <f>'Kings Tableland'!AV25</f>
        <v>4.4000000000000004</v>
      </c>
    </row>
    <row r="289" spans="1:50">
      <c r="A289" t="str">
        <f>'Kings Tableland'!A26</f>
        <v>/Users/christophermarjo/Documents/Python/Projects/data/bushfire Raman/Kings Tableland (RHS)/KTM 5 (1).txt</v>
      </c>
      <c r="B289" t="str">
        <f t="shared" si="4"/>
        <v>Kings Tableland</v>
      </c>
      <c r="C289">
        <v>5</v>
      </c>
      <c r="D289" t="str">
        <f>'Kings Tableland'!B26</f>
        <v>12.97 counts</v>
      </c>
      <c r="E289">
        <f>'Kings Tableland'!C26</f>
        <v>0.98916999999999999</v>
      </c>
      <c r="F289">
        <f>'Kings Tableland'!D26</f>
        <v>1369</v>
      </c>
      <c r="G289">
        <f>'Kings Tableland'!E26</f>
        <v>8171</v>
      </c>
      <c r="H289">
        <f>'Kings Tableland'!F26</f>
        <v>340</v>
      </c>
      <c r="I289">
        <f>'Kings Tableland'!G26</f>
        <v>2957238</v>
      </c>
      <c r="J289">
        <f>'Kings Tableland'!H26</f>
        <v>69.5</v>
      </c>
      <c r="K289">
        <f>'Kings Tableland'!I26</f>
        <v>1584</v>
      </c>
      <c r="L289">
        <f>'Kings Tableland'!J26</f>
        <v>9071</v>
      </c>
      <c r="M289">
        <f>'Kings Tableland'!K26</f>
        <v>116</v>
      </c>
      <c r="N289">
        <f>'Kings Tableland'!L26</f>
        <v>1120071</v>
      </c>
      <c r="O289">
        <f>'Kings Tableland'!M26</f>
        <v>26.3</v>
      </c>
      <c r="P289">
        <f>'Kings Tableland'!N26</f>
        <v>1009</v>
      </c>
      <c r="Q289">
        <f>'Kings Tableland'!O26</f>
        <v>219</v>
      </c>
      <c r="R289">
        <f>'Kings Tableland'!P26</f>
        <v>81</v>
      </c>
      <c r="S289">
        <f>'Kings Tableland'!Q26</f>
        <v>18883</v>
      </c>
      <c r="T289">
        <f>'Kings Tableland'!R26</f>
        <v>0.4</v>
      </c>
      <c r="U289">
        <f>'Kings Tableland'!S26</f>
        <v>1154</v>
      </c>
      <c r="V289">
        <f>'Kings Tableland'!T26</f>
        <v>1</v>
      </c>
      <c r="W289">
        <f>'Kings Tableland'!U26</f>
        <v>1</v>
      </c>
      <c r="X289">
        <f>'Kings Tableland'!V26</f>
        <v>1</v>
      </c>
      <c r="Y289">
        <f>'Kings Tableland'!W26</f>
        <v>0</v>
      </c>
      <c r="Z289">
        <f>'Kings Tableland'!X26</f>
        <v>1270</v>
      </c>
      <c r="AA289">
        <f>'Kings Tableland'!Y26</f>
        <v>1</v>
      </c>
      <c r="AB289">
        <f>'Kings Tableland'!Z26</f>
        <v>1</v>
      </c>
      <c r="AC289">
        <f>'Kings Tableland'!AA26</f>
        <v>1</v>
      </c>
      <c r="AD289">
        <f>'Kings Tableland'!AB26</f>
        <v>0</v>
      </c>
      <c r="AE289">
        <f>'Kings Tableland'!AC26</f>
        <v>1456</v>
      </c>
      <c r="AF289">
        <f>'Kings Tableland'!AD26</f>
        <v>339</v>
      </c>
      <c r="AG289">
        <f>'Kings Tableland'!AE26</f>
        <v>79</v>
      </c>
      <c r="AH289">
        <f>'Kings Tableland'!AF26</f>
        <v>28507</v>
      </c>
      <c r="AI289">
        <f>'Kings Tableland'!AG26</f>
        <v>0.7</v>
      </c>
      <c r="AJ289">
        <f>'Kings Tableland'!AH26</f>
        <v>1488</v>
      </c>
      <c r="AK289">
        <f>'Kings Tableland'!AI26</f>
        <v>211</v>
      </c>
      <c r="AL289">
        <f>'Kings Tableland'!AJ26</f>
        <v>29</v>
      </c>
      <c r="AM289">
        <f>'Kings Tableland'!AK26</f>
        <v>6513</v>
      </c>
      <c r="AN289">
        <f>'Kings Tableland'!AL26</f>
        <v>0.2</v>
      </c>
      <c r="AO289">
        <f>'Kings Tableland'!AM26</f>
        <v>1598</v>
      </c>
      <c r="AP289">
        <f>'Kings Tableland'!AN26</f>
        <v>1</v>
      </c>
      <c r="AQ289">
        <f>'Kings Tableland'!AO26</f>
        <v>21</v>
      </c>
      <c r="AR289">
        <f>'Kings Tableland'!AP26</f>
        <v>22</v>
      </c>
      <c r="AS289">
        <f>'Kings Tableland'!AQ26</f>
        <v>0</v>
      </c>
      <c r="AT289">
        <f>'Kings Tableland'!AR26</f>
        <v>1742</v>
      </c>
      <c r="AU289">
        <f>'Kings Tableland'!AS26</f>
        <v>941</v>
      </c>
      <c r="AV289">
        <f>'Kings Tableland'!AT26</f>
        <v>121</v>
      </c>
      <c r="AW289">
        <f>'Kings Tableland'!AU26</f>
        <v>121201</v>
      </c>
      <c r="AX289">
        <f>'Kings Tableland'!AV26</f>
        <v>2.9</v>
      </c>
    </row>
    <row r="290" spans="1:50">
      <c r="A290" t="str">
        <f>'Kings Tableland'!A27</f>
        <v>/Users/christophermarjo/Documents/Python/Projects/data/bushfire Raman/Kings Tableland (RHS)/KTM 5(2).txt</v>
      </c>
      <c r="B290" t="str">
        <f t="shared" si="4"/>
        <v>Kings Tableland</v>
      </c>
      <c r="C290">
        <v>5</v>
      </c>
      <c r="D290" t="str">
        <f>'Kings Tableland'!B27</f>
        <v>14.00 counts</v>
      </c>
      <c r="E290">
        <f>'Kings Tableland'!C27</f>
        <v>0.98946800000000001</v>
      </c>
      <c r="F290">
        <f>'Kings Tableland'!D27</f>
        <v>1369</v>
      </c>
      <c r="G290">
        <f>'Kings Tableland'!E27</f>
        <v>8761</v>
      </c>
      <c r="H290">
        <f>'Kings Tableland'!F27</f>
        <v>334</v>
      </c>
      <c r="I290">
        <f>'Kings Tableland'!G27</f>
        <v>3114816</v>
      </c>
      <c r="J290">
        <f>'Kings Tableland'!H27</f>
        <v>68.099999999999994</v>
      </c>
      <c r="K290">
        <f>'Kings Tableland'!I27</f>
        <v>1586</v>
      </c>
      <c r="L290">
        <f>'Kings Tableland'!J27</f>
        <v>10339</v>
      </c>
      <c r="M290">
        <f>'Kings Tableland'!K27</f>
        <v>114</v>
      </c>
      <c r="N290">
        <f>'Kings Tableland'!L27</f>
        <v>1254630</v>
      </c>
      <c r="O290">
        <f>'Kings Tableland'!M27</f>
        <v>27.4</v>
      </c>
      <c r="P290">
        <f>'Kings Tableland'!N27</f>
        <v>1039</v>
      </c>
      <c r="Q290">
        <f>'Kings Tableland'!O27</f>
        <v>341</v>
      </c>
      <c r="R290">
        <f>'Kings Tableland'!P27</f>
        <v>63</v>
      </c>
      <c r="S290">
        <f>'Kings Tableland'!Q27</f>
        <v>22868</v>
      </c>
      <c r="T290">
        <f>'Kings Tableland'!R27</f>
        <v>0.5</v>
      </c>
      <c r="U290">
        <f>'Kings Tableland'!S27</f>
        <v>1154</v>
      </c>
      <c r="V290">
        <f>'Kings Tableland'!T27</f>
        <v>1</v>
      </c>
      <c r="W290">
        <f>'Kings Tableland'!U27</f>
        <v>1</v>
      </c>
      <c r="X290">
        <f>'Kings Tableland'!V27</f>
        <v>1</v>
      </c>
      <c r="Y290">
        <f>'Kings Tableland'!W27</f>
        <v>0</v>
      </c>
      <c r="Z290">
        <f>'Kings Tableland'!X27</f>
        <v>1270</v>
      </c>
      <c r="AA290">
        <f>'Kings Tableland'!Y27</f>
        <v>1</v>
      </c>
      <c r="AB290">
        <f>'Kings Tableland'!Z27</f>
        <v>1</v>
      </c>
      <c r="AC290">
        <f>'Kings Tableland'!AA27</f>
        <v>1</v>
      </c>
      <c r="AD290">
        <f>'Kings Tableland'!AB27</f>
        <v>0</v>
      </c>
      <c r="AE290">
        <f>'Kings Tableland'!AC27</f>
        <v>1456</v>
      </c>
      <c r="AF290">
        <f>'Kings Tableland'!AD27</f>
        <v>649</v>
      </c>
      <c r="AG290">
        <f>'Kings Tableland'!AE27</f>
        <v>71</v>
      </c>
      <c r="AH290">
        <f>'Kings Tableland'!AF27</f>
        <v>49050</v>
      </c>
      <c r="AI290">
        <f>'Kings Tableland'!AG27</f>
        <v>1.1000000000000001</v>
      </c>
      <c r="AJ290">
        <f>'Kings Tableland'!AH27</f>
        <v>1500</v>
      </c>
      <c r="AK290">
        <f>'Kings Tableland'!AI27</f>
        <v>39</v>
      </c>
      <c r="AL290">
        <f>'Kings Tableland'!AJ27</f>
        <v>25</v>
      </c>
      <c r="AM290">
        <f>'Kings Tableland'!AK27</f>
        <v>1038</v>
      </c>
      <c r="AN290">
        <f>'Kings Tableland'!AL27</f>
        <v>0</v>
      </c>
      <c r="AO290">
        <f>'Kings Tableland'!AM27</f>
        <v>1592</v>
      </c>
      <c r="AP290">
        <f>'Kings Tableland'!AN27</f>
        <v>375</v>
      </c>
      <c r="AQ290">
        <f>'Kings Tableland'!AO27</f>
        <v>15</v>
      </c>
      <c r="AR290">
        <f>'Kings Tableland'!AP27</f>
        <v>5988</v>
      </c>
      <c r="AS290">
        <f>'Kings Tableland'!AQ27</f>
        <v>0.1</v>
      </c>
      <c r="AT290">
        <f>'Kings Tableland'!AR27</f>
        <v>1738</v>
      </c>
      <c r="AU290">
        <f>'Kings Tableland'!AS27</f>
        <v>1039</v>
      </c>
      <c r="AV290">
        <f>'Kings Tableland'!AT27</f>
        <v>115</v>
      </c>
      <c r="AW290">
        <f>'Kings Tableland'!AU27</f>
        <v>127188</v>
      </c>
      <c r="AX290">
        <f>'Kings Tableland'!AV27</f>
        <v>2.8</v>
      </c>
    </row>
    <row r="291" spans="1:50">
      <c r="A291" t="str">
        <f>'Kings Tableland'!A28</f>
        <v>/Users/christophermarjo/Documents/Python/Projects/data/bushfire Raman/Kings Tableland (RHS)/KTM 5(3).txt</v>
      </c>
      <c r="B291" t="str">
        <f t="shared" si="4"/>
        <v>Kings Tableland</v>
      </c>
      <c r="C291">
        <v>5</v>
      </c>
      <c r="D291" t="str">
        <f>'Kings Tableland'!B28</f>
        <v>13.24 counts</v>
      </c>
      <c r="E291">
        <f>'Kings Tableland'!C28</f>
        <v>0.989371</v>
      </c>
      <c r="F291">
        <f>'Kings Tableland'!D28</f>
        <v>1369</v>
      </c>
      <c r="G291">
        <f>'Kings Tableland'!E28</f>
        <v>7977</v>
      </c>
      <c r="H291">
        <f>'Kings Tableland'!F28</f>
        <v>340</v>
      </c>
      <c r="I291">
        <f>'Kings Tableland'!G28</f>
        <v>2887026</v>
      </c>
      <c r="J291">
        <f>'Kings Tableland'!H28</f>
        <v>66.599999999999994</v>
      </c>
      <c r="K291">
        <f>'Kings Tableland'!I28</f>
        <v>1586</v>
      </c>
      <c r="L291">
        <f>'Kings Tableland'!J28</f>
        <v>10053</v>
      </c>
      <c r="M291">
        <f>'Kings Tableland'!K28</f>
        <v>114</v>
      </c>
      <c r="N291">
        <f>'Kings Tableland'!L28</f>
        <v>1219924</v>
      </c>
      <c r="O291">
        <f>'Kings Tableland'!M28</f>
        <v>28.1</v>
      </c>
      <c r="P291">
        <f>'Kings Tableland'!N28</f>
        <v>1043</v>
      </c>
      <c r="Q291">
        <f>'Kings Tableland'!O28</f>
        <v>253</v>
      </c>
      <c r="R291">
        <f>'Kings Tableland'!P28</f>
        <v>61</v>
      </c>
      <c r="S291">
        <f>'Kings Tableland'!Q28</f>
        <v>16428</v>
      </c>
      <c r="T291">
        <f>'Kings Tableland'!R28</f>
        <v>0.4</v>
      </c>
      <c r="U291">
        <f>'Kings Tableland'!S28</f>
        <v>1154</v>
      </c>
      <c r="V291">
        <f>'Kings Tableland'!T28</f>
        <v>1</v>
      </c>
      <c r="W291">
        <f>'Kings Tableland'!U28</f>
        <v>1</v>
      </c>
      <c r="X291">
        <f>'Kings Tableland'!V28</f>
        <v>1</v>
      </c>
      <c r="Y291">
        <f>'Kings Tableland'!W28</f>
        <v>0</v>
      </c>
      <c r="Z291">
        <f>'Kings Tableland'!X28</f>
        <v>1270</v>
      </c>
      <c r="AA291">
        <f>'Kings Tableland'!Y28</f>
        <v>1</v>
      </c>
      <c r="AB291">
        <f>'Kings Tableland'!Z28</f>
        <v>1</v>
      </c>
      <c r="AC291">
        <f>'Kings Tableland'!AA28</f>
        <v>1</v>
      </c>
      <c r="AD291">
        <f>'Kings Tableland'!AB28</f>
        <v>0</v>
      </c>
      <c r="AE291">
        <f>'Kings Tableland'!AC28</f>
        <v>1456</v>
      </c>
      <c r="AF291">
        <f>'Kings Tableland'!AD28</f>
        <v>521</v>
      </c>
      <c r="AG291">
        <f>'Kings Tableland'!AE28</f>
        <v>83</v>
      </c>
      <c r="AH291">
        <f>'Kings Tableland'!AF28</f>
        <v>46031</v>
      </c>
      <c r="AI291">
        <f>'Kings Tableland'!AG28</f>
        <v>1.1000000000000001</v>
      </c>
      <c r="AJ291">
        <f>'Kings Tableland'!AH28</f>
        <v>1500</v>
      </c>
      <c r="AK291">
        <f>'Kings Tableland'!AI28</f>
        <v>381</v>
      </c>
      <c r="AL291">
        <f>'Kings Tableland'!AJ28</f>
        <v>19</v>
      </c>
      <c r="AM291">
        <f>'Kings Tableland'!AK28</f>
        <v>7706</v>
      </c>
      <c r="AN291">
        <f>'Kings Tableland'!AL28</f>
        <v>0.2</v>
      </c>
      <c r="AO291">
        <f>'Kings Tableland'!AM28</f>
        <v>1598</v>
      </c>
      <c r="AP291">
        <f>'Kings Tableland'!AN28</f>
        <v>443</v>
      </c>
      <c r="AQ291">
        <f>'Kings Tableland'!AO28</f>
        <v>23</v>
      </c>
      <c r="AR291">
        <f>'Kings Tableland'!AP28</f>
        <v>10846</v>
      </c>
      <c r="AS291">
        <f>'Kings Tableland'!AQ28</f>
        <v>0.3</v>
      </c>
      <c r="AT291">
        <f>'Kings Tableland'!AR28</f>
        <v>1748</v>
      </c>
      <c r="AU291">
        <f>'Kings Tableland'!AS28</f>
        <v>973</v>
      </c>
      <c r="AV291">
        <f>'Kings Tableland'!AT28</f>
        <v>143</v>
      </c>
      <c r="AW291">
        <f>'Kings Tableland'!AU28</f>
        <v>148109</v>
      </c>
      <c r="AX291">
        <f>'Kings Tableland'!AV28</f>
        <v>3.4</v>
      </c>
    </row>
    <row r="292" spans="1:50">
      <c r="A292" t="str">
        <f>'Kings Tableland'!A29</f>
        <v>/Users/christophermarjo/Documents/Python/Projects/data/bushfire Raman/Kings Tableland (RHS)/KTM 6 (2).txt</v>
      </c>
      <c r="B292" t="str">
        <f t="shared" si="4"/>
        <v>Kings Tableland</v>
      </c>
      <c r="C292">
        <v>6</v>
      </c>
      <c r="D292" t="str">
        <f>'Kings Tableland'!B29</f>
        <v>7.52 counts</v>
      </c>
      <c r="E292">
        <f>'Kings Tableland'!C29</f>
        <v>0.98962000000000006</v>
      </c>
      <c r="F292">
        <f>'Kings Tableland'!D29</f>
        <v>1369</v>
      </c>
      <c r="G292">
        <f>'Kings Tableland'!E29</f>
        <v>4829</v>
      </c>
      <c r="H292">
        <f>'Kings Tableland'!F29</f>
        <v>326</v>
      </c>
      <c r="I292">
        <f>'Kings Tableland'!G29</f>
        <v>1675741</v>
      </c>
      <c r="J292">
        <f>'Kings Tableland'!H29</f>
        <v>68.900000000000006</v>
      </c>
      <c r="K292">
        <f>'Kings Tableland'!I29</f>
        <v>1592</v>
      </c>
      <c r="L292">
        <f>'Kings Tableland'!J29</f>
        <v>5927</v>
      </c>
      <c r="M292">
        <f>'Kings Tableland'!K29</f>
        <v>100</v>
      </c>
      <c r="N292">
        <f>'Kings Tableland'!L29</f>
        <v>630910</v>
      </c>
      <c r="O292">
        <f>'Kings Tableland'!M29</f>
        <v>25.9</v>
      </c>
      <c r="P292">
        <f>'Kings Tableland'!N29</f>
        <v>1037</v>
      </c>
      <c r="Q292">
        <f>'Kings Tableland'!O29</f>
        <v>191</v>
      </c>
      <c r="R292">
        <f>'Kings Tableland'!P29</f>
        <v>69</v>
      </c>
      <c r="S292">
        <f>'Kings Tableland'!Q29</f>
        <v>14029</v>
      </c>
      <c r="T292">
        <f>'Kings Tableland'!R29</f>
        <v>0.6</v>
      </c>
      <c r="U292">
        <f>'Kings Tableland'!S29</f>
        <v>1166</v>
      </c>
      <c r="V292">
        <f>'Kings Tableland'!T29</f>
        <v>27</v>
      </c>
      <c r="W292">
        <f>'Kings Tableland'!U29</f>
        <v>1</v>
      </c>
      <c r="X292">
        <f>'Kings Tableland'!V29</f>
        <v>29</v>
      </c>
      <c r="Y292">
        <f>'Kings Tableland'!W29</f>
        <v>0</v>
      </c>
      <c r="Z292">
        <f>'Kings Tableland'!X29</f>
        <v>1270</v>
      </c>
      <c r="AA292">
        <f>'Kings Tableland'!Y29</f>
        <v>1</v>
      </c>
      <c r="AB292">
        <f>'Kings Tableland'!Z29</f>
        <v>1</v>
      </c>
      <c r="AC292">
        <f>'Kings Tableland'!AA29</f>
        <v>1</v>
      </c>
      <c r="AD292">
        <f>'Kings Tableland'!AB29</f>
        <v>0</v>
      </c>
      <c r="AE292">
        <f>'Kings Tableland'!AC29</f>
        <v>1456</v>
      </c>
      <c r="AF292">
        <f>'Kings Tableland'!AD29</f>
        <v>37</v>
      </c>
      <c r="AG292">
        <f>'Kings Tableland'!AE29</f>
        <v>147</v>
      </c>
      <c r="AH292">
        <f>'Kings Tableland'!AF29</f>
        <v>5790</v>
      </c>
      <c r="AI292">
        <f>'Kings Tableland'!AG29</f>
        <v>0.2</v>
      </c>
      <c r="AJ292">
        <f>'Kings Tableland'!AH29</f>
        <v>1500</v>
      </c>
      <c r="AK292">
        <f>'Kings Tableland'!AI29</f>
        <v>237</v>
      </c>
      <c r="AL292">
        <f>'Kings Tableland'!AJ29</f>
        <v>27</v>
      </c>
      <c r="AM292">
        <f>'Kings Tableland'!AK29</f>
        <v>6812</v>
      </c>
      <c r="AN292">
        <f>'Kings Tableland'!AL29</f>
        <v>0.3</v>
      </c>
      <c r="AO292">
        <f>'Kings Tableland'!AM29</f>
        <v>1598</v>
      </c>
      <c r="AP292">
        <f>'Kings Tableland'!AN29</f>
        <v>605</v>
      </c>
      <c r="AQ292">
        <f>'Kings Tableland'!AO29</f>
        <v>27</v>
      </c>
      <c r="AR292">
        <f>'Kings Tableland'!AP29</f>
        <v>17388</v>
      </c>
      <c r="AS292">
        <f>'Kings Tableland'!AQ29</f>
        <v>0.7</v>
      </c>
      <c r="AT292">
        <f>'Kings Tableland'!AR29</f>
        <v>1734</v>
      </c>
      <c r="AU292">
        <f>'Kings Tableland'!AS29</f>
        <v>587</v>
      </c>
      <c r="AV292">
        <f>'Kings Tableland'!AT29</f>
        <v>131</v>
      </c>
      <c r="AW292">
        <f>'Kings Tableland'!AU29</f>
        <v>81854</v>
      </c>
      <c r="AX292">
        <f>'Kings Tableland'!AV29</f>
        <v>3.4</v>
      </c>
    </row>
    <row r="293" spans="1:50">
      <c r="A293" t="str">
        <f>'Kings Tableland'!A30</f>
        <v>/Users/christophermarjo/Documents/Python/Projects/data/bushfire Raman/Kings Tableland (RHS)/KTM 6 (3) .txt</v>
      </c>
      <c r="B293" t="str">
        <f t="shared" si="4"/>
        <v>Kings Tableland</v>
      </c>
      <c r="C293">
        <v>6</v>
      </c>
      <c r="D293" t="str">
        <f>'Kings Tableland'!B30</f>
        <v>7.63 counts</v>
      </c>
      <c r="E293">
        <f>'Kings Tableland'!C30</f>
        <v>0.98836800000000002</v>
      </c>
      <c r="F293">
        <f>'Kings Tableland'!D30</f>
        <v>1369</v>
      </c>
      <c r="G293">
        <f>'Kings Tableland'!E30</f>
        <v>4757</v>
      </c>
      <c r="H293">
        <f>'Kings Tableland'!F30</f>
        <v>352</v>
      </c>
      <c r="I293">
        <f>'Kings Tableland'!G30</f>
        <v>1782412</v>
      </c>
      <c r="J293">
        <f>'Kings Tableland'!H30</f>
        <v>73.099999999999994</v>
      </c>
      <c r="K293">
        <f>'Kings Tableland'!I30</f>
        <v>1590</v>
      </c>
      <c r="L293">
        <f>'Kings Tableland'!J30</f>
        <v>4991</v>
      </c>
      <c r="M293">
        <f>'Kings Tableland'!K30</f>
        <v>100</v>
      </c>
      <c r="N293">
        <f>'Kings Tableland'!L30</f>
        <v>531275</v>
      </c>
      <c r="O293">
        <f>'Kings Tableland'!M30</f>
        <v>21.8</v>
      </c>
      <c r="P293">
        <f>'Kings Tableland'!N30</f>
        <v>1023</v>
      </c>
      <c r="Q293">
        <f>'Kings Tableland'!O30</f>
        <v>177</v>
      </c>
      <c r="R293">
        <f>'Kings Tableland'!P30</f>
        <v>83</v>
      </c>
      <c r="S293">
        <f>'Kings Tableland'!Q30</f>
        <v>15638</v>
      </c>
      <c r="T293">
        <f>'Kings Tableland'!R30</f>
        <v>0.6</v>
      </c>
      <c r="U293">
        <f>'Kings Tableland'!S30</f>
        <v>1154</v>
      </c>
      <c r="V293">
        <f>'Kings Tableland'!T30</f>
        <v>1</v>
      </c>
      <c r="W293">
        <f>'Kings Tableland'!U30</f>
        <v>1</v>
      </c>
      <c r="X293">
        <f>'Kings Tableland'!V30</f>
        <v>1</v>
      </c>
      <c r="Y293">
        <f>'Kings Tableland'!W30</f>
        <v>0</v>
      </c>
      <c r="Z293">
        <f>'Kings Tableland'!X30</f>
        <v>1270</v>
      </c>
      <c r="AA293">
        <f>'Kings Tableland'!Y30</f>
        <v>1</v>
      </c>
      <c r="AB293">
        <f>'Kings Tableland'!Z30</f>
        <v>1</v>
      </c>
      <c r="AC293">
        <f>'Kings Tableland'!AA30</f>
        <v>1</v>
      </c>
      <c r="AD293">
        <f>'Kings Tableland'!AB30</f>
        <v>0</v>
      </c>
      <c r="AE293">
        <f>'Kings Tableland'!AC30</f>
        <v>1434</v>
      </c>
      <c r="AF293">
        <f>'Kings Tableland'!AD30</f>
        <v>121</v>
      </c>
      <c r="AG293">
        <f>'Kings Tableland'!AE30</f>
        <v>1</v>
      </c>
      <c r="AH293">
        <f>'Kings Tableland'!AF30</f>
        <v>129</v>
      </c>
      <c r="AI293">
        <f>'Kings Tableland'!AG30</f>
        <v>0</v>
      </c>
      <c r="AJ293">
        <f>'Kings Tableland'!AH30</f>
        <v>1500</v>
      </c>
      <c r="AK293">
        <f>'Kings Tableland'!AI30</f>
        <v>121</v>
      </c>
      <c r="AL293">
        <f>'Kings Tableland'!AJ30</f>
        <v>21</v>
      </c>
      <c r="AM293">
        <f>'Kings Tableland'!AK30</f>
        <v>2705</v>
      </c>
      <c r="AN293">
        <f>'Kings Tableland'!AL30</f>
        <v>0.1</v>
      </c>
      <c r="AO293">
        <f>'Kings Tableland'!AM30</f>
        <v>1596</v>
      </c>
      <c r="AP293">
        <f>'Kings Tableland'!AN30</f>
        <v>601</v>
      </c>
      <c r="AQ293">
        <f>'Kings Tableland'!AO30</f>
        <v>31</v>
      </c>
      <c r="AR293">
        <f>'Kings Tableland'!AP30</f>
        <v>19832</v>
      </c>
      <c r="AS293">
        <f>'Kings Tableland'!AQ30</f>
        <v>0.8</v>
      </c>
      <c r="AT293">
        <f>'Kings Tableland'!AR30</f>
        <v>1742</v>
      </c>
      <c r="AU293">
        <f>'Kings Tableland'!AS30</f>
        <v>457</v>
      </c>
      <c r="AV293">
        <f>'Kings Tableland'!AT30</f>
        <v>175</v>
      </c>
      <c r="AW293">
        <f>'Kings Tableland'!AU30</f>
        <v>85131</v>
      </c>
      <c r="AX293">
        <f>'Kings Tableland'!AV30</f>
        <v>3.5</v>
      </c>
    </row>
    <row r="294" spans="1:50">
      <c r="A294" t="str">
        <f>'Kings Tableland'!A31</f>
        <v>/Users/christophermarjo/Documents/Python/Projects/data/bushfire Raman/Kings Tableland (RHS)/KTM 6.5 (1) .txt</v>
      </c>
      <c r="B294" t="str">
        <f t="shared" si="4"/>
        <v>Kings Tableland</v>
      </c>
      <c r="C294">
        <v>6</v>
      </c>
      <c r="D294" t="str">
        <f>'Kings Tableland'!B31</f>
        <v>32.05 counts</v>
      </c>
      <c r="E294">
        <f>'Kings Tableland'!C31</f>
        <v>0.97929999999999995</v>
      </c>
      <c r="F294">
        <f>'Kings Tableland'!D31</f>
        <v>1369</v>
      </c>
      <c r="G294">
        <f>'Kings Tableland'!E31</f>
        <v>15841</v>
      </c>
      <c r="H294">
        <f>'Kings Tableland'!F31</f>
        <v>296</v>
      </c>
      <c r="I294">
        <f>'Kings Tableland'!G31</f>
        <v>4991218</v>
      </c>
      <c r="J294">
        <f>'Kings Tableland'!H31</f>
        <v>65.599999999999994</v>
      </c>
      <c r="K294">
        <f>'Kings Tableland'!I31</f>
        <v>1592</v>
      </c>
      <c r="L294">
        <f>'Kings Tableland'!J31</f>
        <v>17777</v>
      </c>
      <c r="M294">
        <f>'Kings Tableland'!K31</f>
        <v>102</v>
      </c>
      <c r="N294">
        <f>'Kings Tableland'!L31</f>
        <v>1930149</v>
      </c>
      <c r="O294">
        <f>'Kings Tableland'!M31</f>
        <v>25.4</v>
      </c>
      <c r="P294">
        <f>'Kings Tableland'!N31</f>
        <v>1031</v>
      </c>
      <c r="Q294">
        <f>'Kings Tableland'!O31</f>
        <v>931</v>
      </c>
      <c r="R294">
        <f>'Kings Tableland'!P31</f>
        <v>65</v>
      </c>
      <c r="S294">
        <f>'Kings Tableland'!Q31</f>
        <v>64416</v>
      </c>
      <c r="T294">
        <f>'Kings Tableland'!R31</f>
        <v>0.8</v>
      </c>
      <c r="U294">
        <f>'Kings Tableland'!S31</f>
        <v>1152</v>
      </c>
      <c r="V294">
        <f>'Kings Tableland'!T31</f>
        <v>403</v>
      </c>
      <c r="W294">
        <f>'Kings Tableland'!U31</f>
        <v>13</v>
      </c>
      <c r="X294">
        <f>'Kings Tableland'!V31</f>
        <v>5577</v>
      </c>
      <c r="Y294">
        <f>'Kings Tableland'!W31</f>
        <v>0.1</v>
      </c>
      <c r="Z294">
        <f>'Kings Tableland'!X31</f>
        <v>1270</v>
      </c>
      <c r="AA294">
        <f>'Kings Tableland'!Y31</f>
        <v>1</v>
      </c>
      <c r="AB294">
        <f>'Kings Tableland'!Z31</f>
        <v>1</v>
      </c>
      <c r="AC294">
        <f>'Kings Tableland'!AA31</f>
        <v>1</v>
      </c>
      <c r="AD294">
        <f>'Kings Tableland'!AB31</f>
        <v>0</v>
      </c>
      <c r="AE294">
        <f>'Kings Tableland'!AC31</f>
        <v>1456</v>
      </c>
      <c r="AF294">
        <f>'Kings Tableland'!AD31</f>
        <v>39</v>
      </c>
      <c r="AG294">
        <f>'Kings Tableland'!AE31</f>
        <v>173</v>
      </c>
      <c r="AH294">
        <f>'Kings Tableland'!AF31</f>
        <v>7182</v>
      </c>
      <c r="AI294">
        <f>'Kings Tableland'!AG31</f>
        <v>0.1</v>
      </c>
      <c r="AJ294">
        <f>'Kings Tableland'!AH31</f>
        <v>1500</v>
      </c>
      <c r="AK294">
        <f>'Kings Tableland'!AI31</f>
        <v>827</v>
      </c>
      <c r="AL294">
        <f>'Kings Tableland'!AJ31</f>
        <v>51</v>
      </c>
      <c r="AM294">
        <f>'Kings Tableland'!AK31</f>
        <v>44896</v>
      </c>
      <c r="AN294">
        <f>'Kings Tableland'!AL31</f>
        <v>0.6</v>
      </c>
      <c r="AO294">
        <f>'Kings Tableland'!AM31</f>
        <v>1592</v>
      </c>
      <c r="AP294">
        <f>'Kings Tableland'!AN31</f>
        <v>859</v>
      </c>
      <c r="AQ294">
        <f>'Kings Tableland'!AO31</f>
        <v>7</v>
      </c>
      <c r="AR294">
        <f>'Kings Tableland'!AP31</f>
        <v>6401</v>
      </c>
      <c r="AS294">
        <f>'Kings Tableland'!AQ31</f>
        <v>0.1</v>
      </c>
      <c r="AT294">
        <f>'Kings Tableland'!AR31</f>
        <v>1748</v>
      </c>
      <c r="AU294">
        <f>'Kings Tableland'!AS31</f>
        <v>2627</v>
      </c>
      <c r="AV294">
        <f>'Kings Tableland'!AT31</f>
        <v>199</v>
      </c>
      <c r="AW294">
        <f>'Kings Tableland'!AU31</f>
        <v>556475</v>
      </c>
      <c r="AX294">
        <f>'Kings Tableland'!AV31</f>
        <v>7.3</v>
      </c>
    </row>
    <row r="295" spans="1:50">
      <c r="A295" t="str">
        <f>'Kings Tableland'!A32</f>
        <v>/Users/christophermarjo/Documents/Python/Projects/data/bushfire Raman/Kings Tableland (RHS)/KTM 6.5 (2).txt</v>
      </c>
      <c r="B295" t="str">
        <f t="shared" si="4"/>
        <v>Kings Tableland</v>
      </c>
      <c r="C295">
        <v>6.5</v>
      </c>
      <c r="D295" t="str">
        <f>'Kings Tableland'!B32</f>
        <v>10.58 counts</v>
      </c>
      <c r="E295">
        <f>'Kings Tableland'!C32</f>
        <v>0.98340899999999998</v>
      </c>
      <c r="F295">
        <f>'Kings Tableland'!D32</f>
        <v>1369</v>
      </c>
      <c r="G295">
        <f>'Kings Tableland'!E32</f>
        <v>5765</v>
      </c>
      <c r="H295">
        <f>'Kings Tableland'!F32</f>
        <v>348</v>
      </c>
      <c r="I295">
        <f>'Kings Tableland'!G32</f>
        <v>2135555</v>
      </c>
      <c r="J295">
        <f>'Kings Tableland'!H32</f>
        <v>74.8</v>
      </c>
      <c r="K295">
        <f>'Kings Tableland'!I32</f>
        <v>1588</v>
      </c>
      <c r="L295">
        <f>'Kings Tableland'!J32</f>
        <v>5421</v>
      </c>
      <c r="M295">
        <f>'Kings Tableland'!K32</f>
        <v>102</v>
      </c>
      <c r="N295">
        <f>'Kings Tableland'!L32</f>
        <v>588589</v>
      </c>
      <c r="O295">
        <f>'Kings Tableland'!M32</f>
        <v>20.6</v>
      </c>
      <c r="P295">
        <f>'Kings Tableland'!N32</f>
        <v>1039</v>
      </c>
      <c r="Q295">
        <f>'Kings Tableland'!O32</f>
        <v>157</v>
      </c>
      <c r="R295">
        <f>'Kings Tableland'!P32</f>
        <v>59</v>
      </c>
      <c r="S295">
        <f>'Kings Tableland'!Q32</f>
        <v>9860</v>
      </c>
      <c r="T295">
        <f>'Kings Tableland'!R32</f>
        <v>0.3</v>
      </c>
      <c r="U295">
        <f>'Kings Tableland'!S32</f>
        <v>1154</v>
      </c>
      <c r="V295">
        <f>'Kings Tableland'!T32</f>
        <v>1</v>
      </c>
      <c r="W295">
        <f>'Kings Tableland'!U32</f>
        <v>1</v>
      </c>
      <c r="X295">
        <f>'Kings Tableland'!V32</f>
        <v>1</v>
      </c>
      <c r="Y295">
        <f>'Kings Tableland'!W32</f>
        <v>0</v>
      </c>
      <c r="Z295">
        <f>'Kings Tableland'!X32</f>
        <v>1270</v>
      </c>
      <c r="AA295">
        <f>'Kings Tableland'!Y32</f>
        <v>1</v>
      </c>
      <c r="AB295">
        <f>'Kings Tableland'!Z32</f>
        <v>1</v>
      </c>
      <c r="AC295">
        <f>'Kings Tableland'!AA32</f>
        <v>1</v>
      </c>
      <c r="AD295">
        <f>'Kings Tableland'!AB32</f>
        <v>0</v>
      </c>
      <c r="AE295">
        <f>'Kings Tableland'!AC32</f>
        <v>1402</v>
      </c>
      <c r="AF295">
        <f>'Kings Tableland'!AD32</f>
        <v>39</v>
      </c>
      <c r="AG295">
        <f>'Kings Tableland'!AE32</f>
        <v>1</v>
      </c>
      <c r="AH295">
        <f>'Kings Tableland'!AF32</f>
        <v>42</v>
      </c>
      <c r="AI295">
        <f>'Kings Tableland'!AG32</f>
        <v>0</v>
      </c>
      <c r="AJ295">
        <f>'Kings Tableland'!AH32</f>
        <v>1500</v>
      </c>
      <c r="AK295">
        <f>'Kings Tableland'!AI32</f>
        <v>279</v>
      </c>
      <c r="AL295">
        <f>'Kings Tableland'!AJ32</f>
        <v>17</v>
      </c>
      <c r="AM295">
        <f>'Kings Tableland'!AK32</f>
        <v>5049</v>
      </c>
      <c r="AN295">
        <f>'Kings Tableland'!AL32</f>
        <v>0.2</v>
      </c>
      <c r="AO295">
        <f>'Kings Tableland'!AM32</f>
        <v>1592</v>
      </c>
      <c r="AP295">
        <f>'Kings Tableland'!AN32</f>
        <v>535</v>
      </c>
      <c r="AQ295">
        <f>'Kings Tableland'!AO32</f>
        <v>19</v>
      </c>
      <c r="AR295">
        <f>'Kings Tableland'!AP32</f>
        <v>10820</v>
      </c>
      <c r="AS295">
        <f>'Kings Tableland'!AQ32</f>
        <v>0.4</v>
      </c>
      <c r="AT295">
        <f>'Kings Tableland'!AR32</f>
        <v>1748</v>
      </c>
      <c r="AU295">
        <f>'Kings Tableland'!AS32</f>
        <v>499</v>
      </c>
      <c r="AV295">
        <f>'Kings Tableland'!AT32</f>
        <v>199</v>
      </c>
      <c r="AW295">
        <f>'Kings Tableland'!AU32</f>
        <v>105703</v>
      </c>
      <c r="AX295">
        <f>'Kings Tableland'!AV32</f>
        <v>3.7</v>
      </c>
    </row>
    <row r="296" spans="1:50">
      <c r="A296" t="str">
        <f>'Kings Tableland'!A33</f>
        <v>/Users/christophermarjo/Documents/Python/Projects/data/bushfire Raman/Kings Tableland (RHS)/KTM 6.5 (3) .txt</v>
      </c>
      <c r="B296" t="str">
        <f t="shared" si="4"/>
        <v>Kings Tableland</v>
      </c>
      <c r="C296">
        <v>6.5</v>
      </c>
      <c r="D296" t="str">
        <f>'Kings Tableland'!B33</f>
        <v>17.70 counts</v>
      </c>
      <c r="E296">
        <f>'Kings Tableland'!C33</f>
        <v>0.98417100000000002</v>
      </c>
      <c r="F296">
        <f>'Kings Tableland'!D33</f>
        <v>1369</v>
      </c>
      <c r="G296">
        <f>'Kings Tableland'!E33</f>
        <v>9979</v>
      </c>
      <c r="H296">
        <f>'Kings Tableland'!F33</f>
        <v>344</v>
      </c>
      <c r="I296">
        <f>'Kings Tableland'!G33</f>
        <v>3654077</v>
      </c>
      <c r="J296">
        <f>'Kings Tableland'!H33</f>
        <v>74.2</v>
      </c>
      <c r="K296">
        <f>'Kings Tableland'!I33</f>
        <v>1588</v>
      </c>
      <c r="L296">
        <f>'Kings Tableland'!J33</f>
        <v>9277</v>
      </c>
      <c r="M296">
        <f>'Kings Tableland'!K33</f>
        <v>102</v>
      </c>
      <c r="N296">
        <f>'Kings Tableland'!L33</f>
        <v>1007256</v>
      </c>
      <c r="O296">
        <f>'Kings Tableland'!M33</f>
        <v>20.5</v>
      </c>
      <c r="P296">
        <f>'Kings Tableland'!N33</f>
        <v>1019</v>
      </c>
      <c r="Q296">
        <f>'Kings Tableland'!O33</f>
        <v>389</v>
      </c>
      <c r="R296">
        <f>'Kings Tableland'!P33</f>
        <v>81</v>
      </c>
      <c r="S296">
        <f>'Kings Tableland'!Q33</f>
        <v>33540</v>
      </c>
      <c r="T296">
        <f>'Kings Tableland'!R33</f>
        <v>0.7</v>
      </c>
      <c r="U296">
        <f>'Kings Tableland'!S33</f>
        <v>1154</v>
      </c>
      <c r="V296">
        <f>'Kings Tableland'!T33</f>
        <v>1</v>
      </c>
      <c r="W296">
        <f>'Kings Tableland'!U33</f>
        <v>1</v>
      </c>
      <c r="X296">
        <f>'Kings Tableland'!V33</f>
        <v>1</v>
      </c>
      <c r="Y296">
        <f>'Kings Tableland'!W33</f>
        <v>0</v>
      </c>
      <c r="Z296">
        <f>'Kings Tableland'!X33</f>
        <v>1292</v>
      </c>
      <c r="AA296">
        <f>'Kings Tableland'!Y33</f>
        <v>657</v>
      </c>
      <c r="AB296">
        <f>'Kings Tableland'!Z33</f>
        <v>1</v>
      </c>
      <c r="AC296">
        <f>'Kings Tableland'!AA33</f>
        <v>699</v>
      </c>
      <c r="AD296">
        <f>'Kings Tableland'!AB33</f>
        <v>0</v>
      </c>
      <c r="AE296">
        <f>'Kings Tableland'!AC33</f>
        <v>1400</v>
      </c>
      <c r="AF296">
        <f>'Kings Tableland'!AD33</f>
        <v>1</v>
      </c>
      <c r="AG296">
        <f>'Kings Tableland'!AE33</f>
        <v>127</v>
      </c>
      <c r="AH296">
        <f>'Kings Tableland'!AF33</f>
        <v>135</v>
      </c>
      <c r="AI296">
        <f>'Kings Tableland'!AG33</f>
        <v>0</v>
      </c>
      <c r="AJ296">
        <f>'Kings Tableland'!AH33</f>
        <v>1500</v>
      </c>
      <c r="AK296">
        <f>'Kings Tableland'!AI33</f>
        <v>315</v>
      </c>
      <c r="AL296">
        <f>'Kings Tableland'!AJ33</f>
        <v>23</v>
      </c>
      <c r="AM296">
        <f>'Kings Tableland'!AK33</f>
        <v>7712</v>
      </c>
      <c r="AN296">
        <f>'Kings Tableland'!AL33</f>
        <v>0.2</v>
      </c>
      <c r="AO296">
        <f>'Kings Tableland'!AM33</f>
        <v>1598</v>
      </c>
      <c r="AP296">
        <f>'Kings Tableland'!AN33</f>
        <v>929</v>
      </c>
      <c r="AQ296">
        <f>'Kings Tableland'!AO33</f>
        <v>25</v>
      </c>
      <c r="AR296">
        <f>'Kings Tableland'!AP33</f>
        <v>24722</v>
      </c>
      <c r="AS296">
        <f>'Kings Tableland'!AQ33</f>
        <v>0.5</v>
      </c>
      <c r="AT296">
        <f>'Kings Tableland'!AR33</f>
        <v>1744</v>
      </c>
      <c r="AU296">
        <f>'Kings Tableland'!AS33</f>
        <v>925</v>
      </c>
      <c r="AV296">
        <f>'Kings Tableland'!AT33</f>
        <v>199</v>
      </c>
      <c r="AW296">
        <f>'Kings Tableland'!AU33</f>
        <v>195942</v>
      </c>
      <c r="AX296">
        <f>'Kings Tableland'!AV33</f>
        <v>4</v>
      </c>
    </row>
    <row r="297" spans="1:50">
      <c r="A297" t="str">
        <f>'Kings Tableland'!A34</f>
        <v>/Users/christophermarjo/Documents/Python/Projects/data/bushfire Raman/Kings Tableland (RHS)/KTM 7 (1) .txt</v>
      </c>
      <c r="B297" t="str">
        <f t="shared" si="4"/>
        <v>Kings Tableland</v>
      </c>
      <c r="C297">
        <v>7</v>
      </c>
      <c r="D297" t="str">
        <f>'Kings Tableland'!B34</f>
        <v>14.64 counts</v>
      </c>
      <c r="E297">
        <f>'Kings Tableland'!C34</f>
        <v>0.98808799999999997</v>
      </c>
      <c r="F297">
        <f>'Kings Tableland'!D34</f>
        <v>1369</v>
      </c>
      <c r="G297">
        <f>'Kings Tableland'!E34</f>
        <v>9311</v>
      </c>
      <c r="H297">
        <f>'Kings Tableland'!F34</f>
        <v>304</v>
      </c>
      <c r="I297">
        <f>'Kings Tableland'!G34</f>
        <v>3013021</v>
      </c>
      <c r="J297">
        <f>'Kings Tableland'!H34</f>
        <v>68.599999999999994</v>
      </c>
      <c r="K297">
        <f>'Kings Tableland'!I34</f>
        <v>1592</v>
      </c>
      <c r="L297">
        <f>'Kings Tableland'!J34</f>
        <v>10347</v>
      </c>
      <c r="M297">
        <f>'Kings Tableland'!K34</f>
        <v>100</v>
      </c>
      <c r="N297">
        <f>'Kings Tableland'!L34</f>
        <v>1101404</v>
      </c>
      <c r="O297">
        <f>'Kings Tableland'!M34</f>
        <v>25.1</v>
      </c>
      <c r="P297">
        <f>'Kings Tableland'!N34</f>
        <v>1051</v>
      </c>
      <c r="Q297">
        <f>'Kings Tableland'!O34</f>
        <v>519</v>
      </c>
      <c r="R297">
        <f>'Kings Tableland'!P34</f>
        <v>105</v>
      </c>
      <c r="S297">
        <f>'Kings Tableland'!Q34</f>
        <v>58008</v>
      </c>
      <c r="T297">
        <f>'Kings Tableland'!R34</f>
        <v>1.3</v>
      </c>
      <c r="U297">
        <f>'Kings Tableland'!S34</f>
        <v>1150</v>
      </c>
      <c r="V297">
        <f>'Kings Tableland'!T34</f>
        <v>1</v>
      </c>
      <c r="W297">
        <f>'Kings Tableland'!U34</f>
        <v>3</v>
      </c>
      <c r="X297">
        <f>'Kings Tableland'!V34</f>
        <v>3</v>
      </c>
      <c r="Y297">
        <f>'Kings Tableland'!W34</f>
        <v>0</v>
      </c>
      <c r="Z297">
        <f>'Kings Tableland'!X34</f>
        <v>1270</v>
      </c>
      <c r="AA297">
        <f>'Kings Tableland'!Y34</f>
        <v>1</v>
      </c>
      <c r="AB297">
        <f>'Kings Tableland'!Z34</f>
        <v>1</v>
      </c>
      <c r="AC297">
        <f>'Kings Tableland'!AA34</f>
        <v>1</v>
      </c>
      <c r="AD297">
        <f>'Kings Tableland'!AB34</f>
        <v>0</v>
      </c>
      <c r="AE297">
        <f>'Kings Tableland'!AC34</f>
        <v>1402</v>
      </c>
      <c r="AF297">
        <f>'Kings Tableland'!AD34</f>
        <v>273</v>
      </c>
      <c r="AG297">
        <f>'Kings Tableland'!AE34</f>
        <v>3</v>
      </c>
      <c r="AH297">
        <f>'Kings Tableland'!AF34</f>
        <v>872</v>
      </c>
      <c r="AI297">
        <f>'Kings Tableland'!AG34</f>
        <v>0</v>
      </c>
      <c r="AJ297">
        <f>'Kings Tableland'!AH34</f>
        <v>1500</v>
      </c>
      <c r="AK297">
        <f>'Kings Tableland'!AI34</f>
        <v>259</v>
      </c>
      <c r="AL297">
        <f>'Kings Tableland'!AJ34</f>
        <v>21</v>
      </c>
      <c r="AM297">
        <f>'Kings Tableland'!AK34</f>
        <v>5790</v>
      </c>
      <c r="AN297">
        <f>'Kings Tableland'!AL34</f>
        <v>0.1</v>
      </c>
      <c r="AO297">
        <f>'Kings Tableland'!AM34</f>
        <v>1592</v>
      </c>
      <c r="AP297">
        <f>'Kings Tableland'!AN34</f>
        <v>967</v>
      </c>
      <c r="AQ297">
        <f>'Kings Tableland'!AO34</f>
        <v>23</v>
      </c>
      <c r="AR297">
        <f>'Kings Tableland'!AP34</f>
        <v>23675</v>
      </c>
      <c r="AS297">
        <f>'Kings Tableland'!AQ34</f>
        <v>0.5</v>
      </c>
      <c r="AT297">
        <f>'Kings Tableland'!AR34</f>
        <v>1740</v>
      </c>
      <c r="AU297">
        <f>'Kings Tableland'!AS34</f>
        <v>1027</v>
      </c>
      <c r="AV297">
        <f>'Kings Tableland'!AT34</f>
        <v>173</v>
      </c>
      <c r="AW297">
        <f>'Kings Tableland'!AU34</f>
        <v>189125</v>
      </c>
      <c r="AX297">
        <f>'Kings Tableland'!AV34</f>
        <v>4.3</v>
      </c>
    </row>
    <row r="298" spans="1:50">
      <c r="A298" t="str">
        <f>'Kings Tableland'!A35</f>
        <v>/Users/christophermarjo/Documents/Python/Projects/data/bushfire Raman/Kings Tableland (RHS)/KTM 7 (2).txt</v>
      </c>
      <c r="B298" t="str">
        <f t="shared" si="4"/>
        <v>Kings Tableland</v>
      </c>
      <c r="C298">
        <v>7</v>
      </c>
      <c r="D298" t="str">
        <f>'Kings Tableland'!B35</f>
        <v>19.05 counts</v>
      </c>
      <c r="E298">
        <f>'Kings Tableland'!C35</f>
        <v>0.98884700000000003</v>
      </c>
      <c r="F298">
        <f>'Kings Tableland'!D35</f>
        <v>1369</v>
      </c>
      <c r="G298">
        <f>'Kings Tableland'!E35</f>
        <v>12535</v>
      </c>
      <c r="H298">
        <f>'Kings Tableland'!F35</f>
        <v>324</v>
      </c>
      <c r="I298">
        <f>'Kings Tableland'!G35</f>
        <v>4323163</v>
      </c>
      <c r="J298">
        <f>'Kings Tableland'!H35</f>
        <v>71.7</v>
      </c>
      <c r="K298">
        <f>'Kings Tableland'!I35</f>
        <v>1590</v>
      </c>
      <c r="L298">
        <f>'Kings Tableland'!J35</f>
        <v>12953</v>
      </c>
      <c r="M298">
        <f>'Kings Tableland'!K35</f>
        <v>100</v>
      </c>
      <c r="N298">
        <f>'Kings Tableland'!L35</f>
        <v>1378804</v>
      </c>
      <c r="O298">
        <f>'Kings Tableland'!M35</f>
        <v>22.9</v>
      </c>
      <c r="P298">
        <f>'Kings Tableland'!N35</f>
        <v>1035</v>
      </c>
      <c r="Q298">
        <f>'Kings Tableland'!O35</f>
        <v>579</v>
      </c>
      <c r="R298">
        <f>'Kings Tableland'!P35</f>
        <v>81</v>
      </c>
      <c r="S298">
        <f>'Kings Tableland'!Q35</f>
        <v>49922</v>
      </c>
      <c r="T298">
        <f>'Kings Tableland'!R35</f>
        <v>0.8</v>
      </c>
      <c r="U298">
        <f>'Kings Tableland'!S35</f>
        <v>1154</v>
      </c>
      <c r="V298">
        <f>'Kings Tableland'!T35</f>
        <v>1</v>
      </c>
      <c r="W298">
        <f>'Kings Tableland'!U35</f>
        <v>1</v>
      </c>
      <c r="X298">
        <f>'Kings Tableland'!V35</f>
        <v>1</v>
      </c>
      <c r="Y298">
        <f>'Kings Tableland'!W35</f>
        <v>0</v>
      </c>
      <c r="Z298">
        <f>'Kings Tableland'!X35</f>
        <v>1270</v>
      </c>
      <c r="AA298">
        <f>'Kings Tableland'!Y35</f>
        <v>1</v>
      </c>
      <c r="AB298">
        <f>'Kings Tableland'!Z35</f>
        <v>1</v>
      </c>
      <c r="AC298">
        <f>'Kings Tableland'!AA35</f>
        <v>1</v>
      </c>
      <c r="AD298">
        <f>'Kings Tableland'!AB35</f>
        <v>0</v>
      </c>
      <c r="AE298">
        <f>'Kings Tableland'!AC35</f>
        <v>1402</v>
      </c>
      <c r="AF298">
        <f>'Kings Tableland'!AD35</f>
        <v>91</v>
      </c>
      <c r="AG298">
        <f>'Kings Tableland'!AE35</f>
        <v>1</v>
      </c>
      <c r="AH298">
        <f>'Kings Tableland'!AF35</f>
        <v>97</v>
      </c>
      <c r="AI298">
        <f>'Kings Tableland'!AG35</f>
        <v>0</v>
      </c>
      <c r="AJ298">
        <f>'Kings Tableland'!AH35</f>
        <v>1500</v>
      </c>
      <c r="AK298">
        <f>'Kings Tableland'!AI35</f>
        <v>423</v>
      </c>
      <c r="AL298">
        <f>'Kings Tableland'!AJ35</f>
        <v>31</v>
      </c>
      <c r="AM298">
        <f>'Kings Tableland'!AK35</f>
        <v>13958</v>
      </c>
      <c r="AN298">
        <f>'Kings Tableland'!AL35</f>
        <v>0.2</v>
      </c>
      <c r="AO298">
        <f>'Kings Tableland'!AM35</f>
        <v>1598</v>
      </c>
      <c r="AP298">
        <f>'Kings Tableland'!AN35</f>
        <v>1209</v>
      </c>
      <c r="AQ298">
        <f>'Kings Tableland'!AO35</f>
        <v>29</v>
      </c>
      <c r="AR298">
        <f>'Kings Tableland'!AP35</f>
        <v>37321</v>
      </c>
      <c r="AS298">
        <f>'Kings Tableland'!AQ35</f>
        <v>0.6</v>
      </c>
      <c r="AT298">
        <f>'Kings Tableland'!AR35</f>
        <v>1732</v>
      </c>
      <c r="AU298">
        <f>'Kings Tableland'!AS35</f>
        <v>1357</v>
      </c>
      <c r="AV298">
        <f>'Kings Tableland'!AT35</f>
        <v>157</v>
      </c>
      <c r="AW298">
        <f>'Kings Tableland'!AU35</f>
        <v>226784</v>
      </c>
      <c r="AX298">
        <f>'Kings Tableland'!AV35</f>
        <v>3.8</v>
      </c>
    </row>
    <row r="299" spans="1:50">
      <c r="A299" t="str">
        <f>'Kings Tableland'!A36</f>
        <v>/Users/christophermarjo/Documents/Python/Projects/data/bushfire Raman/Kings Tableland (RHS)/KTM 7.5 (2). txt</v>
      </c>
      <c r="B299" t="str">
        <f t="shared" si="4"/>
        <v>Kings Tableland</v>
      </c>
      <c r="C299">
        <v>7.5</v>
      </c>
      <c r="D299" t="str">
        <f>'Kings Tableland'!B36</f>
        <v>15.12 counts</v>
      </c>
      <c r="E299">
        <f>'Kings Tableland'!C36</f>
        <v>0.90198500000000004</v>
      </c>
      <c r="F299">
        <f>'Kings Tableland'!D36</f>
        <v>1359</v>
      </c>
      <c r="G299">
        <f>'Kings Tableland'!E36</f>
        <v>3201</v>
      </c>
      <c r="H299">
        <f>'Kings Tableland'!F36</f>
        <v>246</v>
      </c>
      <c r="I299">
        <f>'Kings Tableland'!G36</f>
        <v>838210</v>
      </c>
      <c r="J299">
        <f>'Kings Tableland'!H36</f>
        <v>60</v>
      </c>
      <c r="K299">
        <f>'Kings Tableland'!I36</f>
        <v>1596</v>
      </c>
      <c r="L299">
        <f>'Kings Tableland'!J36</f>
        <v>3921</v>
      </c>
      <c r="M299">
        <f>'Kings Tableland'!K36</f>
        <v>100</v>
      </c>
      <c r="N299">
        <f>'Kings Tableland'!L36</f>
        <v>417378</v>
      </c>
      <c r="O299">
        <f>'Kings Tableland'!M36</f>
        <v>29.9</v>
      </c>
      <c r="P299">
        <f>'Kings Tableland'!N36</f>
        <v>1073</v>
      </c>
      <c r="Q299">
        <f>'Kings Tableland'!O36</f>
        <v>177</v>
      </c>
      <c r="R299">
        <f>'Kings Tableland'!P36</f>
        <v>121</v>
      </c>
      <c r="S299">
        <f>'Kings Tableland'!Q36</f>
        <v>22798</v>
      </c>
      <c r="T299">
        <f>'Kings Tableland'!R36</f>
        <v>1.6</v>
      </c>
      <c r="U299">
        <f>'Kings Tableland'!S36</f>
        <v>1154</v>
      </c>
      <c r="V299">
        <f>'Kings Tableland'!T36</f>
        <v>167</v>
      </c>
      <c r="W299">
        <f>'Kings Tableland'!U36</f>
        <v>23</v>
      </c>
      <c r="X299">
        <f>'Kings Tableland'!V36</f>
        <v>4089</v>
      </c>
      <c r="Y299">
        <f>'Kings Tableland'!W36</f>
        <v>0.3</v>
      </c>
      <c r="Z299">
        <f>'Kings Tableland'!X36</f>
        <v>1260</v>
      </c>
      <c r="AA299">
        <f>'Kings Tableland'!Y36</f>
        <v>1</v>
      </c>
      <c r="AB299">
        <f>'Kings Tableland'!Z36</f>
        <v>1</v>
      </c>
      <c r="AC299">
        <f>'Kings Tableland'!AA36</f>
        <v>1</v>
      </c>
      <c r="AD299">
        <f>'Kings Tableland'!AB36</f>
        <v>0</v>
      </c>
      <c r="AE299">
        <f>'Kings Tableland'!AC36</f>
        <v>1456</v>
      </c>
      <c r="AF299">
        <f>'Kings Tableland'!AD36</f>
        <v>19</v>
      </c>
      <c r="AG299">
        <f>'Kings Tableland'!AE36</f>
        <v>199</v>
      </c>
      <c r="AH299">
        <f>'Kings Tableland'!AF36</f>
        <v>4025</v>
      </c>
      <c r="AI299">
        <f>'Kings Tableland'!AG36</f>
        <v>0.3</v>
      </c>
      <c r="AJ299">
        <f>'Kings Tableland'!AH36</f>
        <v>1494</v>
      </c>
      <c r="AK299">
        <f>'Kings Tableland'!AI36</f>
        <v>237</v>
      </c>
      <c r="AL299">
        <f>'Kings Tableland'!AJ36</f>
        <v>47</v>
      </c>
      <c r="AM299">
        <f>'Kings Tableland'!AK36</f>
        <v>11857</v>
      </c>
      <c r="AN299">
        <f>'Kings Tableland'!AL36</f>
        <v>0.8</v>
      </c>
      <c r="AO299">
        <f>'Kings Tableland'!AM36</f>
        <v>1598</v>
      </c>
      <c r="AP299">
        <f>'Kings Tableland'!AN36</f>
        <v>497</v>
      </c>
      <c r="AQ299">
        <f>'Kings Tableland'!AO36</f>
        <v>29</v>
      </c>
      <c r="AR299">
        <f>'Kings Tableland'!AP36</f>
        <v>15342</v>
      </c>
      <c r="AS299">
        <f>'Kings Tableland'!AQ36</f>
        <v>1.1000000000000001</v>
      </c>
      <c r="AT299">
        <f>'Kings Tableland'!AR36</f>
        <v>1744</v>
      </c>
      <c r="AU299">
        <f>'Kings Tableland'!AS36</f>
        <v>417</v>
      </c>
      <c r="AV299">
        <f>'Kings Tableland'!AT36</f>
        <v>189</v>
      </c>
      <c r="AW299">
        <f>'Kings Tableland'!AU36</f>
        <v>83894</v>
      </c>
      <c r="AX299">
        <f>'Kings Tableland'!AV36</f>
        <v>6</v>
      </c>
    </row>
    <row r="300" spans="1:50">
      <c r="A300" t="str">
        <f>'Kings Tableland'!A37</f>
        <v>/Users/christophermarjo/Documents/Python/Projects/data/bushfire Raman/Kings Tableland (RHS)/KTM 7(3).txt</v>
      </c>
      <c r="B300" t="str">
        <f t="shared" si="4"/>
        <v>Kings Tableland</v>
      </c>
      <c r="C300">
        <v>7</v>
      </c>
      <c r="D300" t="str">
        <f>'Kings Tableland'!B37</f>
        <v>17.92 counts</v>
      </c>
      <c r="E300">
        <f>'Kings Tableland'!C37</f>
        <v>0.987317</v>
      </c>
      <c r="F300">
        <f>'Kings Tableland'!D37</f>
        <v>1369</v>
      </c>
      <c r="G300">
        <f>'Kings Tableland'!E37</f>
        <v>10983</v>
      </c>
      <c r="H300">
        <f>'Kings Tableland'!F37</f>
        <v>316</v>
      </c>
      <c r="I300">
        <f>'Kings Tableland'!G37</f>
        <v>3694369</v>
      </c>
      <c r="J300">
        <f>'Kings Tableland'!H37</f>
        <v>71</v>
      </c>
      <c r="K300">
        <f>'Kings Tableland'!I37</f>
        <v>1592</v>
      </c>
      <c r="L300">
        <f>'Kings Tableland'!J37</f>
        <v>11639</v>
      </c>
      <c r="M300">
        <f>'Kings Tableland'!K37</f>
        <v>100</v>
      </c>
      <c r="N300">
        <f>'Kings Tableland'!L37</f>
        <v>1238933</v>
      </c>
      <c r="O300">
        <f>'Kings Tableland'!M37</f>
        <v>23.8</v>
      </c>
      <c r="P300">
        <f>'Kings Tableland'!N37</f>
        <v>1037</v>
      </c>
      <c r="Q300">
        <f>'Kings Tableland'!O37</f>
        <v>553</v>
      </c>
      <c r="R300">
        <f>'Kings Tableland'!P37</f>
        <v>97</v>
      </c>
      <c r="S300">
        <f>'Kings Tableland'!Q37</f>
        <v>57099</v>
      </c>
      <c r="T300">
        <f>'Kings Tableland'!R37</f>
        <v>1.1000000000000001</v>
      </c>
      <c r="U300">
        <f>'Kings Tableland'!S37</f>
        <v>1154</v>
      </c>
      <c r="V300">
        <f>'Kings Tableland'!T37</f>
        <v>1</v>
      </c>
      <c r="W300">
        <f>'Kings Tableland'!U37</f>
        <v>1</v>
      </c>
      <c r="X300">
        <f>'Kings Tableland'!V37</f>
        <v>1</v>
      </c>
      <c r="Y300">
        <f>'Kings Tableland'!W37</f>
        <v>0</v>
      </c>
      <c r="Z300">
        <f>'Kings Tableland'!X37</f>
        <v>1270</v>
      </c>
      <c r="AA300">
        <f>'Kings Tableland'!Y37</f>
        <v>1</v>
      </c>
      <c r="AB300">
        <f>'Kings Tableland'!Z37</f>
        <v>1</v>
      </c>
      <c r="AC300">
        <f>'Kings Tableland'!AA37</f>
        <v>1</v>
      </c>
      <c r="AD300">
        <f>'Kings Tableland'!AB37</f>
        <v>0</v>
      </c>
      <c r="AE300">
        <f>'Kings Tableland'!AC37</f>
        <v>1402</v>
      </c>
      <c r="AF300">
        <f>'Kings Tableland'!AD37</f>
        <v>137</v>
      </c>
      <c r="AG300">
        <f>'Kings Tableland'!AE37</f>
        <v>1</v>
      </c>
      <c r="AH300">
        <f>'Kings Tableland'!AF37</f>
        <v>146</v>
      </c>
      <c r="AI300">
        <f>'Kings Tableland'!AG37</f>
        <v>0</v>
      </c>
      <c r="AJ300">
        <f>'Kings Tableland'!AH37</f>
        <v>1506</v>
      </c>
      <c r="AK300">
        <f>'Kings Tableland'!AI37</f>
        <v>121</v>
      </c>
      <c r="AL300">
        <f>'Kings Tableland'!AJ37</f>
        <v>25</v>
      </c>
      <c r="AM300">
        <f>'Kings Tableland'!AK37</f>
        <v>3220</v>
      </c>
      <c r="AN300">
        <f>'Kings Tableland'!AL37</f>
        <v>0.1</v>
      </c>
      <c r="AO300">
        <f>'Kings Tableland'!AM37</f>
        <v>1598</v>
      </c>
      <c r="AP300">
        <f>'Kings Tableland'!AN37</f>
        <v>1511</v>
      </c>
      <c r="AQ300">
        <f>'Kings Tableland'!AO37</f>
        <v>29</v>
      </c>
      <c r="AR300">
        <f>'Kings Tableland'!AP37</f>
        <v>46644</v>
      </c>
      <c r="AS300">
        <f>'Kings Tableland'!AQ37</f>
        <v>0.9</v>
      </c>
      <c r="AT300">
        <f>'Kings Tableland'!AR37</f>
        <v>1734</v>
      </c>
      <c r="AU300">
        <f>'Kings Tableland'!AS37</f>
        <v>1069</v>
      </c>
      <c r="AV300">
        <f>'Kings Tableland'!AT37</f>
        <v>145</v>
      </c>
      <c r="AW300">
        <f>'Kings Tableland'!AU37</f>
        <v>164998</v>
      </c>
      <c r="AX300">
        <f>'Kings Tableland'!AV37</f>
        <v>3.2</v>
      </c>
    </row>
    <row r="301" spans="1:50">
      <c r="A301" t="str">
        <f>'Kings Tableland'!A38</f>
        <v>/Users/christophermarjo/Documents/Python/Projects/data/bushfire Raman/Kings Tableland (RHS)/KTM 8 (1) .txt</v>
      </c>
      <c r="B301" t="str">
        <f t="shared" si="4"/>
        <v>Kings Tableland</v>
      </c>
      <c r="C301">
        <v>8</v>
      </c>
      <c r="D301" t="str">
        <f>'Kings Tableland'!B38</f>
        <v>13.76 counts</v>
      </c>
      <c r="E301">
        <f>'Kings Tableland'!C38</f>
        <v>0.98249399999999998</v>
      </c>
      <c r="F301">
        <f>'Kings Tableland'!D38</f>
        <v>1361</v>
      </c>
      <c r="G301">
        <f>'Kings Tableland'!E38</f>
        <v>7209</v>
      </c>
      <c r="H301">
        <f>'Kings Tableland'!F38</f>
        <v>252</v>
      </c>
      <c r="I301">
        <f>'Kings Tableland'!G38</f>
        <v>1933783</v>
      </c>
      <c r="J301">
        <f>'Kings Tableland'!H38</f>
        <v>60.8</v>
      </c>
      <c r="K301">
        <f>'Kings Tableland'!I38</f>
        <v>1594</v>
      </c>
      <c r="L301">
        <f>'Kings Tableland'!J38</f>
        <v>9711</v>
      </c>
      <c r="M301">
        <f>'Kings Tableland'!K38</f>
        <v>100</v>
      </c>
      <c r="N301">
        <f>'Kings Tableland'!L38</f>
        <v>1033704</v>
      </c>
      <c r="O301">
        <f>'Kings Tableland'!M38</f>
        <v>32.5</v>
      </c>
      <c r="P301">
        <f>'Kings Tableland'!N38</f>
        <v>1073</v>
      </c>
      <c r="Q301">
        <f>'Kings Tableland'!O38</f>
        <v>139</v>
      </c>
      <c r="R301">
        <f>'Kings Tableland'!P38</f>
        <v>103</v>
      </c>
      <c r="S301">
        <f>'Kings Tableland'!Q38</f>
        <v>15240</v>
      </c>
      <c r="T301">
        <f>'Kings Tableland'!R38</f>
        <v>0.5</v>
      </c>
      <c r="U301">
        <f>'Kings Tableland'!S38</f>
        <v>1156</v>
      </c>
      <c r="V301">
        <f>'Kings Tableland'!T38</f>
        <v>217</v>
      </c>
      <c r="W301">
        <f>'Kings Tableland'!U38</f>
        <v>25</v>
      </c>
      <c r="X301">
        <f>'Kings Tableland'!V38</f>
        <v>5775</v>
      </c>
      <c r="Y301">
        <f>'Kings Tableland'!W38</f>
        <v>0.2</v>
      </c>
      <c r="Z301">
        <f>'Kings Tableland'!X38</f>
        <v>1260</v>
      </c>
      <c r="AA301">
        <f>'Kings Tableland'!Y38</f>
        <v>1</v>
      </c>
      <c r="AB301">
        <f>'Kings Tableland'!Z38</f>
        <v>1</v>
      </c>
      <c r="AC301">
        <f>'Kings Tableland'!AA38</f>
        <v>1</v>
      </c>
      <c r="AD301">
        <f>'Kings Tableland'!AB38</f>
        <v>0</v>
      </c>
      <c r="AE301">
        <f>'Kings Tableland'!AC38</f>
        <v>1434</v>
      </c>
      <c r="AF301">
        <f>'Kings Tableland'!AD38</f>
        <v>109</v>
      </c>
      <c r="AG301">
        <f>'Kings Tableland'!AE38</f>
        <v>133</v>
      </c>
      <c r="AH301">
        <f>'Kings Tableland'!AF38</f>
        <v>15432</v>
      </c>
      <c r="AI301">
        <f>'Kings Tableland'!AG38</f>
        <v>0.5</v>
      </c>
      <c r="AJ301">
        <f>'Kings Tableland'!AH38</f>
        <v>1494</v>
      </c>
      <c r="AK301">
        <f>'Kings Tableland'!AI38</f>
        <v>357</v>
      </c>
      <c r="AL301">
        <f>'Kings Tableland'!AJ38</f>
        <v>33</v>
      </c>
      <c r="AM301">
        <f>'Kings Tableland'!AK38</f>
        <v>12540</v>
      </c>
      <c r="AN301">
        <f>'Kings Tableland'!AL38</f>
        <v>0.4</v>
      </c>
      <c r="AO301">
        <f>'Kings Tableland'!AM38</f>
        <v>1590</v>
      </c>
      <c r="AP301">
        <f>'Kings Tableland'!AN38</f>
        <v>823</v>
      </c>
      <c r="AQ301">
        <f>'Kings Tableland'!AO38</f>
        <v>1</v>
      </c>
      <c r="AR301">
        <f>'Kings Tableland'!AP38</f>
        <v>876</v>
      </c>
      <c r="AS301">
        <f>'Kings Tableland'!AQ38</f>
        <v>0</v>
      </c>
      <c r="AT301">
        <f>'Kings Tableland'!AR38</f>
        <v>1726</v>
      </c>
      <c r="AU301">
        <f>'Kings Tableland'!AS38</f>
        <v>927</v>
      </c>
      <c r="AV301">
        <f>'Kings Tableland'!AT38</f>
        <v>163</v>
      </c>
      <c r="AW301">
        <f>'Kings Tableland'!AU38</f>
        <v>160842</v>
      </c>
      <c r="AX301">
        <f>'Kings Tableland'!AV38</f>
        <v>5.0999999999999996</v>
      </c>
    </row>
    <row r="302" spans="1:50">
      <c r="A302" t="str">
        <f>'Kings Tableland'!A39</f>
        <v>/Users/christophermarjo/Documents/Python/Projects/data/bushfire Raman/Kings Tableland (RHS)/KTM 8 (2).txt</v>
      </c>
      <c r="B302" t="str">
        <f t="shared" si="4"/>
        <v>Kings Tableland</v>
      </c>
      <c r="C302">
        <v>8</v>
      </c>
      <c r="D302" t="str">
        <f>'Kings Tableland'!B39</f>
        <v>9.05 counts</v>
      </c>
      <c r="E302">
        <f>'Kings Tableland'!C39</f>
        <v>0.98782499999999995</v>
      </c>
      <c r="F302">
        <f>'Kings Tableland'!D39</f>
        <v>1361</v>
      </c>
      <c r="G302">
        <f>'Kings Tableland'!E39</f>
        <v>5751</v>
      </c>
      <c r="H302">
        <f>'Kings Tableland'!F39</f>
        <v>252</v>
      </c>
      <c r="I302">
        <f>'Kings Tableland'!G39</f>
        <v>1542681</v>
      </c>
      <c r="J302">
        <f>'Kings Tableland'!H39</f>
        <v>61.6</v>
      </c>
      <c r="K302">
        <f>'Kings Tableland'!I39</f>
        <v>1594</v>
      </c>
      <c r="L302">
        <f>'Kings Tableland'!J39</f>
        <v>7565</v>
      </c>
      <c r="M302">
        <f>'Kings Tableland'!K39</f>
        <v>100</v>
      </c>
      <c r="N302">
        <f>'Kings Tableland'!L39</f>
        <v>805269</v>
      </c>
      <c r="O302">
        <f>'Kings Tableland'!M39</f>
        <v>32.1</v>
      </c>
      <c r="P302">
        <f>'Kings Tableland'!N39</f>
        <v>1073</v>
      </c>
      <c r="Q302">
        <f>'Kings Tableland'!O39</f>
        <v>225</v>
      </c>
      <c r="R302">
        <f>'Kings Tableland'!P39</f>
        <v>123</v>
      </c>
      <c r="S302">
        <f>'Kings Tableland'!Q39</f>
        <v>29459</v>
      </c>
      <c r="T302">
        <f>'Kings Tableland'!R39</f>
        <v>1.2</v>
      </c>
      <c r="U302">
        <f>'Kings Tableland'!S39</f>
        <v>1158</v>
      </c>
      <c r="V302">
        <f>'Kings Tableland'!T39</f>
        <v>199</v>
      </c>
      <c r="W302">
        <f>'Kings Tableland'!U39</f>
        <v>29</v>
      </c>
      <c r="X302">
        <f>'Kings Tableland'!V39</f>
        <v>6143</v>
      </c>
      <c r="Y302">
        <f>'Kings Tableland'!W39</f>
        <v>0.2</v>
      </c>
      <c r="Z302">
        <f>'Kings Tableland'!X39</f>
        <v>1260</v>
      </c>
      <c r="AA302">
        <f>'Kings Tableland'!Y39</f>
        <v>1</v>
      </c>
      <c r="AB302">
        <f>'Kings Tableland'!Z39</f>
        <v>1</v>
      </c>
      <c r="AC302">
        <f>'Kings Tableland'!AA39</f>
        <v>1</v>
      </c>
      <c r="AD302">
        <f>'Kings Tableland'!AB39</f>
        <v>0</v>
      </c>
      <c r="AE302">
        <f>'Kings Tableland'!AC39</f>
        <v>1450</v>
      </c>
      <c r="AF302">
        <f>'Kings Tableland'!AD39</f>
        <v>119</v>
      </c>
      <c r="AG302">
        <f>'Kings Tableland'!AE39</f>
        <v>135</v>
      </c>
      <c r="AH302">
        <f>'Kings Tableland'!AF39</f>
        <v>17101</v>
      </c>
      <c r="AI302">
        <f>'Kings Tableland'!AG39</f>
        <v>0.7</v>
      </c>
      <c r="AJ302">
        <f>'Kings Tableland'!AH39</f>
        <v>1494</v>
      </c>
      <c r="AK302">
        <f>'Kings Tableland'!AI39</f>
        <v>277</v>
      </c>
      <c r="AL302">
        <f>'Kings Tableland'!AJ39</f>
        <v>27</v>
      </c>
      <c r="AM302">
        <f>'Kings Tableland'!AK39</f>
        <v>7961</v>
      </c>
      <c r="AN302">
        <f>'Kings Tableland'!AL39</f>
        <v>0.3</v>
      </c>
      <c r="AO302">
        <f>'Kings Tableland'!AM39</f>
        <v>1594</v>
      </c>
      <c r="AP302">
        <f>'Kings Tableland'!AN39</f>
        <v>523</v>
      </c>
      <c r="AQ302">
        <f>'Kings Tableland'!AO39</f>
        <v>21</v>
      </c>
      <c r="AR302">
        <f>'Kings Tableland'!AP39</f>
        <v>11691</v>
      </c>
      <c r="AS302">
        <f>'Kings Tableland'!AQ39</f>
        <v>0.5</v>
      </c>
      <c r="AT302">
        <f>'Kings Tableland'!AR39</f>
        <v>1724</v>
      </c>
      <c r="AU302">
        <f>'Kings Tableland'!AS39</f>
        <v>721</v>
      </c>
      <c r="AV302">
        <f>'Kings Tableland'!AT39</f>
        <v>111</v>
      </c>
      <c r="AW302">
        <f>'Kings Tableland'!AU39</f>
        <v>85190</v>
      </c>
      <c r="AX302">
        <f>'Kings Tableland'!AV39</f>
        <v>3.4</v>
      </c>
    </row>
    <row r="303" spans="1:50">
      <c r="A303" t="str">
        <f>'Kings Tableland'!A40</f>
        <v>/Users/christophermarjo/Documents/Python/Projects/data/bushfire Raman/Kings Tableland (RHS)/KTM- 1.5 (3) txt</v>
      </c>
      <c r="B303" t="str">
        <f t="shared" si="4"/>
        <v>Kings Tableland</v>
      </c>
      <c r="C303">
        <v>1.5</v>
      </c>
      <c r="D303" t="str">
        <f>'Kings Tableland'!B40</f>
        <v>21.89 counts</v>
      </c>
      <c r="E303">
        <f>'Kings Tableland'!C40</f>
        <v>0.98752300000000004</v>
      </c>
      <c r="F303">
        <f>'Kings Tableland'!D40</f>
        <v>1369</v>
      </c>
      <c r="G303">
        <f>'Kings Tableland'!E40</f>
        <v>12079</v>
      </c>
      <c r="H303">
        <f>'Kings Tableland'!F40</f>
        <v>312</v>
      </c>
      <c r="I303">
        <f>'Kings Tableland'!G40</f>
        <v>4011602</v>
      </c>
      <c r="J303">
        <f>'Kings Tableland'!H40</f>
        <v>63</v>
      </c>
      <c r="K303">
        <f>'Kings Tableland'!I40</f>
        <v>1584</v>
      </c>
      <c r="L303">
        <f>'Kings Tableland'!J40</f>
        <v>13901</v>
      </c>
      <c r="M303">
        <f>'Kings Tableland'!K40</f>
        <v>148</v>
      </c>
      <c r="N303">
        <f>'Kings Tableland'!L40</f>
        <v>2189979</v>
      </c>
      <c r="O303">
        <f>'Kings Tableland'!M40</f>
        <v>34.4</v>
      </c>
      <c r="P303">
        <f>'Kings Tableland'!N40</f>
        <v>1013</v>
      </c>
      <c r="Q303">
        <f>'Kings Tableland'!O40</f>
        <v>235</v>
      </c>
      <c r="R303">
        <f>'Kings Tableland'!P40</f>
        <v>71</v>
      </c>
      <c r="S303">
        <f>'Kings Tableland'!Q40</f>
        <v>17761</v>
      </c>
      <c r="T303">
        <f>'Kings Tableland'!R40</f>
        <v>0.3</v>
      </c>
      <c r="U303">
        <f>'Kings Tableland'!S40</f>
        <v>1166</v>
      </c>
      <c r="V303">
        <f>'Kings Tableland'!T40</f>
        <v>49</v>
      </c>
      <c r="W303">
        <f>'Kings Tableland'!U40</f>
        <v>1</v>
      </c>
      <c r="X303">
        <f>'Kings Tableland'!V40</f>
        <v>52</v>
      </c>
      <c r="Y303">
        <f>'Kings Tableland'!W40</f>
        <v>0</v>
      </c>
      <c r="Z303">
        <f>'Kings Tableland'!X40</f>
        <v>1260</v>
      </c>
      <c r="AA303">
        <f>'Kings Tableland'!Y40</f>
        <v>1</v>
      </c>
      <c r="AB303">
        <f>'Kings Tableland'!Z40</f>
        <v>1</v>
      </c>
      <c r="AC303">
        <f>'Kings Tableland'!AA40</f>
        <v>1</v>
      </c>
      <c r="AD303">
        <f>'Kings Tableland'!AB40</f>
        <v>0</v>
      </c>
      <c r="AE303">
        <f>'Kings Tableland'!AC40</f>
        <v>1434</v>
      </c>
      <c r="AF303">
        <f>'Kings Tableland'!AD40</f>
        <v>421</v>
      </c>
      <c r="AG303">
        <f>'Kings Tableland'!AE40</f>
        <v>93</v>
      </c>
      <c r="AH303">
        <f>'Kings Tableland'!AF40</f>
        <v>41677</v>
      </c>
      <c r="AI303">
        <f>'Kings Tableland'!AG40</f>
        <v>0.7</v>
      </c>
      <c r="AJ303">
        <f>'Kings Tableland'!AH40</f>
        <v>1480</v>
      </c>
      <c r="AK303">
        <f>'Kings Tableland'!AI40</f>
        <v>435</v>
      </c>
      <c r="AL303">
        <f>'Kings Tableland'!AJ40</f>
        <v>47</v>
      </c>
      <c r="AM303">
        <f>'Kings Tableland'!AK40</f>
        <v>21763</v>
      </c>
      <c r="AN303">
        <f>'Kings Tableland'!AL40</f>
        <v>0.3</v>
      </c>
      <c r="AO303">
        <f>'Kings Tableland'!AM40</f>
        <v>1592</v>
      </c>
      <c r="AP303">
        <f>'Kings Tableland'!AN40</f>
        <v>143</v>
      </c>
      <c r="AQ303">
        <f>'Kings Tableland'!AO40</f>
        <v>15</v>
      </c>
      <c r="AR303">
        <f>'Kings Tableland'!AP40</f>
        <v>2283</v>
      </c>
      <c r="AS303">
        <f>'Kings Tableland'!AQ40</f>
        <v>0</v>
      </c>
      <c r="AT303">
        <f>'Kings Tableland'!AR40</f>
        <v>1748</v>
      </c>
      <c r="AU303">
        <f>'Kings Tableland'!AS40</f>
        <v>1187</v>
      </c>
      <c r="AV303">
        <f>'Kings Tableland'!AT40</f>
        <v>65</v>
      </c>
      <c r="AW303">
        <f>'Kings Tableland'!AU40</f>
        <v>82129</v>
      </c>
      <c r="AX303">
        <f>'Kings Tableland'!AV40</f>
        <v>1.3</v>
      </c>
    </row>
    <row r="304" spans="1:50">
      <c r="A304" t="str">
        <f>'Urella Brook'!A2</f>
        <v>/Users/christophermarjo/Documents/Python/Projects/data/bushfire Raman/Urella Brook/UB  9 (1)</v>
      </c>
      <c r="B304" t="str">
        <f>MID(A304,71,12)</f>
        <v>Urella Brook</v>
      </c>
      <c r="C304">
        <v>9</v>
      </c>
      <c r="D304" t="str">
        <f>'Urella Brook'!B2</f>
        <v>5.39 counts</v>
      </c>
      <c r="E304">
        <f>'Urella Brook'!C2</f>
        <v>0.99087800000000004</v>
      </c>
      <c r="F304">
        <f>'Urella Brook'!D2</f>
        <v>1369</v>
      </c>
      <c r="G304">
        <f>'Urella Brook'!E2</f>
        <v>3851</v>
      </c>
      <c r="H304">
        <f>'Urella Brook'!F2</f>
        <v>298</v>
      </c>
      <c r="I304">
        <f>'Urella Brook'!G2</f>
        <v>1221580</v>
      </c>
      <c r="J304">
        <f>'Urella Brook'!H2</f>
        <v>68.099999999999994</v>
      </c>
      <c r="K304">
        <f>'Urella Brook'!I2</f>
        <v>1592</v>
      </c>
      <c r="L304">
        <f>'Urella Brook'!J2</f>
        <v>4533</v>
      </c>
      <c r="M304">
        <f>'Urella Brook'!K2</f>
        <v>102</v>
      </c>
      <c r="N304">
        <f>'Urella Brook'!L2</f>
        <v>492173</v>
      </c>
      <c r="O304">
        <f>'Urella Brook'!M2</f>
        <v>27.4</v>
      </c>
      <c r="P304">
        <f>'Urella Brook'!N2</f>
        <v>1063</v>
      </c>
      <c r="Q304">
        <f>'Urella Brook'!O2</f>
        <v>117</v>
      </c>
      <c r="R304">
        <f>'Urella Brook'!P2</f>
        <v>81</v>
      </c>
      <c r="S304">
        <f>'Urella Brook'!Q2</f>
        <v>10088</v>
      </c>
      <c r="T304">
        <f>'Urella Brook'!R2</f>
        <v>0.6</v>
      </c>
      <c r="U304">
        <f>'Urella Brook'!S2</f>
        <v>1170</v>
      </c>
      <c r="V304">
        <f>'Urella Brook'!T2</f>
        <v>3</v>
      </c>
      <c r="W304">
        <f>'Urella Brook'!U2</f>
        <v>3</v>
      </c>
      <c r="X304">
        <f>'Urella Brook'!V2</f>
        <v>10</v>
      </c>
      <c r="Y304">
        <f>'Urella Brook'!W2</f>
        <v>0</v>
      </c>
      <c r="Z304">
        <f>'Urella Brook'!X2</f>
        <v>1260</v>
      </c>
      <c r="AA304">
        <f>'Urella Brook'!Y2</f>
        <v>1</v>
      </c>
      <c r="AB304">
        <f>'Urella Brook'!Z2</f>
        <v>1</v>
      </c>
      <c r="AC304">
        <f>'Urella Brook'!AA2</f>
        <v>1</v>
      </c>
      <c r="AD304">
        <f>'Urella Brook'!AB2</f>
        <v>0</v>
      </c>
      <c r="AE304">
        <f>'Urella Brook'!AC2</f>
        <v>1450</v>
      </c>
      <c r="AF304">
        <f>'Urella Brook'!AD2</f>
        <v>13</v>
      </c>
      <c r="AG304">
        <f>'Urella Brook'!AE2</f>
        <v>5</v>
      </c>
      <c r="AH304">
        <f>'Urella Brook'!AF2</f>
        <v>69</v>
      </c>
      <c r="AI304">
        <f>'Urella Brook'!AG2</f>
        <v>0</v>
      </c>
      <c r="AJ304">
        <f>'Urella Brook'!AH2</f>
        <v>1494</v>
      </c>
      <c r="AK304">
        <f>'Urella Brook'!AI2</f>
        <v>155</v>
      </c>
      <c r="AL304">
        <f>'Urella Brook'!AJ2</f>
        <v>27</v>
      </c>
      <c r="AM304">
        <f>'Urella Brook'!AK2</f>
        <v>4455</v>
      </c>
      <c r="AN304">
        <f>'Urella Brook'!AL2</f>
        <v>0.2</v>
      </c>
      <c r="AO304">
        <f>'Urella Brook'!AM2</f>
        <v>1598</v>
      </c>
      <c r="AP304">
        <f>'Urella Brook'!AN2</f>
        <v>247</v>
      </c>
      <c r="AQ304">
        <f>'Urella Brook'!AO2</f>
        <v>27</v>
      </c>
      <c r="AR304">
        <f>'Urella Brook'!AP2</f>
        <v>7099</v>
      </c>
      <c r="AS304">
        <f>'Urella Brook'!AQ2</f>
        <v>0.4</v>
      </c>
      <c r="AT304">
        <f>'Urella Brook'!AR2</f>
        <v>1730</v>
      </c>
      <c r="AU304">
        <f>'Urella Brook'!AS2</f>
        <v>447</v>
      </c>
      <c r="AV304">
        <f>'Urella Brook'!AT2</f>
        <v>125</v>
      </c>
      <c r="AW304">
        <f>'Urella Brook'!AU2</f>
        <v>59477</v>
      </c>
      <c r="AX304">
        <f>'Urella Brook'!AV2</f>
        <v>3.3</v>
      </c>
    </row>
    <row r="305" spans="1:50">
      <c r="A305" t="str">
        <f>'Urella Brook'!A3</f>
        <v>/Users/christophermarjo/Documents/Python/Projects/data/bushfire Raman/Urella Brook/UB 0.5 (1)</v>
      </c>
      <c r="B305" t="str">
        <f t="shared" ref="B305:B348" si="5">MID(A305,71,12)</f>
        <v>Urella Brook</v>
      </c>
      <c r="C305">
        <v>0.5</v>
      </c>
      <c r="D305" t="str">
        <f>'Urella Brook'!B3</f>
        <v>13.52 counts</v>
      </c>
      <c r="E305">
        <f>'Urella Brook'!C3</f>
        <v>0.99065300000000001</v>
      </c>
      <c r="F305">
        <f>'Urella Brook'!D3</f>
        <v>1369</v>
      </c>
      <c r="G305">
        <f>'Urella Brook'!E3</f>
        <v>9593</v>
      </c>
      <c r="H305">
        <f>'Urella Brook'!F3</f>
        <v>320</v>
      </c>
      <c r="I305">
        <f>'Urella Brook'!G3</f>
        <v>3267658</v>
      </c>
      <c r="J305">
        <f>'Urella Brook'!H3</f>
        <v>71.400000000000006</v>
      </c>
      <c r="K305">
        <f>'Urella Brook'!I3</f>
        <v>1592</v>
      </c>
      <c r="L305">
        <f>'Urella Brook'!J3</f>
        <v>10303</v>
      </c>
      <c r="M305">
        <f>'Urella Brook'!K3</f>
        <v>100</v>
      </c>
      <c r="N305">
        <f>'Urella Brook'!L3</f>
        <v>1096720</v>
      </c>
      <c r="O305">
        <f>'Urella Brook'!M3</f>
        <v>24</v>
      </c>
      <c r="P305">
        <f>'Urella Brook'!N3</f>
        <v>1045</v>
      </c>
      <c r="Q305">
        <f>'Urella Brook'!O3</f>
        <v>343</v>
      </c>
      <c r="R305">
        <f>'Urella Brook'!P3</f>
        <v>85</v>
      </c>
      <c r="S305">
        <f>'Urella Brook'!Q3</f>
        <v>31035</v>
      </c>
      <c r="T305">
        <f>'Urella Brook'!R3</f>
        <v>0.7</v>
      </c>
      <c r="U305">
        <f>'Urella Brook'!S3</f>
        <v>1158</v>
      </c>
      <c r="V305">
        <f>'Urella Brook'!T3</f>
        <v>1</v>
      </c>
      <c r="W305">
        <f>'Urella Brook'!U3</f>
        <v>1</v>
      </c>
      <c r="X305">
        <f>'Urella Brook'!V3</f>
        <v>1</v>
      </c>
      <c r="Y305">
        <f>'Urella Brook'!W3</f>
        <v>0</v>
      </c>
      <c r="Z305">
        <f>'Urella Brook'!X3</f>
        <v>1260</v>
      </c>
      <c r="AA305">
        <f>'Urella Brook'!Y3</f>
        <v>1</v>
      </c>
      <c r="AB305">
        <f>'Urella Brook'!Z3</f>
        <v>1</v>
      </c>
      <c r="AC305">
        <f>'Urella Brook'!AA3</f>
        <v>1</v>
      </c>
      <c r="AD305">
        <f>'Urella Brook'!AB3</f>
        <v>0</v>
      </c>
      <c r="AE305">
        <f>'Urella Brook'!AC3</f>
        <v>1400</v>
      </c>
      <c r="AF305">
        <f>'Urella Brook'!AD3</f>
        <v>1</v>
      </c>
      <c r="AG305">
        <f>'Urella Brook'!AE3</f>
        <v>1</v>
      </c>
      <c r="AH305">
        <f>'Urella Brook'!AF3</f>
        <v>1</v>
      </c>
      <c r="AI305">
        <f>'Urella Brook'!AG3</f>
        <v>0</v>
      </c>
      <c r="AJ305">
        <f>'Urella Brook'!AH3</f>
        <v>1494</v>
      </c>
      <c r="AK305">
        <f>'Urella Brook'!AI3</f>
        <v>383</v>
      </c>
      <c r="AL305">
        <f>'Urella Brook'!AJ3</f>
        <v>13</v>
      </c>
      <c r="AM305">
        <f>'Urella Brook'!AK3</f>
        <v>5300</v>
      </c>
      <c r="AN305">
        <f>'Urella Brook'!AL3</f>
        <v>0.1</v>
      </c>
      <c r="AO305">
        <f>'Urella Brook'!AM3</f>
        <v>1594</v>
      </c>
      <c r="AP305">
        <f>'Urella Brook'!AN3</f>
        <v>1075</v>
      </c>
      <c r="AQ305">
        <f>'Urella Brook'!AO3</f>
        <v>29</v>
      </c>
      <c r="AR305">
        <f>'Urella Brook'!AP3</f>
        <v>33185</v>
      </c>
      <c r="AS305">
        <f>'Urella Brook'!AQ3</f>
        <v>0.7</v>
      </c>
      <c r="AT305">
        <f>'Urella Brook'!AR3</f>
        <v>1744</v>
      </c>
      <c r="AU305">
        <f>'Urella Brook'!AS3</f>
        <v>749</v>
      </c>
      <c r="AV305">
        <f>'Urella Brook'!AT3</f>
        <v>177</v>
      </c>
      <c r="AW305">
        <f>'Urella Brook'!AU3</f>
        <v>141120</v>
      </c>
      <c r="AX305">
        <f>'Urella Brook'!AV3</f>
        <v>3.1</v>
      </c>
    </row>
    <row r="306" spans="1:50">
      <c r="A306" t="str">
        <f>'Urella Brook'!A4</f>
        <v>/Users/christophermarjo/Documents/Python/Projects/data/bushfire Raman/Urella Brook/UB 0.5 (2)</v>
      </c>
      <c r="B306" t="str">
        <f t="shared" si="5"/>
        <v>Urella Brook</v>
      </c>
      <c r="C306">
        <v>0.5</v>
      </c>
      <c r="D306" t="str">
        <f>'Urella Brook'!B4</f>
        <v>4.47 counts</v>
      </c>
      <c r="E306">
        <f>'Urella Brook'!C4</f>
        <v>0.98836500000000005</v>
      </c>
      <c r="F306">
        <f>'Urella Brook'!D4</f>
        <v>1369</v>
      </c>
      <c r="G306">
        <f>'Urella Brook'!E4</f>
        <v>2815</v>
      </c>
      <c r="H306">
        <f>'Urella Brook'!F4</f>
        <v>298</v>
      </c>
      <c r="I306">
        <f>'Urella Brook'!G4</f>
        <v>892949</v>
      </c>
      <c r="J306">
        <f>'Urella Brook'!H4</f>
        <v>67.3</v>
      </c>
      <c r="K306">
        <f>'Urella Brook'!I4</f>
        <v>1592</v>
      </c>
      <c r="L306">
        <f>'Urella Brook'!J4</f>
        <v>3349</v>
      </c>
      <c r="M306">
        <f>'Urella Brook'!K4</f>
        <v>104</v>
      </c>
      <c r="N306">
        <f>'Urella Brook'!L4</f>
        <v>370750</v>
      </c>
      <c r="O306">
        <f>'Urella Brook'!M4</f>
        <v>27.9</v>
      </c>
      <c r="P306">
        <f>'Urella Brook'!N4</f>
        <v>1047</v>
      </c>
      <c r="Q306">
        <f>'Urella Brook'!O4</f>
        <v>113</v>
      </c>
      <c r="R306">
        <f>'Urella Brook'!P4</f>
        <v>81</v>
      </c>
      <c r="S306">
        <f>'Urella Brook'!Q4</f>
        <v>9743</v>
      </c>
      <c r="T306">
        <f>'Urella Brook'!R4</f>
        <v>0.7</v>
      </c>
      <c r="U306">
        <f>'Urella Brook'!S4</f>
        <v>1152</v>
      </c>
      <c r="V306">
        <f>'Urella Brook'!T4</f>
        <v>13</v>
      </c>
      <c r="W306">
        <f>'Urella Brook'!U4</f>
        <v>11</v>
      </c>
      <c r="X306">
        <f>'Urella Brook'!V4</f>
        <v>152</v>
      </c>
      <c r="Y306">
        <f>'Urella Brook'!W4</f>
        <v>0</v>
      </c>
      <c r="Z306">
        <f>'Urella Brook'!X4</f>
        <v>1260</v>
      </c>
      <c r="AA306">
        <f>'Urella Brook'!Y4</f>
        <v>1</v>
      </c>
      <c r="AB306">
        <f>'Urella Brook'!Z4</f>
        <v>1</v>
      </c>
      <c r="AC306">
        <f>'Urella Brook'!AA4</f>
        <v>1</v>
      </c>
      <c r="AD306">
        <f>'Urella Brook'!AB4</f>
        <v>0</v>
      </c>
      <c r="AE306">
        <f>'Urella Brook'!AC4</f>
        <v>1456</v>
      </c>
      <c r="AF306">
        <f>'Urella Brook'!AD4</f>
        <v>47</v>
      </c>
      <c r="AG306">
        <f>'Urella Brook'!AE4</f>
        <v>103</v>
      </c>
      <c r="AH306">
        <f>'Urella Brook'!AF4</f>
        <v>5153</v>
      </c>
      <c r="AI306">
        <f>'Urella Brook'!AG4</f>
        <v>0.4</v>
      </c>
      <c r="AJ306">
        <f>'Urella Brook'!AH4</f>
        <v>1510</v>
      </c>
      <c r="AK306">
        <f>'Urella Brook'!AI4</f>
        <v>289</v>
      </c>
      <c r="AL306">
        <f>'Urella Brook'!AJ4</f>
        <v>37</v>
      </c>
      <c r="AM306">
        <f>'Urella Brook'!AK4</f>
        <v>11382</v>
      </c>
      <c r="AN306">
        <f>'Urella Brook'!AL4</f>
        <v>0.9</v>
      </c>
      <c r="AO306">
        <f>'Urella Brook'!AM4</f>
        <v>1598</v>
      </c>
      <c r="AP306">
        <f>'Urella Brook'!AN4</f>
        <v>1</v>
      </c>
      <c r="AQ306">
        <f>'Urella Brook'!AO4</f>
        <v>21</v>
      </c>
      <c r="AR306">
        <f>'Urella Brook'!AP4</f>
        <v>22</v>
      </c>
      <c r="AS306">
        <f>'Urella Brook'!AQ4</f>
        <v>0</v>
      </c>
      <c r="AT306">
        <f>'Urella Brook'!AR4</f>
        <v>1732</v>
      </c>
      <c r="AU306">
        <f>'Urella Brook'!AS4</f>
        <v>297</v>
      </c>
      <c r="AV306">
        <f>'Urella Brook'!AT4</f>
        <v>117</v>
      </c>
      <c r="AW306">
        <f>'Urella Brook'!AU4</f>
        <v>36989</v>
      </c>
      <c r="AX306">
        <f>'Urella Brook'!AV4</f>
        <v>2.8</v>
      </c>
    </row>
    <row r="307" spans="1:50">
      <c r="A307" t="str">
        <f>'Urella Brook'!A5</f>
        <v>/Users/christophermarjo/Documents/Python/Projects/data/bushfire Raman/Urella Brook/UB 0.5 (3)</v>
      </c>
      <c r="B307" t="str">
        <f t="shared" si="5"/>
        <v>Urella Brook</v>
      </c>
      <c r="C307">
        <v>0.5</v>
      </c>
      <c r="D307" t="str">
        <f>'Urella Brook'!B5</f>
        <v>15.34 counts</v>
      </c>
      <c r="E307">
        <f>'Urella Brook'!C5</f>
        <v>0.98890500000000003</v>
      </c>
      <c r="F307">
        <f>'Urella Brook'!D5</f>
        <v>1369</v>
      </c>
      <c r="G307">
        <f>'Urella Brook'!E5</f>
        <v>10029</v>
      </c>
      <c r="H307">
        <f>'Urella Brook'!F5</f>
        <v>332</v>
      </c>
      <c r="I307">
        <f>'Urella Brook'!G5</f>
        <v>3544279</v>
      </c>
      <c r="J307">
        <f>'Urella Brook'!H5</f>
        <v>72.2</v>
      </c>
      <c r="K307">
        <f>'Urella Brook'!I5</f>
        <v>1590</v>
      </c>
      <c r="L307">
        <f>'Urella Brook'!J5</f>
        <v>10315</v>
      </c>
      <c r="M307">
        <f>'Urella Brook'!K5</f>
        <v>106</v>
      </c>
      <c r="N307">
        <f>'Urella Brook'!L5</f>
        <v>1163878</v>
      </c>
      <c r="O307">
        <f>'Urella Brook'!M5</f>
        <v>23.7</v>
      </c>
      <c r="P307">
        <f>'Urella Brook'!N5</f>
        <v>1037</v>
      </c>
      <c r="Q307">
        <f>'Urella Brook'!O5</f>
        <v>347</v>
      </c>
      <c r="R307">
        <f>'Urella Brook'!P5</f>
        <v>55</v>
      </c>
      <c r="S307">
        <f>'Urella Brook'!Q5</f>
        <v>20315</v>
      </c>
      <c r="T307">
        <f>'Urella Brook'!R5</f>
        <v>0.4</v>
      </c>
      <c r="U307">
        <f>'Urella Brook'!S5</f>
        <v>1158</v>
      </c>
      <c r="V307">
        <f>'Urella Brook'!T5</f>
        <v>1</v>
      </c>
      <c r="W307">
        <f>'Urella Brook'!U5</f>
        <v>1</v>
      </c>
      <c r="X307">
        <f>'Urella Brook'!V5</f>
        <v>1</v>
      </c>
      <c r="Y307">
        <f>'Urella Brook'!W5</f>
        <v>0</v>
      </c>
      <c r="Z307">
        <f>'Urella Brook'!X5</f>
        <v>1260</v>
      </c>
      <c r="AA307">
        <f>'Urella Brook'!Y5</f>
        <v>1</v>
      </c>
      <c r="AB307">
        <f>'Urella Brook'!Z5</f>
        <v>1</v>
      </c>
      <c r="AC307">
        <f>'Urella Brook'!AA5</f>
        <v>1</v>
      </c>
      <c r="AD307">
        <f>'Urella Brook'!AB5</f>
        <v>0</v>
      </c>
      <c r="AE307">
        <f>'Urella Brook'!AC5</f>
        <v>1456</v>
      </c>
      <c r="AF307">
        <f>'Urella Brook'!AD5</f>
        <v>31</v>
      </c>
      <c r="AG307">
        <f>'Urella Brook'!AE5</f>
        <v>133</v>
      </c>
      <c r="AH307">
        <f>'Urella Brook'!AF5</f>
        <v>4389</v>
      </c>
      <c r="AI307">
        <f>'Urella Brook'!AG5</f>
        <v>0.1</v>
      </c>
      <c r="AJ307">
        <f>'Urella Brook'!AH5</f>
        <v>1506</v>
      </c>
      <c r="AK307">
        <f>'Urella Brook'!AI5</f>
        <v>779</v>
      </c>
      <c r="AL307">
        <f>'Urella Brook'!AJ5</f>
        <v>43</v>
      </c>
      <c r="AM307">
        <f>'Urella Brook'!AK5</f>
        <v>35656</v>
      </c>
      <c r="AN307">
        <f>'Urella Brook'!AL5</f>
        <v>0.7</v>
      </c>
      <c r="AO307">
        <f>'Urella Brook'!AM5</f>
        <v>1598</v>
      </c>
      <c r="AP307">
        <f>'Urella Brook'!AN5</f>
        <v>321</v>
      </c>
      <c r="AQ307">
        <f>'Urella Brook'!AO5</f>
        <v>1</v>
      </c>
      <c r="AR307">
        <f>'Urella Brook'!AP5</f>
        <v>342</v>
      </c>
      <c r="AS307">
        <f>'Urella Brook'!AQ5</f>
        <v>0</v>
      </c>
      <c r="AT307">
        <f>'Urella Brook'!AR5</f>
        <v>1730</v>
      </c>
      <c r="AU307">
        <f>'Urella Brook'!AS5</f>
        <v>1057</v>
      </c>
      <c r="AV307">
        <f>'Urella Brook'!AT5</f>
        <v>125</v>
      </c>
      <c r="AW307">
        <f>'Urella Brook'!AU5</f>
        <v>140643</v>
      </c>
      <c r="AX307">
        <f>'Urella Brook'!AV5</f>
        <v>2.9</v>
      </c>
    </row>
    <row r="308" spans="1:50">
      <c r="A308" t="str">
        <f>'Urella Brook'!A6</f>
        <v>/Users/christophermarjo/Documents/Python/Projects/data/bushfire Raman/Urella Brook/UB 1.5 (1)</v>
      </c>
      <c r="B308" t="str">
        <f t="shared" si="5"/>
        <v>Urella Brook</v>
      </c>
      <c r="C308">
        <v>1.5</v>
      </c>
      <c r="D308" t="str">
        <f>'Urella Brook'!B6</f>
        <v>17.71 counts</v>
      </c>
      <c r="E308">
        <f>'Urella Brook'!C6</f>
        <v>0.98520799999999997</v>
      </c>
      <c r="F308">
        <f>'Urella Brook'!D6</f>
        <v>1369</v>
      </c>
      <c r="G308">
        <f>'Urella Brook'!E6</f>
        <v>9613</v>
      </c>
      <c r="H308">
        <f>'Urella Brook'!F6</f>
        <v>346</v>
      </c>
      <c r="I308">
        <f>'Urella Brook'!G6</f>
        <v>3540522</v>
      </c>
      <c r="J308">
        <f>'Urella Brook'!H6</f>
        <v>69.8</v>
      </c>
      <c r="K308">
        <f>'Urella Brook'!I6</f>
        <v>1590</v>
      </c>
      <c r="L308">
        <f>'Urella Brook'!J6</f>
        <v>11435</v>
      </c>
      <c r="M308">
        <f>'Urella Brook'!K6</f>
        <v>102</v>
      </c>
      <c r="N308">
        <f>'Urella Brook'!L6</f>
        <v>1241562</v>
      </c>
      <c r="O308">
        <f>'Urella Brook'!M6</f>
        <v>24.5</v>
      </c>
      <c r="P308">
        <f>'Urella Brook'!N6</f>
        <v>1035</v>
      </c>
      <c r="Q308">
        <f>'Urella Brook'!O6</f>
        <v>365</v>
      </c>
      <c r="R308">
        <f>'Urella Brook'!P6</f>
        <v>51</v>
      </c>
      <c r="S308">
        <f>'Urella Brook'!Q6</f>
        <v>19815</v>
      </c>
      <c r="T308">
        <f>'Urella Brook'!R6</f>
        <v>0.4</v>
      </c>
      <c r="U308">
        <f>'Urella Brook'!S6</f>
        <v>1158</v>
      </c>
      <c r="V308">
        <f>'Urella Brook'!T6</f>
        <v>1</v>
      </c>
      <c r="W308">
        <f>'Urella Brook'!U6</f>
        <v>1</v>
      </c>
      <c r="X308">
        <f>'Urella Brook'!V6</f>
        <v>1</v>
      </c>
      <c r="Y308">
        <f>'Urella Brook'!W6</f>
        <v>0</v>
      </c>
      <c r="Z308">
        <f>'Urella Brook'!X6</f>
        <v>1260</v>
      </c>
      <c r="AA308">
        <f>'Urella Brook'!Y6</f>
        <v>1</v>
      </c>
      <c r="AB308">
        <f>'Urella Brook'!Z6</f>
        <v>1</v>
      </c>
      <c r="AC308">
        <f>'Urella Brook'!AA6</f>
        <v>1</v>
      </c>
      <c r="AD308">
        <f>'Urella Brook'!AB6</f>
        <v>0</v>
      </c>
      <c r="AE308">
        <f>'Urella Brook'!AC6</f>
        <v>1408</v>
      </c>
      <c r="AF308">
        <f>'Urella Brook'!AD6</f>
        <v>93</v>
      </c>
      <c r="AG308">
        <f>'Urella Brook'!AE6</f>
        <v>109</v>
      </c>
      <c r="AH308">
        <f>'Urella Brook'!AF6</f>
        <v>10791</v>
      </c>
      <c r="AI308">
        <f>'Urella Brook'!AG6</f>
        <v>0.2</v>
      </c>
      <c r="AJ308">
        <f>'Urella Brook'!AH6</f>
        <v>1494</v>
      </c>
      <c r="AK308">
        <f>'Urella Brook'!AI6</f>
        <v>351</v>
      </c>
      <c r="AL308">
        <f>'Urella Brook'!AJ6</f>
        <v>39</v>
      </c>
      <c r="AM308">
        <f>'Urella Brook'!AK6</f>
        <v>14571</v>
      </c>
      <c r="AN308">
        <f>'Urella Brook'!AL6</f>
        <v>0.3</v>
      </c>
      <c r="AO308">
        <f>'Urella Brook'!AM6</f>
        <v>1594</v>
      </c>
      <c r="AP308">
        <f>'Urella Brook'!AN6</f>
        <v>129</v>
      </c>
      <c r="AQ308">
        <f>'Urella Brook'!AO6</f>
        <v>21</v>
      </c>
      <c r="AR308">
        <f>'Urella Brook'!AP6</f>
        <v>2884</v>
      </c>
      <c r="AS308">
        <f>'Urella Brook'!AQ6</f>
        <v>0.1</v>
      </c>
      <c r="AT308">
        <f>'Urella Brook'!AR6</f>
        <v>1742</v>
      </c>
      <c r="AU308">
        <f>'Urella Brook'!AS6</f>
        <v>1177</v>
      </c>
      <c r="AV308">
        <f>'Urella Brook'!AT6</f>
        <v>191</v>
      </c>
      <c r="AW308">
        <f>'Urella Brook'!AU6</f>
        <v>239300</v>
      </c>
      <c r="AX308">
        <f>'Urella Brook'!AV6</f>
        <v>4.7</v>
      </c>
    </row>
    <row r="309" spans="1:50">
      <c r="A309" t="str">
        <f>'Urella Brook'!A7</f>
        <v>/Users/christophermarjo/Documents/Python/Projects/data/bushfire Raman/Urella Brook/UB 1.5 (1)txt</v>
      </c>
      <c r="B309" t="str">
        <f t="shared" si="5"/>
        <v>Urella Brook</v>
      </c>
      <c r="C309">
        <v>1.5</v>
      </c>
      <c r="D309" t="str">
        <f>'Urella Brook'!B7</f>
        <v>19.02 counts</v>
      </c>
      <c r="E309">
        <f>'Urella Brook'!C7</f>
        <v>0.98672700000000002</v>
      </c>
      <c r="F309">
        <f>'Urella Brook'!D7</f>
        <v>1369</v>
      </c>
      <c r="G309">
        <f>'Urella Brook'!E7</f>
        <v>10725</v>
      </c>
      <c r="H309">
        <f>'Urella Brook'!F7</f>
        <v>348</v>
      </c>
      <c r="I309">
        <f>'Urella Brook'!G7</f>
        <v>3972910</v>
      </c>
      <c r="J309">
        <f>'Urella Brook'!H7</f>
        <v>70.7</v>
      </c>
      <c r="K309">
        <f>'Urella Brook'!I7</f>
        <v>1590</v>
      </c>
      <c r="L309">
        <f>'Urella Brook'!J7</f>
        <v>12871</v>
      </c>
      <c r="M309">
        <f>'Urella Brook'!K7</f>
        <v>104</v>
      </c>
      <c r="N309">
        <f>'Urella Brook'!L7</f>
        <v>1424879</v>
      </c>
      <c r="O309">
        <f>'Urella Brook'!M7</f>
        <v>25.3</v>
      </c>
      <c r="P309">
        <f>'Urella Brook'!N7</f>
        <v>1029</v>
      </c>
      <c r="Q309">
        <f>'Urella Brook'!O7</f>
        <v>397</v>
      </c>
      <c r="R309">
        <f>'Urella Brook'!P7</f>
        <v>51</v>
      </c>
      <c r="S309">
        <f>'Urella Brook'!Q7</f>
        <v>21552</v>
      </c>
      <c r="T309">
        <f>'Urella Brook'!R7</f>
        <v>0.4</v>
      </c>
      <c r="U309">
        <f>'Urella Brook'!S7</f>
        <v>1158</v>
      </c>
      <c r="V309">
        <f>'Urella Brook'!T7</f>
        <v>1</v>
      </c>
      <c r="W309">
        <f>'Urella Brook'!U7</f>
        <v>1</v>
      </c>
      <c r="X309">
        <f>'Urella Brook'!V7</f>
        <v>1</v>
      </c>
      <c r="Y309">
        <f>'Urella Brook'!W7</f>
        <v>0</v>
      </c>
      <c r="Z309">
        <f>'Urella Brook'!X7</f>
        <v>1260</v>
      </c>
      <c r="AA309">
        <f>'Urella Brook'!Y7</f>
        <v>1</v>
      </c>
      <c r="AB309">
        <f>'Urella Brook'!Z7</f>
        <v>1</v>
      </c>
      <c r="AC309">
        <f>'Urella Brook'!AA7</f>
        <v>1</v>
      </c>
      <c r="AD309">
        <f>'Urella Brook'!AB7</f>
        <v>0</v>
      </c>
      <c r="AE309">
        <f>'Urella Brook'!AC7</f>
        <v>1456</v>
      </c>
      <c r="AF309">
        <f>'Urella Brook'!AD7</f>
        <v>123</v>
      </c>
      <c r="AG309">
        <f>'Urella Brook'!AE7</f>
        <v>123</v>
      </c>
      <c r="AH309">
        <f>'Urella Brook'!AF7</f>
        <v>16104</v>
      </c>
      <c r="AI309">
        <f>'Urella Brook'!AG7</f>
        <v>0.3</v>
      </c>
      <c r="AJ309">
        <f>'Urella Brook'!AH7</f>
        <v>1500</v>
      </c>
      <c r="AK309">
        <f>'Urella Brook'!AI7</f>
        <v>481</v>
      </c>
      <c r="AL309">
        <f>'Urella Brook'!AJ7</f>
        <v>43</v>
      </c>
      <c r="AM309">
        <f>'Urella Brook'!AK7</f>
        <v>22016</v>
      </c>
      <c r="AN309">
        <f>'Urella Brook'!AL7</f>
        <v>0.4</v>
      </c>
      <c r="AO309">
        <f>'Urella Brook'!AM7</f>
        <v>1598</v>
      </c>
      <c r="AP309">
        <f>'Urella Brook'!AN7</f>
        <v>139</v>
      </c>
      <c r="AQ309">
        <f>'Urella Brook'!AO7</f>
        <v>21</v>
      </c>
      <c r="AR309">
        <f>'Urella Brook'!AP7</f>
        <v>3107</v>
      </c>
      <c r="AS309">
        <f>'Urella Brook'!AQ7</f>
        <v>0.1</v>
      </c>
      <c r="AT309">
        <f>'Urella Brook'!AR7</f>
        <v>1738</v>
      </c>
      <c r="AU309">
        <f>'Urella Brook'!AS7</f>
        <v>1163</v>
      </c>
      <c r="AV309">
        <f>'Urella Brook'!AT7</f>
        <v>131</v>
      </c>
      <c r="AW309">
        <f>'Urella Brook'!AU7</f>
        <v>162175</v>
      </c>
      <c r="AX309">
        <f>'Urella Brook'!AV7</f>
        <v>2.9</v>
      </c>
    </row>
    <row r="310" spans="1:50">
      <c r="A310" t="str">
        <f>'Urella Brook'!A8</f>
        <v>/Users/christophermarjo/Documents/Python/Projects/data/bushfire Raman/Urella Brook/UB 1.5 (2)</v>
      </c>
      <c r="B310" t="str">
        <f t="shared" si="5"/>
        <v>Urella Brook</v>
      </c>
      <c r="C310">
        <v>1.5</v>
      </c>
      <c r="D310" t="str">
        <f>'Urella Brook'!B8</f>
        <v>20.87 counts</v>
      </c>
      <c r="E310">
        <f>'Urella Brook'!C8</f>
        <v>0.98884899999999998</v>
      </c>
      <c r="F310">
        <f>'Urella Brook'!D8</f>
        <v>1369</v>
      </c>
      <c r="G310">
        <f>'Urella Brook'!E8</f>
        <v>12993</v>
      </c>
      <c r="H310">
        <f>'Urella Brook'!F8</f>
        <v>332</v>
      </c>
      <c r="I310">
        <f>'Urella Brook'!G8</f>
        <v>4591766</v>
      </c>
      <c r="J310">
        <f>'Urella Brook'!H8</f>
        <v>69.400000000000006</v>
      </c>
      <c r="K310">
        <f>'Urella Brook'!I8</f>
        <v>1590</v>
      </c>
      <c r="L310">
        <f>'Urella Brook'!J8</f>
        <v>15287</v>
      </c>
      <c r="M310">
        <f>'Urella Brook'!K8</f>
        <v>104</v>
      </c>
      <c r="N310">
        <f>'Urella Brook'!L8</f>
        <v>1692341</v>
      </c>
      <c r="O310">
        <f>'Urella Brook'!M8</f>
        <v>25.6</v>
      </c>
      <c r="P310">
        <f>'Urella Brook'!N8</f>
        <v>1013</v>
      </c>
      <c r="Q310">
        <f>'Urella Brook'!O8</f>
        <v>301</v>
      </c>
      <c r="R310">
        <f>'Urella Brook'!P8</f>
        <v>45</v>
      </c>
      <c r="S310">
        <f>'Urella Brook'!Q8</f>
        <v>14418</v>
      </c>
      <c r="T310">
        <f>'Urella Brook'!R8</f>
        <v>0.2</v>
      </c>
      <c r="U310">
        <f>'Urella Brook'!S8</f>
        <v>1158</v>
      </c>
      <c r="V310">
        <f>'Urella Brook'!T8</f>
        <v>1</v>
      </c>
      <c r="W310">
        <f>'Urella Brook'!U8</f>
        <v>1</v>
      </c>
      <c r="X310">
        <f>'Urella Brook'!V8</f>
        <v>1</v>
      </c>
      <c r="Y310">
        <f>'Urella Brook'!W8</f>
        <v>0</v>
      </c>
      <c r="Z310">
        <f>'Urella Brook'!X8</f>
        <v>1260</v>
      </c>
      <c r="AA310">
        <f>'Urella Brook'!Y8</f>
        <v>1</v>
      </c>
      <c r="AB310">
        <f>'Urella Brook'!Z8</f>
        <v>1</v>
      </c>
      <c r="AC310">
        <f>'Urella Brook'!AA8</f>
        <v>1</v>
      </c>
      <c r="AD310">
        <f>'Urella Brook'!AB8</f>
        <v>0</v>
      </c>
      <c r="AE310">
        <f>'Urella Brook'!AC8</f>
        <v>1456</v>
      </c>
      <c r="AF310">
        <f>'Urella Brook'!AD8</f>
        <v>483</v>
      </c>
      <c r="AG310">
        <f>'Urella Brook'!AE8</f>
        <v>91</v>
      </c>
      <c r="AH310">
        <f>'Urella Brook'!AF8</f>
        <v>46787</v>
      </c>
      <c r="AI310">
        <f>'Urella Brook'!AG8</f>
        <v>0.7</v>
      </c>
      <c r="AJ310">
        <f>'Urella Brook'!AH8</f>
        <v>1512</v>
      </c>
      <c r="AK310">
        <f>'Urella Brook'!AI8</f>
        <v>945</v>
      </c>
      <c r="AL310">
        <f>'Urella Brook'!AJ8</f>
        <v>43</v>
      </c>
      <c r="AM310">
        <f>'Urella Brook'!AK8</f>
        <v>43255</v>
      </c>
      <c r="AN310">
        <f>'Urella Brook'!AL8</f>
        <v>0.7</v>
      </c>
      <c r="AO310">
        <f>'Urella Brook'!AM8</f>
        <v>1588</v>
      </c>
      <c r="AP310">
        <f>'Urella Brook'!AN8</f>
        <v>23</v>
      </c>
      <c r="AQ310">
        <f>'Urella Brook'!AO8</f>
        <v>7</v>
      </c>
      <c r="AR310">
        <f>'Urella Brook'!AP8</f>
        <v>171</v>
      </c>
      <c r="AS310">
        <f>'Urella Brook'!AQ8</f>
        <v>0</v>
      </c>
      <c r="AT310">
        <f>'Urella Brook'!AR8</f>
        <v>1748</v>
      </c>
      <c r="AU310">
        <f>'Urella Brook'!AS8</f>
        <v>1309</v>
      </c>
      <c r="AV310">
        <f>'Urella Brook'!AT8</f>
        <v>163</v>
      </c>
      <c r="AW310">
        <f>'Urella Brook'!AU8</f>
        <v>227122</v>
      </c>
      <c r="AX310">
        <f>'Urella Brook'!AV8</f>
        <v>3.4</v>
      </c>
    </row>
    <row r="311" spans="1:50">
      <c r="A311" t="str">
        <f>'Urella Brook'!A9</f>
        <v>/Users/christophermarjo/Documents/Python/Projects/data/bushfire Raman/Urella Brook/UB 1.5 (3)</v>
      </c>
      <c r="B311" t="str">
        <f t="shared" si="5"/>
        <v>Urella Brook</v>
      </c>
      <c r="C311">
        <v>1.5</v>
      </c>
      <c r="D311" t="str">
        <f>'Urella Brook'!B9</f>
        <v>19.62 counts</v>
      </c>
      <c r="E311">
        <f>'Urella Brook'!C9</f>
        <v>0.99202299999999999</v>
      </c>
      <c r="F311">
        <f>'Urella Brook'!D9</f>
        <v>1367</v>
      </c>
      <c r="G311">
        <f>'Urella Brook'!E9</f>
        <v>14743</v>
      </c>
      <c r="H311">
        <f>'Urella Brook'!F9</f>
        <v>316</v>
      </c>
      <c r="I311">
        <f>'Urella Brook'!G9</f>
        <v>4959126</v>
      </c>
      <c r="J311">
        <f>'Urella Brook'!H9</f>
        <v>68.7</v>
      </c>
      <c r="K311">
        <f>'Urella Brook'!I9</f>
        <v>1588</v>
      </c>
      <c r="L311">
        <f>'Urella Brook'!J9</f>
        <v>17307</v>
      </c>
      <c r="M311">
        <f>'Urella Brook'!K9</f>
        <v>102</v>
      </c>
      <c r="N311">
        <f>'Urella Brook'!L9</f>
        <v>1879119</v>
      </c>
      <c r="O311">
        <f>'Urella Brook'!M9</f>
        <v>26</v>
      </c>
      <c r="P311">
        <f>'Urella Brook'!N9</f>
        <v>1029</v>
      </c>
      <c r="Q311">
        <f>'Urella Brook'!O9</f>
        <v>541</v>
      </c>
      <c r="R311">
        <f>'Urella Brook'!P9</f>
        <v>55</v>
      </c>
      <c r="S311">
        <f>'Urella Brook'!Q9</f>
        <v>31673</v>
      </c>
      <c r="T311">
        <f>'Urella Brook'!R9</f>
        <v>0.4</v>
      </c>
      <c r="U311">
        <f>'Urella Brook'!S9</f>
        <v>1158</v>
      </c>
      <c r="V311">
        <f>'Urella Brook'!T9</f>
        <v>1</v>
      </c>
      <c r="W311">
        <f>'Urella Brook'!U9</f>
        <v>1</v>
      </c>
      <c r="X311">
        <f>'Urella Brook'!V9</f>
        <v>1</v>
      </c>
      <c r="Y311">
        <f>'Urella Brook'!W9</f>
        <v>0</v>
      </c>
      <c r="Z311">
        <f>'Urella Brook'!X9</f>
        <v>1260</v>
      </c>
      <c r="AA311">
        <f>'Urella Brook'!Y9</f>
        <v>1</v>
      </c>
      <c r="AB311">
        <f>'Urella Brook'!Z9</f>
        <v>1</v>
      </c>
      <c r="AC311">
        <f>'Urella Brook'!AA9</f>
        <v>1</v>
      </c>
      <c r="AD311">
        <f>'Urella Brook'!AB9</f>
        <v>0</v>
      </c>
      <c r="AE311">
        <f>'Urella Brook'!AC9</f>
        <v>1450</v>
      </c>
      <c r="AF311">
        <f>'Urella Brook'!AD9</f>
        <v>33</v>
      </c>
      <c r="AG311">
        <f>'Urella Brook'!AE9</f>
        <v>1</v>
      </c>
      <c r="AH311">
        <f>'Urella Brook'!AF9</f>
        <v>35</v>
      </c>
      <c r="AI311">
        <f>'Urella Brook'!AG9</f>
        <v>0</v>
      </c>
      <c r="AJ311">
        <f>'Urella Brook'!AH9</f>
        <v>1498</v>
      </c>
      <c r="AK311">
        <f>'Urella Brook'!AI9</f>
        <v>575</v>
      </c>
      <c r="AL311">
        <f>'Urella Brook'!AJ9</f>
        <v>37</v>
      </c>
      <c r="AM311">
        <f>'Urella Brook'!AK9</f>
        <v>22647</v>
      </c>
      <c r="AN311">
        <f>'Urella Brook'!AL9</f>
        <v>0.3</v>
      </c>
      <c r="AO311">
        <f>'Urella Brook'!AM9</f>
        <v>1598</v>
      </c>
      <c r="AP311">
        <f>'Urella Brook'!AN9</f>
        <v>1223</v>
      </c>
      <c r="AQ311">
        <f>'Urella Brook'!AO9</f>
        <v>27</v>
      </c>
      <c r="AR311">
        <f>'Urella Brook'!AP9</f>
        <v>35150</v>
      </c>
      <c r="AS311">
        <f>'Urella Brook'!AQ9</f>
        <v>0.5</v>
      </c>
      <c r="AT311">
        <f>'Urella Brook'!AR9</f>
        <v>1746</v>
      </c>
      <c r="AU311">
        <f>'Urella Brook'!AS9</f>
        <v>1515</v>
      </c>
      <c r="AV311">
        <f>'Urella Brook'!AT9</f>
        <v>179</v>
      </c>
      <c r="AW311">
        <f>'Urella Brook'!AU9</f>
        <v>288667</v>
      </c>
      <c r="AX311">
        <f>'Urella Brook'!AV9</f>
        <v>4</v>
      </c>
    </row>
    <row r="312" spans="1:50">
      <c r="A312" t="str">
        <f>'Urella Brook'!A10</f>
        <v>/Users/christophermarjo/Documents/Python/Projects/data/bushfire Raman/Urella Brook/UB 2 (1)</v>
      </c>
      <c r="B312" t="str">
        <f t="shared" si="5"/>
        <v>Urella Brook</v>
      </c>
      <c r="C312">
        <v>2</v>
      </c>
      <c r="D312" t="str">
        <f>'Urella Brook'!B10</f>
        <v>7.14 counts</v>
      </c>
      <c r="E312">
        <f>'Urella Brook'!C10</f>
        <v>0.97359799999999996</v>
      </c>
      <c r="F312">
        <f>'Urella Brook'!D10</f>
        <v>1369</v>
      </c>
      <c r="G312">
        <f>'Urella Brook'!E10</f>
        <v>3059</v>
      </c>
      <c r="H312">
        <f>'Urella Brook'!F10</f>
        <v>320</v>
      </c>
      <c r="I312">
        <f>'Urella Brook'!G10</f>
        <v>1041985</v>
      </c>
      <c r="J312">
        <f>'Urella Brook'!H10</f>
        <v>67.400000000000006</v>
      </c>
      <c r="K312">
        <f>'Urella Brook'!I10</f>
        <v>1598</v>
      </c>
      <c r="L312">
        <f>'Urella Brook'!J10</f>
        <v>3241</v>
      </c>
      <c r="M312">
        <f>'Urella Brook'!K10</f>
        <v>100</v>
      </c>
      <c r="N312">
        <f>'Urella Brook'!L10</f>
        <v>344994</v>
      </c>
      <c r="O312">
        <f>'Urella Brook'!M10</f>
        <v>22.3</v>
      </c>
      <c r="P312">
        <f>'Urella Brook'!N10</f>
        <v>1047</v>
      </c>
      <c r="Q312">
        <f>'Urella Brook'!O10</f>
        <v>307</v>
      </c>
      <c r="R312">
        <f>'Urella Brook'!P10</f>
        <v>107</v>
      </c>
      <c r="S312">
        <f>'Urella Brook'!Q10</f>
        <v>34967</v>
      </c>
      <c r="T312">
        <f>'Urella Brook'!R10</f>
        <v>2.2999999999999998</v>
      </c>
      <c r="U312">
        <f>'Urella Brook'!S10</f>
        <v>1160</v>
      </c>
      <c r="V312">
        <f>'Urella Brook'!T10</f>
        <v>73</v>
      </c>
      <c r="W312">
        <f>'Urella Brook'!U10</f>
        <v>3</v>
      </c>
      <c r="X312">
        <f>'Urella Brook'!V10</f>
        <v>233</v>
      </c>
      <c r="Y312">
        <f>'Urella Brook'!W10</f>
        <v>0</v>
      </c>
      <c r="Z312">
        <f>'Urella Brook'!X10</f>
        <v>1260</v>
      </c>
      <c r="AA312">
        <f>'Urella Brook'!Y10</f>
        <v>1</v>
      </c>
      <c r="AB312">
        <f>'Urella Brook'!Z10</f>
        <v>1</v>
      </c>
      <c r="AC312">
        <f>'Urella Brook'!AA10</f>
        <v>1</v>
      </c>
      <c r="AD312">
        <f>'Urella Brook'!AB10</f>
        <v>0</v>
      </c>
      <c r="AE312">
        <f>'Urella Brook'!AC10</f>
        <v>1456</v>
      </c>
      <c r="AF312">
        <f>'Urella Brook'!AD10</f>
        <v>7</v>
      </c>
      <c r="AG312">
        <f>'Urella Brook'!AE10</f>
        <v>199</v>
      </c>
      <c r="AH312">
        <f>'Urella Brook'!AF10</f>
        <v>1483</v>
      </c>
      <c r="AI312">
        <f>'Urella Brook'!AG10</f>
        <v>0.1</v>
      </c>
      <c r="AJ312">
        <f>'Urella Brook'!AH10</f>
        <v>1510</v>
      </c>
      <c r="AK312">
        <f>'Urella Brook'!AI10</f>
        <v>61</v>
      </c>
      <c r="AL312">
        <f>'Urella Brook'!AJ10</f>
        <v>11</v>
      </c>
      <c r="AM312">
        <f>'Urella Brook'!AK10</f>
        <v>714</v>
      </c>
      <c r="AN312">
        <f>'Urella Brook'!AL10</f>
        <v>0</v>
      </c>
      <c r="AO312">
        <f>'Urella Brook'!AM10</f>
        <v>1592</v>
      </c>
      <c r="AP312">
        <f>'Urella Brook'!AN10</f>
        <v>191</v>
      </c>
      <c r="AQ312">
        <f>'Urella Brook'!AO10</f>
        <v>27</v>
      </c>
      <c r="AR312">
        <f>'Urella Brook'!AP10</f>
        <v>5489</v>
      </c>
      <c r="AS312">
        <f>'Urella Brook'!AQ10</f>
        <v>0.4</v>
      </c>
      <c r="AT312">
        <f>'Urella Brook'!AR10</f>
        <v>1748</v>
      </c>
      <c r="AU312">
        <f>'Urella Brook'!AS10</f>
        <v>547</v>
      </c>
      <c r="AV312">
        <f>'Urella Brook'!AT10</f>
        <v>199</v>
      </c>
      <c r="AW312">
        <f>'Urella Brook'!AU10</f>
        <v>115870</v>
      </c>
      <c r="AX312">
        <f>'Urella Brook'!AV10</f>
        <v>7.5</v>
      </c>
    </row>
    <row r="313" spans="1:50">
      <c r="A313" t="str">
        <f>'Urella Brook'!A11</f>
        <v>/Users/christophermarjo/Documents/Python/Projects/data/bushfire Raman/Urella Brook/UB 2 (2)</v>
      </c>
      <c r="B313" t="str">
        <f t="shared" si="5"/>
        <v>Urella Brook</v>
      </c>
      <c r="C313">
        <v>2</v>
      </c>
      <c r="D313" t="str">
        <f>'Urella Brook'!B11</f>
        <v>7.83 counts</v>
      </c>
      <c r="E313">
        <f>'Urella Brook'!C11</f>
        <v>0.96760999999999997</v>
      </c>
      <c r="F313">
        <f>'Urella Brook'!D11</f>
        <v>1369</v>
      </c>
      <c r="G313">
        <f>'Urella Brook'!E11</f>
        <v>3053</v>
      </c>
      <c r="H313">
        <f>'Urella Brook'!F11</f>
        <v>350</v>
      </c>
      <c r="I313">
        <f>'Urella Brook'!G11</f>
        <v>1137436</v>
      </c>
      <c r="J313">
        <f>'Urella Brook'!H11</f>
        <v>68.7</v>
      </c>
      <c r="K313">
        <f>'Urella Brook'!I11</f>
        <v>1598</v>
      </c>
      <c r="L313">
        <f>'Urella Brook'!J11</f>
        <v>3193</v>
      </c>
      <c r="M313">
        <f>'Urella Brook'!K11</f>
        <v>100</v>
      </c>
      <c r="N313">
        <f>'Urella Brook'!L11</f>
        <v>339884</v>
      </c>
      <c r="O313">
        <f>'Urella Brook'!M11</f>
        <v>20.5</v>
      </c>
      <c r="P313">
        <f>'Urella Brook'!N11</f>
        <v>1025</v>
      </c>
      <c r="Q313">
        <f>'Urella Brook'!O11</f>
        <v>245</v>
      </c>
      <c r="R313">
        <f>'Urella Brook'!P11</f>
        <v>91</v>
      </c>
      <c r="S313">
        <f>'Urella Brook'!Q11</f>
        <v>23732</v>
      </c>
      <c r="T313">
        <f>'Urella Brook'!R11</f>
        <v>1.4</v>
      </c>
      <c r="U313">
        <f>'Urella Brook'!S11</f>
        <v>1160</v>
      </c>
      <c r="V313">
        <f>'Urella Brook'!T11</f>
        <v>31</v>
      </c>
      <c r="W313">
        <f>'Urella Brook'!U11</f>
        <v>1</v>
      </c>
      <c r="X313">
        <f>'Urella Brook'!V11</f>
        <v>33</v>
      </c>
      <c r="Y313">
        <f>'Urella Brook'!W11</f>
        <v>0</v>
      </c>
      <c r="Z313">
        <f>'Urella Brook'!X11</f>
        <v>1260</v>
      </c>
      <c r="AA313">
        <f>'Urella Brook'!Y11</f>
        <v>1</v>
      </c>
      <c r="AB313">
        <f>'Urella Brook'!Z11</f>
        <v>1</v>
      </c>
      <c r="AC313">
        <f>'Urella Brook'!AA11</f>
        <v>1</v>
      </c>
      <c r="AD313">
        <f>'Urella Brook'!AB11</f>
        <v>0</v>
      </c>
      <c r="AE313">
        <f>'Urella Brook'!AC11</f>
        <v>1408</v>
      </c>
      <c r="AF313">
        <f>'Urella Brook'!AD11</f>
        <v>299</v>
      </c>
      <c r="AG313">
        <f>'Urella Brook'!AE11</f>
        <v>87</v>
      </c>
      <c r="AH313">
        <f>'Urella Brook'!AF11</f>
        <v>27690</v>
      </c>
      <c r="AI313">
        <f>'Urella Brook'!AG11</f>
        <v>1.7</v>
      </c>
      <c r="AJ313">
        <f>'Urella Brook'!AH11</f>
        <v>1500</v>
      </c>
      <c r="AK313">
        <f>'Urella Brook'!AI11</f>
        <v>97</v>
      </c>
      <c r="AL313">
        <f>'Urella Brook'!AJ11</f>
        <v>3</v>
      </c>
      <c r="AM313">
        <f>'Urella Brook'!AK11</f>
        <v>310</v>
      </c>
      <c r="AN313">
        <f>'Urella Brook'!AL11</f>
        <v>0</v>
      </c>
      <c r="AO313">
        <f>'Urella Brook'!AM11</f>
        <v>1598</v>
      </c>
      <c r="AP313">
        <f>'Urella Brook'!AN11</f>
        <v>313</v>
      </c>
      <c r="AQ313">
        <f>'Urella Brook'!AO11</f>
        <v>23</v>
      </c>
      <c r="AR313">
        <f>'Urella Brook'!AP11</f>
        <v>7663</v>
      </c>
      <c r="AS313">
        <f>'Urella Brook'!AQ11</f>
        <v>0.5</v>
      </c>
      <c r="AT313">
        <f>'Urella Brook'!AR11</f>
        <v>1748</v>
      </c>
      <c r="AU313">
        <f>'Urella Brook'!AS11</f>
        <v>557</v>
      </c>
      <c r="AV313">
        <f>'Urella Brook'!AT11</f>
        <v>199</v>
      </c>
      <c r="AW313">
        <f>'Urella Brook'!AU11</f>
        <v>117989</v>
      </c>
      <c r="AX313">
        <f>'Urella Brook'!AV11</f>
        <v>7.1</v>
      </c>
    </row>
    <row r="314" spans="1:50">
      <c r="A314" t="str">
        <f>'Urella Brook'!A12</f>
        <v>/Users/christophermarjo/Documents/Python/Projects/data/bushfire Raman/Urella Brook/UB 2 (3)</v>
      </c>
      <c r="B314" t="str">
        <f t="shared" si="5"/>
        <v>Urella Brook</v>
      </c>
      <c r="C314">
        <v>2</v>
      </c>
      <c r="D314" t="str">
        <f>'Urella Brook'!B12</f>
        <v>6.70 counts</v>
      </c>
      <c r="E314">
        <f>'Urella Brook'!C12</f>
        <v>0.98668500000000003</v>
      </c>
      <c r="F314">
        <f>'Urella Brook'!D12</f>
        <v>1369</v>
      </c>
      <c r="G314">
        <f>'Urella Brook'!E12</f>
        <v>3603</v>
      </c>
      <c r="H314">
        <f>'Urella Brook'!F12</f>
        <v>324</v>
      </c>
      <c r="I314">
        <f>'Urella Brook'!G12</f>
        <v>1242629</v>
      </c>
      <c r="J314">
        <f>'Urella Brook'!H12</f>
        <v>64.900000000000006</v>
      </c>
      <c r="K314">
        <f>'Urella Brook'!I12</f>
        <v>1596</v>
      </c>
      <c r="L314">
        <f>'Urella Brook'!J12</f>
        <v>4951</v>
      </c>
      <c r="M314">
        <f>'Urella Brook'!K12</f>
        <v>100</v>
      </c>
      <c r="N314">
        <f>'Urella Brook'!L12</f>
        <v>527018</v>
      </c>
      <c r="O314">
        <f>'Urella Brook'!M12</f>
        <v>27.5</v>
      </c>
      <c r="P314">
        <f>'Urella Brook'!N12</f>
        <v>1045</v>
      </c>
      <c r="Q314">
        <f>'Urella Brook'!O12</f>
        <v>227</v>
      </c>
      <c r="R314">
        <f>'Urella Brook'!P12</f>
        <v>85</v>
      </c>
      <c r="S314">
        <f>'Urella Brook'!Q12</f>
        <v>20539</v>
      </c>
      <c r="T314">
        <f>'Urella Brook'!R12</f>
        <v>1.1000000000000001</v>
      </c>
      <c r="U314">
        <f>'Urella Brook'!S12</f>
        <v>1156</v>
      </c>
      <c r="V314">
        <f>'Urella Brook'!T12</f>
        <v>47</v>
      </c>
      <c r="W314">
        <f>'Urella Brook'!U12</f>
        <v>13</v>
      </c>
      <c r="X314">
        <f>'Urella Brook'!V12</f>
        <v>650</v>
      </c>
      <c r="Y314">
        <f>'Urella Brook'!W12</f>
        <v>0</v>
      </c>
      <c r="Z314">
        <f>'Urella Brook'!X12</f>
        <v>1260</v>
      </c>
      <c r="AA314">
        <f>'Urella Brook'!Y12</f>
        <v>1</v>
      </c>
      <c r="AB314">
        <f>'Urella Brook'!Z12</f>
        <v>1</v>
      </c>
      <c r="AC314">
        <f>'Urella Brook'!AA12</f>
        <v>1</v>
      </c>
      <c r="AD314">
        <f>'Urella Brook'!AB12</f>
        <v>0</v>
      </c>
      <c r="AE314">
        <f>'Urella Brook'!AC12</f>
        <v>1434</v>
      </c>
      <c r="AF314">
        <f>'Urella Brook'!AD12</f>
        <v>143</v>
      </c>
      <c r="AG314">
        <f>'Urella Brook'!AE12</f>
        <v>125</v>
      </c>
      <c r="AH314">
        <f>'Urella Brook'!AF12</f>
        <v>19027</v>
      </c>
      <c r="AI314">
        <f>'Urella Brook'!AG12</f>
        <v>1</v>
      </c>
      <c r="AJ314">
        <f>'Urella Brook'!AH12</f>
        <v>1500</v>
      </c>
      <c r="AK314">
        <f>'Urella Brook'!AI12</f>
        <v>119</v>
      </c>
      <c r="AL314">
        <f>'Urella Brook'!AJ12</f>
        <v>7</v>
      </c>
      <c r="AM314">
        <f>'Urella Brook'!AK12</f>
        <v>887</v>
      </c>
      <c r="AN314">
        <f>'Urella Brook'!AL12</f>
        <v>0</v>
      </c>
      <c r="AO314">
        <f>'Urella Brook'!AM12</f>
        <v>1590</v>
      </c>
      <c r="AP314">
        <f>'Urella Brook'!AN12</f>
        <v>1103</v>
      </c>
      <c r="AQ314">
        <f>'Urella Brook'!AO12</f>
        <v>1</v>
      </c>
      <c r="AR314">
        <f>'Urella Brook'!AP12</f>
        <v>1174</v>
      </c>
      <c r="AS314">
        <f>'Urella Brook'!AQ12</f>
        <v>0.1</v>
      </c>
      <c r="AT314">
        <f>'Urella Brook'!AR12</f>
        <v>1744</v>
      </c>
      <c r="AU314">
        <f>'Urella Brook'!AS12</f>
        <v>481</v>
      </c>
      <c r="AV314">
        <f>'Urella Brook'!AT12</f>
        <v>199</v>
      </c>
      <c r="AW314">
        <f>'Urella Brook'!AU12</f>
        <v>101890</v>
      </c>
      <c r="AX314">
        <f>'Urella Brook'!AV12</f>
        <v>5.3</v>
      </c>
    </row>
    <row r="315" spans="1:50">
      <c r="A315" t="str">
        <f>'Urella Brook'!A13</f>
        <v>/Users/christophermarjo/Documents/Python/Projects/data/bushfire Raman/Urella Brook/UB 2.5 (2)</v>
      </c>
      <c r="B315" t="str">
        <f t="shared" si="5"/>
        <v>Urella Brook</v>
      </c>
      <c r="C315">
        <v>2.5</v>
      </c>
      <c r="D315" t="str">
        <f>'Urella Brook'!B13</f>
        <v>22.98 counts</v>
      </c>
      <c r="E315">
        <f>'Urella Brook'!C13</f>
        <v>0.99195599999999995</v>
      </c>
      <c r="F315">
        <f>'Urella Brook'!D13</f>
        <v>1369</v>
      </c>
      <c r="G315">
        <f>'Urella Brook'!E13</f>
        <v>17593</v>
      </c>
      <c r="H315">
        <f>'Urella Brook'!F13</f>
        <v>330</v>
      </c>
      <c r="I315">
        <f>'Urella Brook'!G13</f>
        <v>6179966</v>
      </c>
      <c r="J315">
        <f>'Urella Brook'!H13</f>
        <v>71</v>
      </c>
      <c r="K315">
        <f>'Urella Brook'!I13</f>
        <v>1588</v>
      </c>
      <c r="L315">
        <f>'Urella Brook'!J13</f>
        <v>18843</v>
      </c>
      <c r="M315">
        <f>'Urella Brook'!K13</f>
        <v>104</v>
      </c>
      <c r="N315">
        <f>'Urella Brook'!L13</f>
        <v>2086006</v>
      </c>
      <c r="O315">
        <f>'Urella Brook'!M13</f>
        <v>24</v>
      </c>
      <c r="P315">
        <f>'Urella Brook'!N13</f>
        <v>1037</v>
      </c>
      <c r="Q315">
        <f>'Urella Brook'!O13</f>
        <v>607</v>
      </c>
      <c r="R315">
        <f>'Urella Brook'!P13</f>
        <v>69</v>
      </c>
      <c r="S315">
        <f>'Urella Brook'!Q13</f>
        <v>44583</v>
      </c>
      <c r="T315">
        <f>'Urella Brook'!R13</f>
        <v>0.5</v>
      </c>
      <c r="U315">
        <f>'Urella Brook'!S13</f>
        <v>1158</v>
      </c>
      <c r="V315">
        <f>'Urella Brook'!T13</f>
        <v>1</v>
      </c>
      <c r="W315">
        <f>'Urella Brook'!U13</f>
        <v>1</v>
      </c>
      <c r="X315">
        <f>'Urella Brook'!V13</f>
        <v>1</v>
      </c>
      <c r="Y315">
        <f>'Urella Brook'!W13</f>
        <v>0</v>
      </c>
      <c r="Z315">
        <f>'Urella Brook'!X13</f>
        <v>1260</v>
      </c>
      <c r="AA315">
        <f>'Urella Brook'!Y13</f>
        <v>1</v>
      </c>
      <c r="AB315">
        <f>'Urella Brook'!Z13</f>
        <v>1</v>
      </c>
      <c r="AC315">
        <f>'Urella Brook'!AA13</f>
        <v>1</v>
      </c>
      <c r="AD315">
        <f>'Urella Brook'!AB13</f>
        <v>0</v>
      </c>
      <c r="AE315">
        <f>'Urella Brook'!AC13</f>
        <v>1456</v>
      </c>
      <c r="AF315">
        <f>'Urella Brook'!AD13</f>
        <v>45</v>
      </c>
      <c r="AG315">
        <f>'Urella Brook'!AE13</f>
        <v>151</v>
      </c>
      <c r="AH315">
        <f>'Urella Brook'!AF13</f>
        <v>7233</v>
      </c>
      <c r="AI315">
        <f>'Urella Brook'!AG13</f>
        <v>0.1</v>
      </c>
      <c r="AJ315">
        <f>'Urella Brook'!AH13</f>
        <v>1494</v>
      </c>
      <c r="AK315">
        <f>'Urella Brook'!AI13</f>
        <v>723</v>
      </c>
      <c r="AL315">
        <f>'Urella Brook'!AJ13</f>
        <v>45</v>
      </c>
      <c r="AM315">
        <f>'Urella Brook'!AK13</f>
        <v>34632</v>
      </c>
      <c r="AN315">
        <f>'Urella Brook'!AL13</f>
        <v>0.4</v>
      </c>
      <c r="AO315">
        <f>'Urella Brook'!AM13</f>
        <v>1596</v>
      </c>
      <c r="AP315">
        <f>'Urella Brook'!AN13</f>
        <v>523</v>
      </c>
      <c r="AQ315">
        <f>'Urella Brook'!AO13</f>
        <v>23</v>
      </c>
      <c r="AR315">
        <f>'Urella Brook'!AP13</f>
        <v>12804</v>
      </c>
      <c r="AS315">
        <f>'Urella Brook'!AQ13</f>
        <v>0.1</v>
      </c>
      <c r="AT315">
        <f>'Urella Brook'!AR13</f>
        <v>1740</v>
      </c>
      <c r="AU315">
        <f>'Urella Brook'!AS13</f>
        <v>1835</v>
      </c>
      <c r="AV315">
        <f>'Urella Brook'!AT13</f>
        <v>175</v>
      </c>
      <c r="AW315">
        <f>'Urella Brook'!AU13</f>
        <v>341827</v>
      </c>
      <c r="AX315">
        <f>'Urella Brook'!AV13</f>
        <v>3.9</v>
      </c>
    </row>
    <row r="316" spans="1:50">
      <c r="A316" t="str">
        <f>'Urella Brook'!A14</f>
        <v>/Users/christophermarjo/Documents/Python/Projects/data/bushfire Raman/Urella Brook/UB 2.5 (3)</v>
      </c>
      <c r="B316" t="str">
        <f t="shared" si="5"/>
        <v>Urella Brook</v>
      </c>
      <c r="C316">
        <v>2.5</v>
      </c>
      <c r="D316" t="str">
        <f>'Urella Brook'!B14</f>
        <v>11.37 counts</v>
      </c>
      <c r="E316">
        <f>'Urella Brook'!C14</f>
        <v>0.99186399999999997</v>
      </c>
      <c r="F316">
        <f>'Urella Brook'!D14</f>
        <v>1369</v>
      </c>
      <c r="G316">
        <f>'Urella Brook'!E14</f>
        <v>8035</v>
      </c>
      <c r="H316">
        <f>'Urella Brook'!F14</f>
        <v>334</v>
      </c>
      <c r="I316">
        <f>'Urella Brook'!G14</f>
        <v>2856700</v>
      </c>
      <c r="J316">
        <f>'Urella Brook'!H14</f>
        <v>69.599999999999994</v>
      </c>
      <c r="K316">
        <f>'Urella Brook'!I14</f>
        <v>1590</v>
      </c>
      <c r="L316">
        <f>'Urella Brook'!J14</f>
        <v>10071</v>
      </c>
      <c r="M316">
        <f>'Urella Brook'!K14</f>
        <v>100</v>
      </c>
      <c r="N316">
        <f>'Urella Brook'!L14</f>
        <v>1072025</v>
      </c>
      <c r="O316">
        <f>'Urella Brook'!M14</f>
        <v>26.1</v>
      </c>
      <c r="P316">
        <f>'Urella Brook'!N14</f>
        <v>1031</v>
      </c>
      <c r="Q316">
        <f>'Urella Brook'!O14</f>
        <v>313</v>
      </c>
      <c r="R316">
        <f>'Urella Brook'!P14</f>
        <v>57</v>
      </c>
      <c r="S316">
        <f>'Urella Brook'!Q14</f>
        <v>18991</v>
      </c>
      <c r="T316">
        <f>'Urella Brook'!R14</f>
        <v>0.5</v>
      </c>
      <c r="U316">
        <f>'Urella Brook'!S14</f>
        <v>1158</v>
      </c>
      <c r="V316">
        <f>'Urella Brook'!T14</f>
        <v>1</v>
      </c>
      <c r="W316">
        <f>'Urella Brook'!U14</f>
        <v>1</v>
      </c>
      <c r="X316">
        <f>'Urella Brook'!V14</f>
        <v>1</v>
      </c>
      <c r="Y316">
        <f>'Urella Brook'!W14</f>
        <v>0</v>
      </c>
      <c r="Z316">
        <f>'Urella Brook'!X14</f>
        <v>1260</v>
      </c>
      <c r="AA316">
        <f>'Urella Brook'!Y14</f>
        <v>1</v>
      </c>
      <c r="AB316">
        <f>'Urella Brook'!Z14</f>
        <v>1</v>
      </c>
      <c r="AC316">
        <f>'Urella Brook'!AA14</f>
        <v>1</v>
      </c>
      <c r="AD316">
        <f>'Urella Brook'!AB14</f>
        <v>0</v>
      </c>
      <c r="AE316">
        <f>'Urella Brook'!AC14</f>
        <v>1408</v>
      </c>
      <c r="AF316">
        <f>'Urella Brook'!AD14</f>
        <v>159</v>
      </c>
      <c r="AG316">
        <f>'Urella Brook'!AE14</f>
        <v>3</v>
      </c>
      <c r="AH316">
        <f>'Urella Brook'!AF14</f>
        <v>508</v>
      </c>
      <c r="AI316">
        <f>'Urella Brook'!AG14</f>
        <v>0</v>
      </c>
      <c r="AJ316">
        <f>'Urella Brook'!AH14</f>
        <v>1494</v>
      </c>
      <c r="AK316">
        <f>'Urella Brook'!AI14</f>
        <v>411</v>
      </c>
      <c r="AL316">
        <f>'Urella Brook'!AJ14</f>
        <v>27</v>
      </c>
      <c r="AM316">
        <f>'Urella Brook'!AK14</f>
        <v>11812</v>
      </c>
      <c r="AN316">
        <f>'Urella Brook'!AL14</f>
        <v>0.3</v>
      </c>
      <c r="AO316">
        <f>'Urella Brook'!AM14</f>
        <v>1594</v>
      </c>
      <c r="AP316">
        <f>'Urella Brook'!AN14</f>
        <v>923</v>
      </c>
      <c r="AQ316">
        <f>'Urella Brook'!AO14</f>
        <v>29</v>
      </c>
      <c r="AR316">
        <f>'Urella Brook'!AP14</f>
        <v>28493</v>
      </c>
      <c r="AS316">
        <f>'Urella Brook'!AQ14</f>
        <v>0.7</v>
      </c>
      <c r="AT316">
        <f>'Urella Brook'!AR14</f>
        <v>1742</v>
      </c>
      <c r="AU316">
        <f>'Urella Brook'!AS14</f>
        <v>757</v>
      </c>
      <c r="AV316">
        <f>'Urella Brook'!AT14</f>
        <v>147</v>
      </c>
      <c r="AW316">
        <f>'Urella Brook'!AU14</f>
        <v>118453</v>
      </c>
      <c r="AX316">
        <f>'Urella Brook'!AV14</f>
        <v>2.9</v>
      </c>
    </row>
    <row r="317" spans="1:50">
      <c r="A317" t="str">
        <f>'Urella Brook'!A15</f>
        <v>/Users/christophermarjo/Documents/Python/Projects/data/bushfire Raman/Urella Brook/UB 3.5 (1)</v>
      </c>
      <c r="B317" t="str">
        <f t="shared" si="5"/>
        <v>Urella Brook</v>
      </c>
      <c r="C317">
        <v>3.5</v>
      </c>
      <c r="D317" t="str">
        <f>'Urella Brook'!B15</f>
        <v>16.04 counts</v>
      </c>
      <c r="E317">
        <f>'Urella Brook'!C15</f>
        <v>0.98787400000000003</v>
      </c>
      <c r="F317">
        <f>'Urella Brook'!D15</f>
        <v>1369</v>
      </c>
      <c r="G317">
        <f>'Urella Brook'!E15</f>
        <v>9765</v>
      </c>
      <c r="H317">
        <f>'Urella Brook'!F15</f>
        <v>336</v>
      </c>
      <c r="I317">
        <f>'Urella Brook'!G15</f>
        <v>3492559</v>
      </c>
      <c r="J317">
        <f>'Urella Brook'!H15</f>
        <v>69.900000000000006</v>
      </c>
      <c r="K317">
        <f>'Urella Brook'!I15</f>
        <v>1588</v>
      </c>
      <c r="L317">
        <f>'Urella Brook'!J15</f>
        <v>11039</v>
      </c>
      <c r="M317">
        <f>'Urella Brook'!K15</f>
        <v>108</v>
      </c>
      <c r="N317">
        <f>'Urella Brook'!L15</f>
        <v>1269070</v>
      </c>
      <c r="O317">
        <f>'Urella Brook'!M15</f>
        <v>25.4</v>
      </c>
      <c r="P317">
        <f>'Urella Brook'!N15</f>
        <v>1013</v>
      </c>
      <c r="Q317">
        <f>'Urella Brook'!O15</f>
        <v>97</v>
      </c>
      <c r="R317">
        <f>'Urella Brook'!P15</f>
        <v>83</v>
      </c>
      <c r="S317">
        <f>'Urella Brook'!Q15</f>
        <v>8570</v>
      </c>
      <c r="T317">
        <f>'Urella Brook'!R15</f>
        <v>0.2</v>
      </c>
      <c r="U317">
        <f>'Urella Brook'!S15</f>
        <v>1158</v>
      </c>
      <c r="V317">
        <f>'Urella Brook'!T15</f>
        <v>1</v>
      </c>
      <c r="W317">
        <f>'Urella Brook'!U15</f>
        <v>1</v>
      </c>
      <c r="X317">
        <f>'Urella Brook'!V15</f>
        <v>1</v>
      </c>
      <c r="Y317">
        <f>'Urella Brook'!W15</f>
        <v>0</v>
      </c>
      <c r="Z317">
        <f>'Urella Brook'!X15</f>
        <v>1260</v>
      </c>
      <c r="AA317">
        <f>'Urella Brook'!Y15</f>
        <v>1</v>
      </c>
      <c r="AB317">
        <f>'Urella Brook'!Z15</f>
        <v>1</v>
      </c>
      <c r="AC317">
        <f>'Urella Brook'!AA15</f>
        <v>1</v>
      </c>
      <c r="AD317">
        <f>'Urella Brook'!AB15</f>
        <v>0</v>
      </c>
      <c r="AE317">
        <f>'Urella Brook'!AC15</f>
        <v>1450</v>
      </c>
      <c r="AF317">
        <f>'Urella Brook'!AD15</f>
        <v>119</v>
      </c>
      <c r="AG317">
        <f>'Urella Brook'!AE15</f>
        <v>123</v>
      </c>
      <c r="AH317">
        <f>'Urella Brook'!AF15</f>
        <v>15581</v>
      </c>
      <c r="AI317">
        <f>'Urella Brook'!AG15</f>
        <v>0.3</v>
      </c>
      <c r="AJ317">
        <f>'Urella Brook'!AH15</f>
        <v>1494</v>
      </c>
      <c r="AK317">
        <f>'Urella Brook'!AI15</f>
        <v>627</v>
      </c>
      <c r="AL317">
        <f>'Urella Brook'!AJ15</f>
        <v>39</v>
      </c>
      <c r="AM317">
        <f>'Urella Brook'!AK15</f>
        <v>26029</v>
      </c>
      <c r="AN317">
        <f>'Urella Brook'!AL15</f>
        <v>0.5</v>
      </c>
      <c r="AO317">
        <f>'Urella Brook'!AM15</f>
        <v>1598</v>
      </c>
      <c r="AP317">
        <f>'Urella Brook'!AN15</f>
        <v>257</v>
      </c>
      <c r="AQ317">
        <f>'Urella Brook'!AO15</f>
        <v>3</v>
      </c>
      <c r="AR317">
        <f>'Urella Brook'!AP15</f>
        <v>821</v>
      </c>
      <c r="AS317">
        <f>'Urella Brook'!AQ15</f>
        <v>0</v>
      </c>
      <c r="AT317">
        <f>'Urella Brook'!AR15</f>
        <v>1746</v>
      </c>
      <c r="AU317">
        <f>'Urella Brook'!AS15</f>
        <v>1015</v>
      </c>
      <c r="AV317">
        <f>'Urella Brook'!AT15</f>
        <v>167</v>
      </c>
      <c r="AW317">
        <f>'Urella Brook'!AU15</f>
        <v>180432</v>
      </c>
      <c r="AX317">
        <f>'Urella Brook'!AV15</f>
        <v>3.6</v>
      </c>
    </row>
    <row r="318" spans="1:50">
      <c r="A318" t="str">
        <f>'Urella Brook'!A16</f>
        <v>/Users/christophermarjo/Documents/Python/Projects/data/bushfire Raman/Urella Brook/UB 3.5 (2)</v>
      </c>
      <c r="B318" t="str">
        <f t="shared" si="5"/>
        <v>Urella Brook</v>
      </c>
      <c r="C318">
        <v>3.5</v>
      </c>
      <c r="D318" t="str">
        <f>'Urella Brook'!B16</f>
        <v>10.72 counts</v>
      </c>
      <c r="E318">
        <f>'Urella Brook'!C16</f>
        <v>0.98387599999999997</v>
      </c>
      <c r="F318">
        <f>'Urella Brook'!D16</f>
        <v>1367</v>
      </c>
      <c r="G318">
        <f>'Urella Brook'!E16</f>
        <v>6083</v>
      </c>
      <c r="H318">
        <f>'Urella Brook'!F16</f>
        <v>334</v>
      </c>
      <c r="I318">
        <f>'Urella Brook'!G16</f>
        <v>2162701</v>
      </c>
      <c r="J318">
        <f>'Urella Brook'!H16</f>
        <v>74.599999999999994</v>
      </c>
      <c r="K318">
        <f>'Urella Brook'!I16</f>
        <v>1588</v>
      </c>
      <c r="L318">
        <f>'Urella Brook'!J16</f>
        <v>5475</v>
      </c>
      <c r="M318">
        <f>'Urella Brook'!K16</f>
        <v>104</v>
      </c>
      <c r="N318">
        <f>'Urella Brook'!L16</f>
        <v>606108</v>
      </c>
      <c r="O318">
        <f>'Urella Brook'!M16</f>
        <v>20.9</v>
      </c>
      <c r="P318">
        <f>'Urella Brook'!N16</f>
        <v>1037</v>
      </c>
      <c r="Q318">
        <f>'Urella Brook'!O16</f>
        <v>235</v>
      </c>
      <c r="R318">
        <f>'Urella Brook'!P16</f>
        <v>71</v>
      </c>
      <c r="S318">
        <f>'Urella Brook'!Q16</f>
        <v>17761</v>
      </c>
      <c r="T318">
        <f>'Urella Brook'!R16</f>
        <v>0.6</v>
      </c>
      <c r="U318">
        <f>'Urella Brook'!S16</f>
        <v>1158</v>
      </c>
      <c r="V318">
        <f>'Urella Brook'!T16</f>
        <v>1</v>
      </c>
      <c r="W318">
        <f>'Urella Brook'!U16</f>
        <v>1</v>
      </c>
      <c r="X318">
        <f>'Urella Brook'!V16</f>
        <v>1</v>
      </c>
      <c r="Y318">
        <f>'Urella Brook'!W16</f>
        <v>0</v>
      </c>
      <c r="Z318">
        <f>'Urella Brook'!X16</f>
        <v>1260</v>
      </c>
      <c r="AA318">
        <f>'Urella Brook'!Y16</f>
        <v>1</v>
      </c>
      <c r="AB318">
        <f>'Urella Brook'!Z16</f>
        <v>1</v>
      </c>
      <c r="AC318">
        <f>'Urella Brook'!AA16</f>
        <v>1</v>
      </c>
      <c r="AD318">
        <f>'Urella Brook'!AB16</f>
        <v>0</v>
      </c>
      <c r="AE318">
        <f>'Urella Brook'!AC16</f>
        <v>1458</v>
      </c>
      <c r="AF318">
        <f>'Urella Brook'!AD16</f>
        <v>1</v>
      </c>
      <c r="AG318">
        <f>'Urella Brook'!AE16</f>
        <v>3</v>
      </c>
      <c r="AH318">
        <f>'Urella Brook'!AF16</f>
        <v>3</v>
      </c>
      <c r="AI318">
        <f>'Urella Brook'!AG16</f>
        <v>0</v>
      </c>
      <c r="AJ318">
        <f>'Urella Brook'!AH16</f>
        <v>1528</v>
      </c>
      <c r="AK318">
        <f>'Urella Brook'!AI16</f>
        <v>111</v>
      </c>
      <c r="AL318">
        <f>'Urella Brook'!AJ16</f>
        <v>19</v>
      </c>
      <c r="AM318">
        <f>'Urella Brook'!AK16</f>
        <v>2245</v>
      </c>
      <c r="AN318">
        <f>'Urella Brook'!AL16</f>
        <v>0.1</v>
      </c>
      <c r="AO318">
        <f>'Urella Brook'!AM16</f>
        <v>1598</v>
      </c>
      <c r="AP318">
        <f>'Urella Brook'!AN16</f>
        <v>325</v>
      </c>
      <c r="AQ318">
        <f>'Urella Brook'!AO16</f>
        <v>25</v>
      </c>
      <c r="AR318">
        <f>'Urella Brook'!AP16</f>
        <v>8649</v>
      </c>
      <c r="AS318">
        <f>'Urella Brook'!AQ16</f>
        <v>0.3</v>
      </c>
      <c r="AT318">
        <f>'Urella Brook'!AR16</f>
        <v>1748</v>
      </c>
      <c r="AU318">
        <f>'Urella Brook'!AS16</f>
        <v>481</v>
      </c>
      <c r="AV318">
        <f>'Urella Brook'!AT16</f>
        <v>199</v>
      </c>
      <c r="AW318">
        <f>'Urella Brook'!AU16</f>
        <v>101890</v>
      </c>
      <c r="AX318">
        <f>'Urella Brook'!AV16</f>
        <v>3.5</v>
      </c>
    </row>
    <row r="319" spans="1:50">
      <c r="A319" t="str">
        <f>'Urella Brook'!A17</f>
        <v>/Users/christophermarjo/Documents/Python/Projects/data/bushfire Raman/Urella Brook/UB 3.5 (3)</v>
      </c>
      <c r="B319" t="str">
        <f t="shared" si="5"/>
        <v>Urella Brook</v>
      </c>
      <c r="C319">
        <v>3.5</v>
      </c>
      <c r="D319" t="str">
        <f>'Urella Brook'!B17</f>
        <v>9.83 counts</v>
      </c>
      <c r="E319">
        <f>'Urella Brook'!C17</f>
        <v>0.98486200000000002</v>
      </c>
      <c r="F319">
        <f>'Urella Brook'!D17</f>
        <v>1369</v>
      </c>
      <c r="G319">
        <f>'Urella Brook'!E17</f>
        <v>5387</v>
      </c>
      <c r="H319">
        <f>'Urella Brook'!F17</f>
        <v>364</v>
      </c>
      <c r="I319">
        <f>'Urella Brook'!G17</f>
        <v>2087279</v>
      </c>
      <c r="J319">
        <f>'Urella Brook'!H17</f>
        <v>75</v>
      </c>
      <c r="K319">
        <f>'Urella Brook'!I17</f>
        <v>1586</v>
      </c>
      <c r="L319">
        <f>'Urella Brook'!J17</f>
        <v>5297</v>
      </c>
      <c r="M319">
        <f>'Urella Brook'!K17</f>
        <v>106</v>
      </c>
      <c r="N319">
        <f>'Urella Brook'!L17</f>
        <v>597679</v>
      </c>
      <c r="O319">
        <f>'Urella Brook'!M17</f>
        <v>21.5</v>
      </c>
      <c r="P319">
        <f>'Urella Brook'!N17</f>
        <v>1013</v>
      </c>
      <c r="Q319">
        <f>'Urella Brook'!O17</f>
        <v>221</v>
      </c>
      <c r="R319">
        <f>'Urella Brook'!P17</f>
        <v>35</v>
      </c>
      <c r="S319">
        <f>'Urella Brook'!Q17</f>
        <v>8234</v>
      </c>
      <c r="T319">
        <f>'Urella Brook'!R17</f>
        <v>0.3</v>
      </c>
      <c r="U319">
        <f>'Urella Brook'!S17</f>
        <v>1158</v>
      </c>
      <c r="V319">
        <f>'Urella Brook'!T17</f>
        <v>1</v>
      </c>
      <c r="W319">
        <f>'Urella Brook'!U17</f>
        <v>1</v>
      </c>
      <c r="X319">
        <f>'Urella Brook'!V17</f>
        <v>1</v>
      </c>
      <c r="Y319">
        <f>'Urella Brook'!W17</f>
        <v>0</v>
      </c>
      <c r="Z319">
        <f>'Urella Brook'!X17</f>
        <v>1260</v>
      </c>
      <c r="AA319">
        <f>'Urella Brook'!Y17</f>
        <v>1</v>
      </c>
      <c r="AB319">
        <f>'Urella Brook'!Z17</f>
        <v>1</v>
      </c>
      <c r="AC319">
        <f>'Urella Brook'!AA17</f>
        <v>1</v>
      </c>
      <c r="AD319">
        <f>'Urella Brook'!AB17</f>
        <v>0</v>
      </c>
      <c r="AE319">
        <f>'Urella Brook'!AC17</f>
        <v>1456</v>
      </c>
      <c r="AF319">
        <f>'Urella Brook'!AD17</f>
        <v>113</v>
      </c>
      <c r="AG319">
        <f>'Urella Brook'!AE17</f>
        <v>99</v>
      </c>
      <c r="AH319">
        <f>'Urella Brook'!AF17</f>
        <v>11908</v>
      </c>
      <c r="AI319">
        <f>'Urella Brook'!AG17</f>
        <v>0.4</v>
      </c>
      <c r="AJ319">
        <f>'Urella Brook'!AH17</f>
        <v>1504</v>
      </c>
      <c r="AK319">
        <f>'Urella Brook'!AI17</f>
        <v>479</v>
      </c>
      <c r="AL319">
        <f>'Urella Brook'!AJ17</f>
        <v>39</v>
      </c>
      <c r="AM319">
        <f>'Urella Brook'!AK17</f>
        <v>19885</v>
      </c>
      <c r="AN319">
        <f>'Urella Brook'!AL17</f>
        <v>0.7</v>
      </c>
      <c r="AO319">
        <f>'Urella Brook'!AM17</f>
        <v>1586</v>
      </c>
      <c r="AP319">
        <f>'Urella Brook'!AN17</f>
        <v>233</v>
      </c>
      <c r="AQ319">
        <f>'Urella Brook'!AO17</f>
        <v>1</v>
      </c>
      <c r="AR319">
        <f>'Urella Brook'!AP17</f>
        <v>248</v>
      </c>
      <c r="AS319">
        <f>'Urella Brook'!AQ17</f>
        <v>0</v>
      </c>
      <c r="AT319">
        <f>'Urella Brook'!AR17</f>
        <v>1748</v>
      </c>
      <c r="AU319">
        <f>'Urella Brook'!AS17</f>
        <v>289</v>
      </c>
      <c r="AV319">
        <f>'Urella Brook'!AT17</f>
        <v>183</v>
      </c>
      <c r="AW319">
        <f>'Urella Brook'!AU17</f>
        <v>56296</v>
      </c>
      <c r="AX319">
        <f>'Urella Brook'!AV17</f>
        <v>2</v>
      </c>
    </row>
    <row r="320" spans="1:50">
      <c r="A320" t="str">
        <f>'Urella Brook'!A18</f>
        <v>/Users/christophermarjo/Documents/Python/Projects/data/bushfire Raman/Urella Brook/UB 4 (1)</v>
      </c>
      <c r="B320" t="str">
        <f t="shared" si="5"/>
        <v>Urella Brook</v>
      </c>
      <c r="C320">
        <v>4</v>
      </c>
      <c r="D320" t="str">
        <f>'Urella Brook'!B18</f>
        <v>6.33 counts</v>
      </c>
      <c r="E320">
        <f>'Urella Brook'!C18</f>
        <v>0.988981</v>
      </c>
      <c r="F320">
        <f>'Urella Brook'!D18</f>
        <v>1369</v>
      </c>
      <c r="G320">
        <f>'Urella Brook'!E18</f>
        <v>4189</v>
      </c>
      <c r="H320">
        <f>'Urella Brook'!F18</f>
        <v>336</v>
      </c>
      <c r="I320">
        <f>'Urella Brook'!G18</f>
        <v>1498242</v>
      </c>
      <c r="J320">
        <f>'Urella Brook'!H18</f>
        <v>74.900000000000006</v>
      </c>
      <c r="K320">
        <f>'Urella Brook'!I18</f>
        <v>1590</v>
      </c>
      <c r="L320">
        <f>'Urella Brook'!J18</f>
        <v>4045</v>
      </c>
      <c r="M320">
        <f>'Urella Brook'!K18</f>
        <v>104</v>
      </c>
      <c r="N320">
        <f>'Urella Brook'!L18</f>
        <v>447800</v>
      </c>
      <c r="O320">
        <f>'Urella Brook'!M18</f>
        <v>22.4</v>
      </c>
      <c r="P320">
        <f>'Urella Brook'!N18</f>
        <v>1027</v>
      </c>
      <c r="Q320">
        <f>'Urella Brook'!O18</f>
        <v>147</v>
      </c>
      <c r="R320">
        <f>'Urella Brook'!P18</f>
        <v>55</v>
      </c>
      <c r="S320">
        <f>'Urella Brook'!Q18</f>
        <v>8606</v>
      </c>
      <c r="T320">
        <f>'Urella Brook'!R18</f>
        <v>0.4</v>
      </c>
      <c r="U320">
        <f>'Urella Brook'!S18</f>
        <v>1158</v>
      </c>
      <c r="V320">
        <f>'Urella Brook'!T18</f>
        <v>1</v>
      </c>
      <c r="W320">
        <f>'Urella Brook'!U18</f>
        <v>1</v>
      </c>
      <c r="X320">
        <f>'Urella Brook'!V18</f>
        <v>1</v>
      </c>
      <c r="Y320">
        <f>'Urella Brook'!W18</f>
        <v>0</v>
      </c>
      <c r="Z320">
        <f>'Urella Brook'!X18</f>
        <v>1260</v>
      </c>
      <c r="AA320">
        <f>'Urella Brook'!Y18</f>
        <v>1</v>
      </c>
      <c r="AB320">
        <f>'Urella Brook'!Z18</f>
        <v>1</v>
      </c>
      <c r="AC320">
        <f>'Urella Brook'!AA18</f>
        <v>1</v>
      </c>
      <c r="AD320">
        <f>'Urella Brook'!AB18</f>
        <v>0</v>
      </c>
      <c r="AE320">
        <f>'Urella Brook'!AC18</f>
        <v>1458</v>
      </c>
      <c r="AF320">
        <f>'Urella Brook'!AD18</f>
        <v>121</v>
      </c>
      <c r="AG320">
        <f>'Urella Brook'!AE18</f>
        <v>1</v>
      </c>
      <c r="AH320">
        <f>'Urella Brook'!AF18</f>
        <v>129</v>
      </c>
      <c r="AI320">
        <f>'Urella Brook'!AG18</f>
        <v>0</v>
      </c>
      <c r="AJ320">
        <f>'Urella Brook'!AH18</f>
        <v>1494</v>
      </c>
      <c r="AK320">
        <f>'Urella Brook'!AI18</f>
        <v>115</v>
      </c>
      <c r="AL320">
        <f>'Urella Brook'!AJ18</f>
        <v>31</v>
      </c>
      <c r="AM320">
        <f>'Urella Brook'!AK18</f>
        <v>3795</v>
      </c>
      <c r="AN320">
        <f>'Urella Brook'!AL18</f>
        <v>0.2</v>
      </c>
      <c r="AO320">
        <f>'Urella Brook'!AM18</f>
        <v>1598</v>
      </c>
      <c r="AP320">
        <f>'Urella Brook'!AN18</f>
        <v>307</v>
      </c>
      <c r="AQ320">
        <f>'Urella Brook'!AO18</f>
        <v>27</v>
      </c>
      <c r="AR320">
        <f>'Urella Brook'!AP18</f>
        <v>8823</v>
      </c>
      <c r="AS320">
        <f>'Urella Brook'!AQ18</f>
        <v>0.4</v>
      </c>
      <c r="AT320">
        <f>'Urella Brook'!AR18</f>
        <v>1724</v>
      </c>
      <c r="AU320">
        <f>'Urella Brook'!AS18</f>
        <v>293</v>
      </c>
      <c r="AV320">
        <f>'Urella Brook'!AT18</f>
        <v>105</v>
      </c>
      <c r="AW320">
        <f>'Urella Brook'!AU18</f>
        <v>32748</v>
      </c>
      <c r="AX320">
        <f>'Urella Brook'!AV18</f>
        <v>1.6</v>
      </c>
    </row>
    <row r="321" spans="1:50">
      <c r="A321" t="str">
        <f>'Urella Brook'!A19</f>
        <v>/Users/christophermarjo/Documents/Python/Projects/data/bushfire Raman/Urella Brook/UB 5 (1)</v>
      </c>
      <c r="B321" t="str">
        <f t="shared" si="5"/>
        <v>Urella Brook</v>
      </c>
      <c r="C321">
        <v>5</v>
      </c>
      <c r="D321" t="str">
        <f>'Urella Brook'!B19</f>
        <v>6.96 counts</v>
      </c>
      <c r="E321">
        <f>'Urella Brook'!C19</f>
        <v>0.98529599999999995</v>
      </c>
      <c r="F321">
        <f>'Urella Brook'!D19</f>
        <v>1369</v>
      </c>
      <c r="G321">
        <f>'Urella Brook'!E19</f>
        <v>3999</v>
      </c>
      <c r="H321">
        <f>'Urella Brook'!F19</f>
        <v>330</v>
      </c>
      <c r="I321">
        <f>'Urella Brook'!G19</f>
        <v>1404745</v>
      </c>
      <c r="J321">
        <f>'Urella Brook'!H19</f>
        <v>70.400000000000006</v>
      </c>
      <c r="K321">
        <f>'Urella Brook'!I19</f>
        <v>1590</v>
      </c>
      <c r="L321">
        <f>'Urella Brook'!J19</f>
        <v>4153</v>
      </c>
      <c r="M321">
        <f>'Urella Brook'!K19</f>
        <v>102</v>
      </c>
      <c r="N321">
        <f>'Urella Brook'!L19</f>
        <v>450915</v>
      </c>
      <c r="O321">
        <f>'Urella Brook'!M19</f>
        <v>22.6</v>
      </c>
      <c r="P321">
        <f>'Urella Brook'!N19</f>
        <v>1017</v>
      </c>
      <c r="Q321">
        <f>'Urella Brook'!O19</f>
        <v>179</v>
      </c>
      <c r="R321">
        <f>'Urella Brook'!P19</f>
        <v>49</v>
      </c>
      <c r="S321">
        <f>'Urella Brook'!Q19</f>
        <v>9336</v>
      </c>
      <c r="T321">
        <f>'Urella Brook'!R19</f>
        <v>0.5</v>
      </c>
      <c r="U321">
        <f>'Urella Brook'!S19</f>
        <v>1150</v>
      </c>
      <c r="V321">
        <f>'Urella Brook'!T19</f>
        <v>1</v>
      </c>
      <c r="W321">
        <f>'Urella Brook'!U19</f>
        <v>1</v>
      </c>
      <c r="X321">
        <f>'Urella Brook'!V19</f>
        <v>1</v>
      </c>
      <c r="Y321">
        <f>'Urella Brook'!W19</f>
        <v>0</v>
      </c>
      <c r="Z321">
        <f>'Urella Brook'!X19</f>
        <v>1260</v>
      </c>
      <c r="AA321">
        <f>'Urella Brook'!Y19</f>
        <v>1</v>
      </c>
      <c r="AB321">
        <f>'Urella Brook'!Z19</f>
        <v>1</v>
      </c>
      <c r="AC321">
        <f>'Urella Brook'!AA19</f>
        <v>1</v>
      </c>
      <c r="AD321">
        <f>'Urella Brook'!AB19</f>
        <v>0</v>
      </c>
      <c r="AE321">
        <f>'Urella Brook'!AC19</f>
        <v>1450</v>
      </c>
      <c r="AF321">
        <f>'Urella Brook'!AD19</f>
        <v>17</v>
      </c>
      <c r="AG321">
        <f>'Urella Brook'!AE19</f>
        <v>197</v>
      </c>
      <c r="AH321">
        <f>'Urella Brook'!AF19</f>
        <v>3565</v>
      </c>
      <c r="AI321">
        <f>'Urella Brook'!AG19</f>
        <v>0.2</v>
      </c>
      <c r="AJ321">
        <f>'Urella Brook'!AH19</f>
        <v>1494</v>
      </c>
      <c r="AK321">
        <f>'Urella Brook'!AI19</f>
        <v>205</v>
      </c>
      <c r="AL321">
        <f>'Urella Brook'!AJ19</f>
        <v>39</v>
      </c>
      <c r="AM321">
        <f>'Urella Brook'!AK19</f>
        <v>8510</v>
      </c>
      <c r="AN321">
        <f>'Urella Brook'!AL19</f>
        <v>0.4</v>
      </c>
      <c r="AO321">
        <f>'Urella Brook'!AM19</f>
        <v>1598</v>
      </c>
      <c r="AP321">
        <f>'Urella Brook'!AN19</f>
        <v>325</v>
      </c>
      <c r="AQ321">
        <f>'Urella Brook'!AO19</f>
        <v>27</v>
      </c>
      <c r="AR321">
        <f>'Urella Brook'!AP19</f>
        <v>9341</v>
      </c>
      <c r="AS321">
        <f>'Urella Brook'!AQ19</f>
        <v>0.5</v>
      </c>
      <c r="AT321">
        <f>'Urella Brook'!AR19</f>
        <v>1748</v>
      </c>
      <c r="AU321">
        <f>'Urella Brook'!AS19</f>
        <v>519</v>
      </c>
      <c r="AV321">
        <f>'Urella Brook'!AT19</f>
        <v>199</v>
      </c>
      <c r="AW321">
        <f>'Urella Brook'!AU19</f>
        <v>109939</v>
      </c>
      <c r="AX321">
        <f>'Urella Brook'!AV19</f>
        <v>5.5</v>
      </c>
    </row>
    <row r="322" spans="1:50">
      <c r="A322" t="str">
        <f>'Urella Brook'!A20</f>
        <v>/Users/christophermarjo/Documents/Python/Projects/data/bushfire Raman/Urella Brook/UB 5 (2)</v>
      </c>
      <c r="B322" t="str">
        <f t="shared" si="5"/>
        <v>Urella Brook</v>
      </c>
      <c r="C322">
        <v>5</v>
      </c>
      <c r="D322" t="str">
        <f>'Urella Brook'!B20</f>
        <v>15.59 counts</v>
      </c>
      <c r="E322">
        <f>'Urella Brook'!C20</f>
        <v>0.93338699999999997</v>
      </c>
      <c r="F322">
        <f>'Urella Brook'!D20</f>
        <v>1369</v>
      </c>
      <c r="G322">
        <f>'Urella Brook'!E20</f>
        <v>4301</v>
      </c>
      <c r="H322">
        <f>'Urella Brook'!F20</f>
        <v>348</v>
      </c>
      <c r="I322">
        <f>'Urella Brook'!G20</f>
        <v>1593239</v>
      </c>
      <c r="J322">
        <f>'Urella Brook'!H20</f>
        <v>76.8</v>
      </c>
      <c r="K322">
        <f>'Urella Brook'!I20</f>
        <v>1588</v>
      </c>
      <c r="L322">
        <f>'Urella Brook'!J20</f>
        <v>3647</v>
      </c>
      <c r="M322">
        <f>'Urella Brook'!K20</f>
        <v>102</v>
      </c>
      <c r="N322">
        <f>'Urella Brook'!L20</f>
        <v>395975</v>
      </c>
      <c r="O322">
        <f>'Urella Brook'!M20</f>
        <v>19.100000000000001</v>
      </c>
      <c r="P322">
        <f>'Urella Brook'!N20</f>
        <v>1021</v>
      </c>
      <c r="Q322">
        <f>'Urella Brook'!O20</f>
        <v>125</v>
      </c>
      <c r="R322">
        <f>'Urella Brook'!P20</f>
        <v>67</v>
      </c>
      <c r="S322">
        <f>'Urella Brook'!Q20</f>
        <v>8915</v>
      </c>
      <c r="T322">
        <f>'Urella Brook'!R20</f>
        <v>0.4</v>
      </c>
      <c r="U322">
        <f>'Urella Brook'!S20</f>
        <v>1158</v>
      </c>
      <c r="V322">
        <f>'Urella Brook'!T20</f>
        <v>1</v>
      </c>
      <c r="W322">
        <f>'Urella Brook'!U20</f>
        <v>1</v>
      </c>
      <c r="X322">
        <f>'Urella Brook'!V20</f>
        <v>1</v>
      </c>
      <c r="Y322">
        <f>'Urella Brook'!W20</f>
        <v>0</v>
      </c>
      <c r="Z322">
        <f>'Urella Brook'!X20</f>
        <v>1260</v>
      </c>
      <c r="AA322">
        <f>'Urella Brook'!Y20</f>
        <v>1</v>
      </c>
      <c r="AB322">
        <f>'Urella Brook'!Z20</f>
        <v>1</v>
      </c>
      <c r="AC322">
        <f>'Urella Brook'!AA20</f>
        <v>1</v>
      </c>
      <c r="AD322">
        <f>'Urella Brook'!AB20</f>
        <v>0</v>
      </c>
      <c r="AE322">
        <f>'Urella Brook'!AC20</f>
        <v>1400</v>
      </c>
      <c r="AF322">
        <f>'Urella Brook'!AD20</f>
        <v>1</v>
      </c>
      <c r="AG322">
        <f>'Urella Brook'!AE20</f>
        <v>1</v>
      </c>
      <c r="AH322">
        <f>'Urella Brook'!AF20</f>
        <v>1</v>
      </c>
      <c r="AI322">
        <f>'Urella Brook'!AG20</f>
        <v>0</v>
      </c>
      <c r="AJ322">
        <f>'Urella Brook'!AH20</f>
        <v>1534</v>
      </c>
      <c r="AK322">
        <f>'Urella Brook'!AI20</f>
        <v>7</v>
      </c>
      <c r="AL322">
        <f>'Urella Brook'!AJ20</f>
        <v>1</v>
      </c>
      <c r="AM322">
        <f>'Urella Brook'!AK20</f>
        <v>7</v>
      </c>
      <c r="AN322">
        <f>'Urella Brook'!AL20</f>
        <v>0</v>
      </c>
      <c r="AO322">
        <f>'Urella Brook'!AM20</f>
        <v>1592</v>
      </c>
      <c r="AP322">
        <f>'Urella Brook'!AN20</f>
        <v>369</v>
      </c>
      <c r="AQ322">
        <f>'Urella Brook'!AO20</f>
        <v>27</v>
      </c>
      <c r="AR322">
        <f>'Urella Brook'!AP20</f>
        <v>10605</v>
      </c>
      <c r="AS322">
        <f>'Urella Brook'!AQ20</f>
        <v>0.5</v>
      </c>
      <c r="AT322">
        <f>'Urella Brook'!AR20</f>
        <v>1748</v>
      </c>
      <c r="AU322">
        <f>'Urella Brook'!AS20</f>
        <v>311</v>
      </c>
      <c r="AV322">
        <f>'Urella Brook'!AT20</f>
        <v>199</v>
      </c>
      <c r="AW322">
        <f>'Urella Brook'!AU20</f>
        <v>65879</v>
      </c>
      <c r="AX322">
        <f>'Urella Brook'!AV20</f>
        <v>3.2</v>
      </c>
    </row>
    <row r="323" spans="1:50">
      <c r="A323" t="str">
        <f>'Urella Brook'!A21</f>
        <v>/Users/christophermarjo/Documents/Python/Projects/data/bushfire Raman/Urella Brook/UB 5 (3)</v>
      </c>
      <c r="B323" t="str">
        <f t="shared" si="5"/>
        <v>Urella Brook</v>
      </c>
      <c r="C323">
        <v>5</v>
      </c>
      <c r="D323" t="str">
        <f>'Urella Brook'!B21</f>
        <v>16.85 counts</v>
      </c>
      <c r="E323">
        <f>'Urella Brook'!C21</f>
        <v>0.98804999999999998</v>
      </c>
      <c r="F323">
        <f>'Urella Brook'!D21</f>
        <v>1369</v>
      </c>
      <c r="G323">
        <f>'Urella Brook'!E21</f>
        <v>10965</v>
      </c>
      <c r="H323">
        <f>'Urella Brook'!F21</f>
        <v>328</v>
      </c>
      <c r="I323">
        <f>'Urella Brook'!G21</f>
        <v>3828377</v>
      </c>
      <c r="J323">
        <f>'Urella Brook'!H21</f>
        <v>75.400000000000006</v>
      </c>
      <c r="K323">
        <f>'Urella Brook'!I21</f>
        <v>1588</v>
      </c>
      <c r="L323">
        <f>'Urella Brook'!J21</f>
        <v>9923</v>
      </c>
      <c r="M323">
        <f>'Urella Brook'!K21</f>
        <v>100</v>
      </c>
      <c r="N323">
        <f>'Urella Brook'!L21</f>
        <v>1056271</v>
      </c>
      <c r="O323">
        <f>'Urella Brook'!M21</f>
        <v>20.8</v>
      </c>
      <c r="P323">
        <f>'Urella Brook'!N21</f>
        <v>1069</v>
      </c>
      <c r="Q323">
        <f>'Urella Brook'!O21</f>
        <v>403</v>
      </c>
      <c r="R323">
        <f>'Urella Brook'!P21</f>
        <v>61</v>
      </c>
      <c r="S323">
        <f>'Urella Brook'!Q21</f>
        <v>26168</v>
      </c>
      <c r="T323">
        <f>'Urella Brook'!R21</f>
        <v>0.5</v>
      </c>
      <c r="U323">
        <f>'Urella Brook'!S21</f>
        <v>1158</v>
      </c>
      <c r="V323">
        <f>'Urella Brook'!T21</f>
        <v>1</v>
      </c>
      <c r="W323">
        <f>'Urella Brook'!U21</f>
        <v>1</v>
      </c>
      <c r="X323">
        <f>'Urella Brook'!V21</f>
        <v>1</v>
      </c>
      <c r="Y323">
        <f>'Urella Brook'!W21</f>
        <v>0</v>
      </c>
      <c r="Z323">
        <f>'Urella Brook'!X21</f>
        <v>1292</v>
      </c>
      <c r="AA323">
        <f>'Urella Brook'!Y21</f>
        <v>81</v>
      </c>
      <c r="AB323">
        <f>'Urella Brook'!Z21</f>
        <v>1</v>
      </c>
      <c r="AC323">
        <f>'Urella Brook'!AA21</f>
        <v>86</v>
      </c>
      <c r="AD323">
        <f>'Urella Brook'!AB21</f>
        <v>0</v>
      </c>
      <c r="AE323">
        <f>'Urella Brook'!AC21</f>
        <v>1400</v>
      </c>
      <c r="AF323">
        <f>'Urella Brook'!AD21</f>
        <v>1</v>
      </c>
      <c r="AG323">
        <f>'Urella Brook'!AE21</f>
        <v>1</v>
      </c>
      <c r="AH323">
        <f>'Urella Brook'!AF21</f>
        <v>1</v>
      </c>
      <c r="AI323">
        <f>'Urella Brook'!AG21</f>
        <v>0</v>
      </c>
      <c r="AJ323">
        <f>'Urella Brook'!AH21</f>
        <v>1500</v>
      </c>
      <c r="AK323">
        <f>'Urella Brook'!AI21</f>
        <v>403</v>
      </c>
      <c r="AL323">
        <f>'Urella Brook'!AJ21</f>
        <v>23</v>
      </c>
      <c r="AM323">
        <f>'Urella Brook'!AK21</f>
        <v>9867</v>
      </c>
      <c r="AN323">
        <f>'Urella Brook'!AL21</f>
        <v>0.2</v>
      </c>
      <c r="AO323">
        <f>'Urella Brook'!AM21</f>
        <v>1598</v>
      </c>
      <c r="AP323">
        <f>'Urella Brook'!AN21</f>
        <v>1483</v>
      </c>
      <c r="AQ323">
        <f>'Urella Brook'!AO21</f>
        <v>27</v>
      </c>
      <c r="AR323">
        <f>'Urella Brook'!AP21</f>
        <v>42622</v>
      </c>
      <c r="AS323">
        <f>'Urella Brook'!AQ21</f>
        <v>0.8</v>
      </c>
      <c r="AT323">
        <f>'Urella Brook'!AR21</f>
        <v>1726</v>
      </c>
      <c r="AU323">
        <f>'Urella Brook'!AS21</f>
        <v>759</v>
      </c>
      <c r="AV323">
        <f>'Urella Brook'!AT21</f>
        <v>145</v>
      </c>
      <c r="AW323">
        <f>'Urella Brook'!AU21</f>
        <v>117150</v>
      </c>
      <c r="AX323">
        <f>'Urella Brook'!AV21</f>
        <v>2.2999999999999998</v>
      </c>
    </row>
    <row r="324" spans="1:50">
      <c r="A324" t="str">
        <f>'Urella Brook'!A22</f>
        <v>/Users/christophermarjo/Documents/Python/Projects/data/bushfire Raman/Urella Brook/UB 5.5 (1)</v>
      </c>
      <c r="B324" t="str">
        <f t="shared" si="5"/>
        <v>Urella Brook</v>
      </c>
      <c r="C324">
        <v>5.5</v>
      </c>
      <c r="D324" t="str">
        <f>'Urella Brook'!B22</f>
        <v>23.05 counts</v>
      </c>
      <c r="E324">
        <f>'Urella Brook'!C22</f>
        <v>0.98902100000000004</v>
      </c>
      <c r="F324">
        <f>'Urella Brook'!D22</f>
        <v>1369</v>
      </c>
      <c r="G324">
        <f>'Urella Brook'!E22</f>
        <v>13399</v>
      </c>
      <c r="H324">
        <f>'Urella Brook'!F22</f>
        <v>322</v>
      </c>
      <c r="I324">
        <f>'Urella Brook'!G22</f>
        <v>4592620</v>
      </c>
      <c r="J324">
        <f>'Urella Brook'!H22</f>
        <v>65.400000000000006</v>
      </c>
      <c r="K324">
        <f>'Urella Brook'!I22</f>
        <v>1586</v>
      </c>
      <c r="L324">
        <f>'Urella Brook'!J22</f>
        <v>17629</v>
      </c>
      <c r="M324">
        <f>'Urella Brook'!K22</f>
        <v>114</v>
      </c>
      <c r="N324">
        <f>'Urella Brook'!L22</f>
        <v>2139266</v>
      </c>
      <c r="O324">
        <f>'Urella Brook'!M22</f>
        <v>30.5</v>
      </c>
      <c r="P324">
        <f>'Urella Brook'!N22</f>
        <v>1025</v>
      </c>
      <c r="Q324">
        <f>'Urella Brook'!O22</f>
        <v>631</v>
      </c>
      <c r="R324">
        <f>'Urella Brook'!P22</f>
        <v>45</v>
      </c>
      <c r="S324">
        <f>'Urella Brook'!Q22</f>
        <v>30226</v>
      </c>
      <c r="T324">
        <f>'Urella Brook'!R22</f>
        <v>0.4</v>
      </c>
      <c r="U324">
        <f>'Urella Brook'!S22</f>
        <v>1158</v>
      </c>
      <c r="V324">
        <f>'Urella Brook'!T22</f>
        <v>1</v>
      </c>
      <c r="W324">
        <f>'Urella Brook'!U22</f>
        <v>1</v>
      </c>
      <c r="X324">
        <f>'Urella Brook'!V22</f>
        <v>1</v>
      </c>
      <c r="Y324">
        <f>'Urella Brook'!W22</f>
        <v>0</v>
      </c>
      <c r="Z324">
        <f>'Urella Brook'!X22</f>
        <v>1260</v>
      </c>
      <c r="AA324">
        <f>'Urella Brook'!Y22</f>
        <v>1</v>
      </c>
      <c r="AB324">
        <f>'Urella Brook'!Z22</f>
        <v>1</v>
      </c>
      <c r="AC324">
        <f>'Urella Brook'!AA22</f>
        <v>1</v>
      </c>
      <c r="AD324">
        <f>'Urella Brook'!AB22</f>
        <v>0</v>
      </c>
      <c r="AE324">
        <f>'Urella Brook'!AC22</f>
        <v>1434</v>
      </c>
      <c r="AF324">
        <f>'Urella Brook'!AD22</f>
        <v>729</v>
      </c>
      <c r="AG324">
        <f>'Urella Brook'!AE22</f>
        <v>79</v>
      </c>
      <c r="AH324">
        <f>'Urella Brook'!AF22</f>
        <v>61304</v>
      </c>
      <c r="AI324">
        <f>'Urella Brook'!AG22</f>
        <v>0.9</v>
      </c>
      <c r="AJ324">
        <f>'Urella Brook'!AH22</f>
        <v>1492</v>
      </c>
      <c r="AK324">
        <f>'Urella Brook'!AI22</f>
        <v>793</v>
      </c>
      <c r="AL324">
        <f>'Urella Brook'!AJ22</f>
        <v>43</v>
      </c>
      <c r="AM324">
        <f>'Urella Brook'!AK22</f>
        <v>36297</v>
      </c>
      <c r="AN324">
        <f>'Urella Brook'!AL22</f>
        <v>0.5</v>
      </c>
      <c r="AO324">
        <f>'Urella Brook'!AM22</f>
        <v>1598</v>
      </c>
      <c r="AP324">
        <f>'Urella Brook'!AN22</f>
        <v>911</v>
      </c>
      <c r="AQ324">
        <f>'Urella Brook'!AO22</f>
        <v>21</v>
      </c>
      <c r="AR324">
        <f>'Urella Brook'!AP22</f>
        <v>20364</v>
      </c>
      <c r="AS324">
        <f>'Urella Brook'!AQ22</f>
        <v>0.3</v>
      </c>
      <c r="AT324">
        <f>'Urella Brook'!AR22</f>
        <v>1744</v>
      </c>
      <c r="AU324">
        <f>'Urella Brook'!AS22</f>
        <v>1251</v>
      </c>
      <c r="AV324">
        <f>'Urella Brook'!AT22</f>
        <v>107</v>
      </c>
      <c r="AW324">
        <f>'Urella Brook'!AU22</f>
        <v>142486</v>
      </c>
      <c r="AX324">
        <f>'Urella Brook'!AV22</f>
        <v>2</v>
      </c>
    </row>
    <row r="325" spans="1:50">
      <c r="A325" t="str">
        <f>'Urella Brook'!A23</f>
        <v>/Users/christophermarjo/Documents/Python/Projects/data/bushfire Raman/Urella Brook/UB 5.5 (2)</v>
      </c>
      <c r="B325" t="str">
        <f t="shared" si="5"/>
        <v>Urella Brook</v>
      </c>
      <c r="C325">
        <v>5.5</v>
      </c>
      <c r="D325" t="str">
        <f>'Urella Brook'!B23</f>
        <v>18.80 counts</v>
      </c>
      <c r="E325">
        <f>'Urella Brook'!C23</f>
        <v>0.98470400000000002</v>
      </c>
      <c r="F325">
        <f>'Urella Brook'!D23</f>
        <v>1369</v>
      </c>
      <c r="G325">
        <f>'Urella Brook'!E23</f>
        <v>8985</v>
      </c>
      <c r="H325">
        <f>'Urella Brook'!F23</f>
        <v>260</v>
      </c>
      <c r="I325">
        <f>'Urella Brook'!G23</f>
        <v>2486701</v>
      </c>
      <c r="J325">
        <f>'Urella Brook'!H23</f>
        <v>56.9</v>
      </c>
      <c r="K325">
        <f>'Urella Brook'!I23</f>
        <v>1590</v>
      </c>
      <c r="L325">
        <f>'Urella Brook'!J23</f>
        <v>13677</v>
      </c>
      <c r="M325">
        <f>'Urella Brook'!K23</f>
        <v>112</v>
      </c>
      <c r="N325">
        <f>'Urella Brook'!L23</f>
        <v>1630576</v>
      </c>
      <c r="O325">
        <f>'Urella Brook'!M23</f>
        <v>37.299999999999997</v>
      </c>
      <c r="P325">
        <f>'Urella Brook'!N23</f>
        <v>1025</v>
      </c>
      <c r="Q325">
        <f>'Urella Brook'!O23</f>
        <v>277</v>
      </c>
      <c r="R325">
        <f>'Urella Brook'!P23</f>
        <v>9</v>
      </c>
      <c r="S325">
        <f>'Urella Brook'!Q23</f>
        <v>2654</v>
      </c>
      <c r="T325">
        <f>'Urella Brook'!R23</f>
        <v>0.1</v>
      </c>
      <c r="U325">
        <f>'Urella Brook'!S23</f>
        <v>1174</v>
      </c>
      <c r="V325">
        <f>'Urella Brook'!T23</f>
        <v>359</v>
      </c>
      <c r="W325">
        <f>'Urella Brook'!U23</f>
        <v>13</v>
      </c>
      <c r="X325">
        <f>'Urella Brook'!V23</f>
        <v>4968</v>
      </c>
      <c r="Y325">
        <f>'Urella Brook'!W23</f>
        <v>0.1</v>
      </c>
      <c r="Z325">
        <f>'Urella Brook'!X23</f>
        <v>1260</v>
      </c>
      <c r="AA325">
        <f>'Urella Brook'!Y23</f>
        <v>1</v>
      </c>
      <c r="AB325">
        <f>'Urella Brook'!Z23</f>
        <v>1</v>
      </c>
      <c r="AC325">
        <f>'Urella Brook'!AA23</f>
        <v>1</v>
      </c>
      <c r="AD325">
        <f>'Urella Brook'!AB23</f>
        <v>0</v>
      </c>
      <c r="AE325">
        <f>'Urella Brook'!AC23</f>
        <v>1434</v>
      </c>
      <c r="AF325">
        <f>'Urella Brook'!AD23</f>
        <v>581</v>
      </c>
      <c r="AG325">
        <f>'Urella Brook'!AE23</f>
        <v>71</v>
      </c>
      <c r="AH325">
        <f>'Urella Brook'!AF23</f>
        <v>43910</v>
      </c>
      <c r="AI325">
        <f>'Urella Brook'!AG23</f>
        <v>1</v>
      </c>
      <c r="AJ325">
        <f>'Urella Brook'!AH23</f>
        <v>1494</v>
      </c>
      <c r="AK325">
        <f>'Urella Brook'!AI23</f>
        <v>1523</v>
      </c>
      <c r="AL325">
        <f>'Urella Brook'!AJ23</f>
        <v>53</v>
      </c>
      <c r="AM325">
        <f>'Urella Brook'!AK23</f>
        <v>85923</v>
      </c>
      <c r="AN325">
        <f>'Urella Brook'!AL23</f>
        <v>2</v>
      </c>
      <c r="AO325">
        <f>'Urella Brook'!AM23</f>
        <v>1592</v>
      </c>
      <c r="AP325">
        <f>'Urella Brook'!AN23</f>
        <v>627</v>
      </c>
      <c r="AQ325">
        <f>'Urella Brook'!AO23</f>
        <v>15</v>
      </c>
      <c r="AR325">
        <f>'Urella Brook'!AP23</f>
        <v>10011</v>
      </c>
      <c r="AS325">
        <f>'Urella Brook'!AQ23</f>
        <v>0.2</v>
      </c>
      <c r="AT325">
        <f>'Urella Brook'!AR23</f>
        <v>1734</v>
      </c>
      <c r="AU325">
        <f>'Urella Brook'!AS23</f>
        <v>1265</v>
      </c>
      <c r="AV325">
        <f>'Urella Brook'!AT23</f>
        <v>77</v>
      </c>
      <c r="AW325">
        <f>'Urella Brook'!AU23</f>
        <v>103684</v>
      </c>
      <c r="AX325">
        <f>'Urella Brook'!AV23</f>
        <v>2.4</v>
      </c>
    </row>
    <row r="326" spans="1:50">
      <c r="A326" t="str">
        <f>'Urella Brook'!A24</f>
        <v>/Users/christophermarjo/Documents/Python/Projects/data/bushfire Raman/Urella Brook/UB 5.5 (3)</v>
      </c>
      <c r="B326" t="str">
        <f t="shared" si="5"/>
        <v>Urella Brook</v>
      </c>
      <c r="C326">
        <v>5.5</v>
      </c>
      <c r="D326" t="str">
        <f>'Urella Brook'!B24</f>
        <v>10.03 counts</v>
      </c>
      <c r="E326">
        <f>'Urella Brook'!C24</f>
        <v>0.99088299999999996</v>
      </c>
      <c r="F326">
        <f>'Urella Brook'!D24</f>
        <v>1369</v>
      </c>
      <c r="G326">
        <f>'Urella Brook'!E24</f>
        <v>7341</v>
      </c>
      <c r="H326">
        <f>'Urella Brook'!F24</f>
        <v>330</v>
      </c>
      <c r="I326">
        <f>'Urella Brook'!G24</f>
        <v>2578703</v>
      </c>
      <c r="J326">
        <f>'Urella Brook'!H24</f>
        <v>72.400000000000006</v>
      </c>
      <c r="K326">
        <f>'Urella Brook'!I24</f>
        <v>1588</v>
      </c>
      <c r="L326">
        <f>'Urella Brook'!J24</f>
        <v>7315</v>
      </c>
      <c r="M326">
        <f>'Urella Brook'!K24</f>
        <v>106</v>
      </c>
      <c r="N326">
        <f>'Urella Brook'!L24</f>
        <v>825377</v>
      </c>
      <c r="O326">
        <f>'Urella Brook'!M24</f>
        <v>23.2</v>
      </c>
      <c r="P326">
        <f>'Urella Brook'!N24</f>
        <v>1069</v>
      </c>
      <c r="Q326">
        <f>'Urella Brook'!O24</f>
        <v>253</v>
      </c>
      <c r="R326">
        <f>'Urella Brook'!P24</f>
        <v>31</v>
      </c>
      <c r="S326">
        <f>'Urella Brook'!Q24</f>
        <v>8349</v>
      </c>
      <c r="T326">
        <f>'Urella Brook'!R24</f>
        <v>0.2</v>
      </c>
      <c r="U326">
        <f>'Urella Brook'!S24</f>
        <v>1158</v>
      </c>
      <c r="V326">
        <f>'Urella Brook'!T24</f>
        <v>1</v>
      </c>
      <c r="W326">
        <f>'Urella Brook'!U24</f>
        <v>1</v>
      </c>
      <c r="X326">
        <f>'Urella Brook'!V24</f>
        <v>1</v>
      </c>
      <c r="Y326">
        <f>'Urella Brook'!W24</f>
        <v>0</v>
      </c>
      <c r="Z326">
        <f>'Urella Brook'!X24</f>
        <v>1260</v>
      </c>
      <c r="AA326">
        <f>'Urella Brook'!Y24</f>
        <v>1</v>
      </c>
      <c r="AB326">
        <f>'Urella Brook'!Z24</f>
        <v>1</v>
      </c>
      <c r="AC326">
        <f>'Urella Brook'!AA24</f>
        <v>1</v>
      </c>
      <c r="AD326">
        <f>'Urella Brook'!AB24</f>
        <v>0</v>
      </c>
      <c r="AE326">
        <f>'Urella Brook'!AC24</f>
        <v>1418</v>
      </c>
      <c r="AF326">
        <f>'Urella Brook'!AD24</f>
        <v>7</v>
      </c>
      <c r="AG326">
        <f>'Urella Brook'!AE24</f>
        <v>157</v>
      </c>
      <c r="AH326">
        <f>'Urella Brook'!AF24</f>
        <v>1170</v>
      </c>
      <c r="AI326">
        <f>'Urella Brook'!AG24</f>
        <v>0</v>
      </c>
      <c r="AJ326">
        <f>'Urella Brook'!AH24</f>
        <v>1498</v>
      </c>
      <c r="AK326">
        <f>'Urella Brook'!AI24</f>
        <v>455</v>
      </c>
      <c r="AL326">
        <f>'Urella Brook'!AJ24</f>
        <v>45</v>
      </c>
      <c r="AM326">
        <f>'Urella Brook'!AK24</f>
        <v>21795</v>
      </c>
      <c r="AN326">
        <f>'Urella Brook'!AL24</f>
        <v>0.6</v>
      </c>
      <c r="AO326">
        <f>'Urella Brook'!AM24</f>
        <v>1596</v>
      </c>
      <c r="AP326">
        <f>'Urella Brook'!AN24</f>
        <v>29</v>
      </c>
      <c r="AQ326">
        <f>'Urella Brook'!AO24</f>
        <v>21</v>
      </c>
      <c r="AR326">
        <f>'Urella Brook'!AP24</f>
        <v>648</v>
      </c>
      <c r="AS326">
        <f>'Urella Brook'!AQ24</f>
        <v>0</v>
      </c>
      <c r="AT326">
        <f>'Urella Brook'!AR24</f>
        <v>1748</v>
      </c>
      <c r="AU326">
        <f>'Urella Brook'!AS24</f>
        <v>649</v>
      </c>
      <c r="AV326">
        <f>'Urella Brook'!AT24</f>
        <v>185</v>
      </c>
      <c r="AW326">
        <f>'Urella Brook'!AU24</f>
        <v>127805</v>
      </c>
      <c r="AX326">
        <f>'Urella Brook'!AV24</f>
        <v>3.6</v>
      </c>
    </row>
    <row r="327" spans="1:50">
      <c r="A327" t="str">
        <f>'Urella Brook'!A25</f>
        <v>/Users/christophermarjo/Documents/Python/Projects/data/bushfire Raman/Urella Brook/UB 6 (1)</v>
      </c>
      <c r="B327" t="str">
        <f t="shared" si="5"/>
        <v>Urella Brook</v>
      </c>
      <c r="C327">
        <v>6</v>
      </c>
      <c r="D327" t="str">
        <f>'Urella Brook'!B25</f>
        <v>11.21 counts</v>
      </c>
      <c r="E327">
        <f>'Urella Brook'!C25</f>
        <v>0.99221300000000001</v>
      </c>
      <c r="F327">
        <f>'Urella Brook'!D25</f>
        <v>1369</v>
      </c>
      <c r="G327">
        <f>'Urella Brook'!E25</f>
        <v>8467</v>
      </c>
      <c r="H327">
        <f>'Urella Brook'!F25</f>
        <v>326</v>
      </c>
      <c r="I327">
        <f>'Urella Brook'!G25</f>
        <v>2938187</v>
      </c>
      <c r="J327">
        <f>'Urella Brook'!H25</f>
        <v>72.099999999999994</v>
      </c>
      <c r="K327">
        <f>'Urella Brook'!I25</f>
        <v>1590</v>
      </c>
      <c r="L327">
        <f>'Urella Brook'!J25</f>
        <v>9057</v>
      </c>
      <c r="M327">
        <f>'Urella Brook'!K25</f>
        <v>100</v>
      </c>
      <c r="N327">
        <f>'Urella Brook'!L25</f>
        <v>964088</v>
      </c>
      <c r="O327">
        <f>'Urella Brook'!M25</f>
        <v>23.7</v>
      </c>
      <c r="P327">
        <f>'Urella Brook'!N25</f>
        <v>1055</v>
      </c>
      <c r="Q327">
        <f>'Urella Brook'!O25</f>
        <v>297</v>
      </c>
      <c r="R327">
        <f>'Urella Brook'!P25</f>
        <v>71</v>
      </c>
      <c r="S327">
        <f>'Urella Brook'!Q25</f>
        <v>22446</v>
      </c>
      <c r="T327">
        <f>'Urella Brook'!R25</f>
        <v>0.6</v>
      </c>
      <c r="U327">
        <f>'Urella Brook'!S25</f>
        <v>1158</v>
      </c>
      <c r="V327">
        <f>'Urella Brook'!T25</f>
        <v>1</v>
      </c>
      <c r="W327">
        <f>'Urella Brook'!U25</f>
        <v>1</v>
      </c>
      <c r="X327">
        <f>'Urella Brook'!V25</f>
        <v>1</v>
      </c>
      <c r="Y327">
        <f>'Urella Brook'!W25</f>
        <v>0</v>
      </c>
      <c r="Z327">
        <f>'Urella Brook'!X25</f>
        <v>1260</v>
      </c>
      <c r="AA327">
        <f>'Urella Brook'!Y25</f>
        <v>1</v>
      </c>
      <c r="AB327">
        <f>'Urella Brook'!Z25</f>
        <v>1</v>
      </c>
      <c r="AC327">
        <f>'Urella Brook'!AA25</f>
        <v>1</v>
      </c>
      <c r="AD327">
        <f>'Urella Brook'!AB25</f>
        <v>0</v>
      </c>
      <c r="AE327">
        <f>'Urella Brook'!AC25</f>
        <v>1400</v>
      </c>
      <c r="AF327">
        <f>'Urella Brook'!AD25</f>
        <v>1</v>
      </c>
      <c r="AG327">
        <f>'Urella Brook'!AE25</f>
        <v>1</v>
      </c>
      <c r="AH327">
        <f>'Urella Brook'!AF25</f>
        <v>1</v>
      </c>
      <c r="AI327">
        <f>'Urella Brook'!AG25</f>
        <v>0</v>
      </c>
      <c r="AJ327">
        <f>'Urella Brook'!AH25</f>
        <v>1500</v>
      </c>
      <c r="AK327">
        <f>'Urella Brook'!AI25</f>
        <v>275</v>
      </c>
      <c r="AL327">
        <f>'Urella Brook'!AJ25</f>
        <v>19</v>
      </c>
      <c r="AM327">
        <f>'Urella Brook'!AK25</f>
        <v>5562</v>
      </c>
      <c r="AN327">
        <f>'Urella Brook'!AL25</f>
        <v>0.1</v>
      </c>
      <c r="AO327">
        <f>'Urella Brook'!AM25</f>
        <v>1594</v>
      </c>
      <c r="AP327">
        <f>'Urella Brook'!AN25</f>
        <v>1711</v>
      </c>
      <c r="AQ327">
        <f>'Urella Brook'!AO25</f>
        <v>31</v>
      </c>
      <c r="AR327">
        <f>'Urella Brook'!AP25</f>
        <v>56460</v>
      </c>
      <c r="AS327">
        <f>'Urella Brook'!AQ25</f>
        <v>1.4</v>
      </c>
      <c r="AT327">
        <f>'Urella Brook'!AR25</f>
        <v>1730</v>
      </c>
      <c r="AU327">
        <f>'Urella Brook'!AS25</f>
        <v>725</v>
      </c>
      <c r="AV327">
        <f>'Urella Brook'!AT25</f>
        <v>113</v>
      </c>
      <c r="AW327">
        <f>'Urella Brook'!AU25</f>
        <v>87206</v>
      </c>
      <c r="AX327">
        <f>'Urella Brook'!AV25</f>
        <v>2.1</v>
      </c>
    </row>
    <row r="328" spans="1:50">
      <c r="A328" t="str">
        <f>'Urella Brook'!A26</f>
        <v>/Users/christophermarjo/Documents/Python/Projects/data/bushfire Raman/Urella Brook/UB 6 (2)</v>
      </c>
      <c r="B328" t="str">
        <f t="shared" si="5"/>
        <v>Urella Brook</v>
      </c>
      <c r="C328">
        <v>6</v>
      </c>
      <c r="D328" t="str">
        <f>'Urella Brook'!B26</f>
        <v>14.56 counts</v>
      </c>
      <c r="E328">
        <f>'Urella Brook'!C26</f>
        <v>0.98816800000000005</v>
      </c>
      <c r="F328">
        <f>'Urella Brook'!D26</f>
        <v>1369</v>
      </c>
      <c r="G328">
        <f>'Urella Brook'!E26</f>
        <v>8619</v>
      </c>
      <c r="H328">
        <f>'Urella Brook'!F26</f>
        <v>302</v>
      </c>
      <c r="I328">
        <f>'Urella Brook'!G26</f>
        <v>2770742</v>
      </c>
      <c r="J328">
        <f>'Urella Brook'!H26</f>
        <v>64.900000000000006</v>
      </c>
      <c r="K328">
        <f>'Urella Brook'!I26</f>
        <v>1590</v>
      </c>
      <c r="L328">
        <f>'Urella Brook'!J26</f>
        <v>11577</v>
      </c>
      <c r="M328">
        <f>'Urella Brook'!K26</f>
        <v>104</v>
      </c>
      <c r="N328">
        <f>'Urella Brook'!L26</f>
        <v>1281627</v>
      </c>
      <c r="O328">
        <f>'Urella Brook'!M26</f>
        <v>30</v>
      </c>
      <c r="P328">
        <f>'Urella Brook'!N26</f>
        <v>1025</v>
      </c>
      <c r="Q328">
        <f>'Urella Brook'!O26</f>
        <v>263</v>
      </c>
      <c r="R328">
        <f>'Urella Brook'!P26</f>
        <v>49</v>
      </c>
      <c r="S328">
        <f>'Urella Brook'!Q26</f>
        <v>13718</v>
      </c>
      <c r="T328">
        <f>'Urella Brook'!R26</f>
        <v>0.3</v>
      </c>
      <c r="U328">
        <f>'Urella Brook'!S26</f>
        <v>1160</v>
      </c>
      <c r="V328">
        <f>'Urella Brook'!T26</f>
        <v>29</v>
      </c>
      <c r="W328">
        <f>'Urella Brook'!U26</f>
        <v>1</v>
      </c>
      <c r="X328">
        <f>'Urella Brook'!V26</f>
        <v>31</v>
      </c>
      <c r="Y328">
        <f>'Urella Brook'!W26</f>
        <v>0</v>
      </c>
      <c r="Z328">
        <f>'Urella Brook'!X26</f>
        <v>1260</v>
      </c>
      <c r="AA328">
        <f>'Urella Brook'!Y26</f>
        <v>1</v>
      </c>
      <c r="AB328">
        <f>'Urella Brook'!Z26</f>
        <v>1</v>
      </c>
      <c r="AC328">
        <f>'Urella Brook'!AA26</f>
        <v>1</v>
      </c>
      <c r="AD328">
        <f>'Urella Brook'!AB26</f>
        <v>0</v>
      </c>
      <c r="AE328">
        <f>'Urella Brook'!AC26</f>
        <v>1456</v>
      </c>
      <c r="AF328">
        <f>'Urella Brook'!AD26</f>
        <v>267</v>
      </c>
      <c r="AG328">
        <f>'Urella Brook'!AE26</f>
        <v>107</v>
      </c>
      <c r="AH328">
        <f>'Urella Brook'!AF26</f>
        <v>30411</v>
      </c>
      <c r="AI328">
        <f>'Urella Brook'!AG26</f>
        <v>0.7</v>
      </c>
      <c r="AJ328">
        <f>'Urella Brook'!AH26</f>
        <v>1498</v>
      </c>
      <c r="AK328">
        <f>'Urella Brook'!AI26</f>
        <v>317</v>
      </c>
      <c r="AL328">
        <f>'Urella Brook'!AJ26</f>
        <v>43</v>
      </c>
      <c r="AM328">
        <f>'Urella Brook'!AK26</f>
        <v>14510</v>
      </c>
      <c r="AN328">
        <f>'Urella Brook'!AL26</f>
        <v>0.3</v>
      </c>
      <c r="AO328">
        <f>'Urella Brook'!AM26</f>
        <v>1592</v>
      </c>
      <c r="AP328">
        <f>'Urella Brook'!AN26</f>
        <v>377</v>
      </c>
      <c r="AQ328">
        <f>'Urella Brook'!AO26</f>
        <v>3</v>
      </c>
      <c r="AR328">
        <f>'Urella Brook'!AP26</f>
        <v>1204</v>
      </c>
      <c r="AS328">
        <f>'Urella Brook'!AQ26</f>
        <v>0</v>
      </c>
      <c r="AT328">
        <f>'Urella Brook'!AR26</f>
        <v>1732</v>
      </c>
      <c r="AU328">
        <f>'Urella Brook'!AS26</f>
        <v>1139</v>
      </c>
      <c r="AV328">
        <f>'Urella Brook'!AT26</f>
        <v>129</v>
      </c>
      <c r="AW328">
        <f>'Urella Brook'!AU26</f>
        <v>156403</v>
      </c>
      <c r="AX328">
        <f>'Urella Brook'!AV26</f>
        <v>3.7</v>
      </c>
    </row>
    <row r="329" spans="1:50">
      <c r="A329" t="str">
        <f>'Urella Brook'!A27</f>
        <v>/Users/christophermarjo/Documents/Python/Projects/data/bushfire Raman/Urella Brook/UB 6 (3)</v>
      </c>
      <c r="B329" t="str">
        <f t="shared" si="5"/>
        <v>Urella Brook</v>
      </c>
      <c r="C329">
        <v>6</v>
      </c>
      <c r="D329" t="str">
        <f>'Urella Brook'!B27</f>
        <v>16.07 counts</v>
      </c>
      <c r="E329">
        <f>'Urella Brook'!C27</f>
        <v>0.99150700000000003</v>
      </c>
      <c r="F329">
        <f>'Urella Brook'!D27</f>
        <v>1369</v>
      </c>
      <c r="G329">
        <f>'Urella Brook'!E27</f>
        <v>11851</v>
      </c>
      <c r="H329">
        <f>'Urella Brook'!F27</f>
        <v>328</v>
      </c>
      <c r="I329">
        <f>'Urella Brook'!G27</f>
        <v>4137720</v>
      </c>
      <c r="J329">
        <f>'Urella Brook'!H27</f>
        <v>72.099999999999994</v>
      </c>
      <c r="K329">
        <f>'Urella Brook'!I27</f>
        <v>1590</v>
      </c>
      <c r="L329">
        <f>'Urella Brook'!J27</f>
        <v>12339</v>
      </c>
      <c r="M329">
        <f>'Urella Brook'!K27</f>
        <v>100</v>
      </c>
      <c r="N329">
        <f>'Urella Brook'!L27</f>
        <v>1313446</v>
      </c>
      <c r="O329">
        <f>'Urella Brook'!M27</f>
        <v>22.9</v>
      </c>
      <c r="P329">
        <f>'Urella Brook'!N27</f>
        <v>1041</v>
      </c>
      <c r="Q329">
        <f>'Urella Brook'!O27</f>
        <v>455</v>
      </c>
      <c r="R329">
        <f>'Urella Brook'!P27</f>
        <v>79</v>
      </c>
      <c r="S329">
        <f>'Urella Brook'!Q27</f>
        <v>38262</v>
      </c>
      <c r="T329">
        <f>'Urella Brook'!R27</f>
        <v>0.7</v>
      </c>
      <c r="U329">
        <f>'Urella Brook'!S27</f>
        <v>1158</v>
      </c>
      <c r="V329">
        <f>'Urella Brook'!T27</f>
        <v>1</v>
      </c>
      <c r="W329">
        <f>'Urella Brook'!U27</f>
        <v>1</v>
      </c>
      <c r="X329">
        <f>'Urella Brook'!V27</f>
        <v>1</v>
      </c>
      <c r="Y329">
        <f>'Urella Brook'!W27</f>
        <v>0</v>
      </c>
      <c r="Z329">
        <f>'Urella Brook'!X27</f>
        <v>1298</v>
      </c>
      <c r="AA329">
        <f>'Urella Brook'!Y27</f>
        <v>55</v>
      </c>
      <c r="AB329">
        <f>'Urella Brook'!Z27</f>
        <v>1</v>
      </c>
      <c r="AC329">
        <f>'Urella Brook'!AA27</f>
        <v>59</v>
      </c>
      <c r="AD329">
        <f>'Urella Brook'!AB27</f>
        <v>0</v>
      </c>
      <c r="AE329">
        <f>'Urella Brook'!AC27</f>
        <v>1400</v>
      </c>
      <c r="AF329">
        <f>'Urella Brook'!AD27</f>
        <v>1</v>
      </c>
      <c r="AG329">
        <f>'Urella Brook'!AE27</f>
        <v>1</v>
      </c>
      <c r="AH329">
        <f>'Urella Brook'!AF27</f>
        <v>1</v>
      </c>
      <c r="AI329">
        <f>'Urella Brook'!AG27</f>
        <v>0</v>
      </c>
      <c r="AJ329">
        <f>'Urella Brook'!AH27</f>
        <v>1494</v>
      </c>
      <c r="AK329">
        <f>'Urella Brook'!AI27</f>
        <v>155</v>
      </c>
      <c r="AL329">
        <f>'Urella Brook'!AJ27</f>
        <v>17</v>
      </c>
      <c r="AM329">
        <f>'Urella Brook'!AK27</f>
        <v>2805</v>
      </c>
      <c r="AN329">
        <f>'Urella Brook'!AL27</f>
        <v>0</v>
      </c>
      <c r="AO329">
        <f>'Urella Brook'!AM27</f>
        <v>1588</v>
      </c>
      <c r="AP329">
        <f>'Urella Brook'!AN27</f>
        <v>1797</v>
      </c>
      <c r="AQ329">
        <f>'Urella Brook'!AO27</f>
        <v>33</v>
      </c>
      <c r="AR329">
        <f>'Urella Brook'!AP27</f>
        <v>63124</v>
      </c>
      <c r="AS329">
        <f>'Urella Brook'!AQ27</f>
        <v>1.1000000000000001</v>
      </c>
      <c r="AT329">
        <f>'Urella Brook'!AR27</f>
        <v>1746</v>
      </c>
      <c r="AU329">
        <f>'Urella Brook'!AS27</f>
        <v>861</v>
      </c>
      <c r="AV329">
        <f>'Urella Brook'!AT27</f>
        <v>199</v>
      </c>
      <c r="AW329">
        <f>'Urella Brook'!AU27</f>
        <v>182385</v>
      </c>
      <c r="AX329">
        <f>'Urella Brook'!AV27</f>
        <v>3.2</v>
      </c>
    </row>
    <row r="330" spans="1:50">
      <c r="A330" t="str">
        <f>'Urella Brook'!A28</f>
        <v>/Users/christophermarjo/Documents/Python/Projects/data/bushfire Raman/Urella Brook/UB 6.5 (1)</v>
      </c>
      <c r="B330" t="str">
        <f t="shared" si="5"/>
        <v>Urella Brook</v>
      </c>
      <c r="C330">
        <v>6.5</v>
      </c>
      <c r="D330" t="str">
        <f>'Urella Brook'!B28</f>
        <v>5.26 counts</v>
      </c>
      <c r="E330">
        <f>'Urella Brook'!C28</f>
        <v>0.99087400000000003</v>
      </c>
      <c r="F330">
        <f>'Urella Brook'!D28</f>
        <v>1367</v>
      </c>
      <c r="G330">
        <f>'Urella Brook'!E28</f>
        <v>3581</v>
      </c>
      <c r="H330">
        <f>'Urella Brook'!F28</f>
        <v>280</v>
      </c>
      <c r="I330">
        <f>'Urella Brook'!G28</f>
        <v>1067320</v>
      </c>
      <c r="J330">
        <f>'Urella Brook'!H28</f>
        <v>63.1</v>
      </c>
      <c r="K330">
        <f>'Urella Brook'!I28</f>
        <v>1596</v>
      </c>
      <c r="L330">
        <f>'Urella Brook'!J28</f>
        <v>4751</v>
      </c>
      <c r="M330">
        <f>'Urella Brook'!K28</f>
        <v>100</v>
      </c>
      <c r="N330">
        <f>'Urella Brook'!L28</f>
        <v>505728</v>
      </c>
      <c r="O330">
        <f>'Urella Brook'!M28</f>
        <v>29.9</v>
      </c>
      <c r="P330">
        <f>'Urella Brook'!N28</f>
        <v>1073</v>
      </c>
      <c r="Q330">
        <f>'Urella Brook'!O28</f>
        <v>187</v>
      </c>
      <c r="R330">
        <f>'Urella Brook'!P28</f>
        <v>123</v>
      </c>
      <c r="S330">
        <f>'Urella Brook'!Q28</f>
        <v>24484</v>
      </c>
      <c r="T330">
        <f>'Urella Brook'!R28</f>
        <v>1.4</v>
      </c>
      <c r="U330">
        <f>'Urella Brook'!S28</f>
        <v>1174</v>
      </c>
      <c r="V330">
        <f>'Urella Brook'!T28</f>
        <v>47</v>
      </c>
      <c r="W330">
        <f>'Urella Brook'!U28</f>
        <v>51</v>
      </c>
      <c r="X330">
        <f>'Urella Brook'!V28</f>
        <v>2552</v>
      </c>
      <c r="Y330">
        <f>'Urella Brook'!W28</f>
        <v>0.2</v>
      </c>
      <c r="Z330">
        <f>'Urella Brook'!X28</f>
        <v>1260</v>
      </c>
      <c r="AA330">
        <f>'Urella Brook'!Y28</f>
        <v>1</v>
      </c>
      <c r="AB330">
        <f>'Urella Brook'!Z28</f>
        <v>1</v>
      </c>
      <c r="AC330">
        <f>'Urella Brook'!AA28</f>
        <v>1</v>
      </c>
      <c r="AD330">
        <f>'Urella Brook'!AB28</f>
        <v>0</v>
      </c>
      <c r="AE330">
        <f>'Urella Brook'!AC28</f>
        <v>1402</v>
      </c>
      <c r="AF330">
        <f>'Urella Brook'!AD28</f>
        <v>107</v>
      </c>
      <c r="AG330">
        <f>'Urella Brook'!AE28</f>
        <v>89</v>
      </c>
      <c r="AH330">
        <f>'Urella Brook'!AF28</f>
        <v>10137</v>
      </c>
      <c r="AI330">
        <f>'Urella Brook'!AG28</f>
        <v>0.6</v>
      </c>
      <c r="AJ330">
        <f>'Urella Brook'!AH28</f>
        <v>1494</v>
      </c>
      <c r="AK330">
        <f>'Urella Brook'!AI28</f>
        <v>95</v>
      </c>
      <c r="AL330">
        <f>'Urella Brook'!AJ28</f>
        <v>21</v>
      </c>
      <c r="AM330">
        <f>'Urella Brook'!AK28</f>
        <v>2124</v>
      </c>
      <c r="AN330">
        <f>'Urella Brook'!AL28</f>
        <v>0.1</v>
      </c>
      <c r="AO330">
        <f>'Urella Brook'!AM28</f>
        <v>1598</v>
      </c>
      <c r="AP330">
        <f>'Urella Brook'!AN28</f>
        <v>841</v>
      </c>
      <c r="AQ330">
        <f>'Urella Brook'!AO28</f>
        <v>31</v>
      </c>
      <c r="AR330">
        <f>'Urella Brook'!AP28</f>
        <v>27752</v>
      </c>
      <c r="AS330">
        <f>'Urella Brook'!AQ28</f>
        <v>1.6</v>
      </c>
      <c r="AT330">
        <f>'Urella Brook'!AR28</f>
        <v>1728</v>
      </c>
      <c r="AU330">
        <f>'Urella Brook'!AS28</f>
        <v>471</v>
      </c>
      <c r="AV330">
        <f>'Urella Brook'!AT28</f>
        <v>101</v>
      </c>
      <c r="AW330">
        <f>'Urella Brook'!AU28</f>
        <v>50638</v>
      </c>
      <c r="AX330">
        <f>'Urella Brook'!AV28</f>
        <v>3</v>
      </c>
    </row>
    <row r="331" spans="1:50">
      <c r="A331" t="str">
        <f>'Urella Brook'!A29</f>
        <v>/Users/christophermarjo/Documents/Python/Projects/data/bushfire Raman/Urella Brook/UB 6.5 (2)</v>
      </c>
      <c r="B331" t="str">
        <f t="shared" si="5"/>
        <v>Urella Brook</v>
      </c>
      <c r="C331">
        <v>6.5</v>
      </c>
      <c r="D331" t="str">
        <f>'Urella Brook'!B29</f>
        <v>29.06 counts</v>
      </c>
      <c r="E331">
        <f>'Urella Brook'!C29</f>
        <v>0.90254299999999998</v>
      </c>
      <c r="F331">
        <f>'Urella Brook'!D29</f>
        <v>1369</v>
      </c>
      <c r="G331">
        <f>'Urella Brook'!E29</f>
        <v>6331</v>
      </c>
      <c r="H331">
        <f>'Urella Brook'!F29</f>
        <v>340</v>
      </c>
      <c r="I331">
        <f>'Urella Brook'!G29</f>
        <v>2291308</v>
      </c>
      <c r="J331">
        <f>'Urella Brook'!H29</f>
        <v>75.5</v>
      </c>
      <c r="K331">
        <f>'Urella Brook'!I29</f>
        <v>1592</v>
      </c>
      <c r="L331">
        <f>'Urella Brook'!J29</f>
        <v>5643</v>
      </c>
      <c r="M331">
        <f>'Urella Brook'!K29</f>
        <v>100</v>
      </c>
      <c r="N331">
        <f>'Urella Brook'!L29</f>
        <v>600679</v>
      </c>
      <c r="O331">
        <f>'Urella Brook'!M29</f>
        <v>19.8</v>
      </c>
      <c r="P331">
        <f>'Urella Brook'!N29</f>
        <v>1041</v>
      </c>
      <c r="Q331">
        <f>'Urella Brook'!O29</f>
        <v>319</v>
      </c>
      <c r="R331">
        <f>'Urella Brook'!P29</f>
        <v>87</v>
      </c>
      <c r="S331">
        <f>'Urella Brook'!Q29</f>
        <v>29542</v>
      </c>
      <c r="T331">
        <f>'Urella Brook'!R29</f>
        <v>1</v>
      </c>
      <c r="U331">
        <f>'Urella Brook'!S29</f>
        <v>1158</v>
      </c>
      <c r="V331">
        <f>'Urella Brook'!T29</f>
        <v>1</v>
      </c>
      <c r="W331">
        <f>'Urella Brook'!U29</f>
        <v>1</v>
      </c>
      <c r="X331">
        <f>'Urella Brook'!V29</f>
        <v>1</v>
      </c>
      <c r="Y331">
        <f>'Urella Brook'!W29</f>
        <v>0</v>
      </c>
      <c r="Z331">
        <f>'Urella Brook'!X29</f>
        <v>1298</v>
      </c>
      <c r="AA331">
        <f>'Urella Brook'!Y29</f>
        <v>145</v>
      </c>
      <c r="AB331">
        <f>'Urella Brook'!Z29</f>
        <v>1</v>
      </c>
      <c r="AC331">
        <f>'Urella Brook'!AA29</f>
        <v>154</v>
      </c>
      <c r="AD331">
        <f>'Urella Brook'!AB29</f>
        <v>0</v>
      </c>
      <c r="AE331">
        <f>'Urella Brook'!AC29</f>
        <v>1400</v>
      </c>
      <c r="AF331">
        <f>'Urella Brook'!AD29</f>
        <v>1</v>
      </c>
      <c r="AG331">
        <f>'Urella Brook'!AE29</f>
        <v>1</v>
      </c>
      <c r="AH331">
        <f>'Urella Brook'!AF29</f>
        <v>1</v>
      </c>
      <c r="AI331">
        <f>'Urella Brook'!AG29</f>
        <v>0</v>
      </c>
      <c r="AJ331">
        <f>'Urella Brook'!AH29</f>
        <v>1494</v>
      </c>
      <c r="AK331">
        <f>'Urella Brook'!AI29</f>
        <v>53</v>
      </c>
      <c r="AL331">
        <f>'Urella Brook'!AJ29</f>
        <v>3</v>
      </c>
      <c r="AM331">
        <f>'Urella Brook'!AK29</f>
        <v>169</v>
      </c>
      <c r="AN331">
        <f>'Urella Brook'!AL29</f>
        <v>0</v>
      </c>
      <c r="AO331">
        <f>'Urella Brook'!AM29</f>
        <v>1598</v>
      </c>
      <c r="AP331">
        <f>'Urella Brook'!AN29</f>
        <v>1251</v>
      </c>
      <c r="AQ331">
        <f>'Urella Brook'!AO29</f>
        <v>27</v>
      </c>
      <c r="AR331">
        <f>'Urella Brook'!AP29</f>
        <v>35955</v>
      </c>
      <c r="AS331">
        <f>'Urella Brook'!AQ29</f>
        <v>1.2</v>
      </c>
      <c r="AT331">
        <f>'Urella Brook'!AR29</f>
        <v>1736</v>
      </c>
      <c r="AU331">
        <f>'Urella Brook'!AS29</f>
        <v>525</v>
      </c>
      <c r="AV331">
        <f>'Urella Brook'!AT29</f>
        <v>141</v>
      </c>
      <c r="AW331">
        <f>'Urella Brook'!AU29</f>
        <v>78797</v>
      </c>
      <c r="AX331">
        <f>'Urella Brook'!AV29</f>
        <v>2.6</v>
      </c>
    </row>
    <row r="332" spans="1:50">
      <c r="A332" t="str">
        <f>'Urella Brook'!A30</f>
        <v>/Users/christophermarjo/Documents/Python/Projects/data/bushfire Raman/Urella Brook/UB 6.5 (3)</v>
      </c>
      <c r="B332" t="str">
        <f t="shared" si="5"/>
        <v>Urella Brook</v>
      </c>
      <c r="C332">
        <v>6.5</v>
      </c>
      <c r="D332" t="str">
        <f>'Urella Brook'!B30</f>
        <v>5.47 counts</v>
      </c>
      <c r="E332">
        <f>'Urella Brook'!C30</f>
        <v>0.98951999999999996</v>
      </c>
      <c r="F332">
        <f>'Urella Brook'!D30</f>
        <v>1369</v>
      </c>
      <c r="G332">
        <f>'Urella Brook'!E30</f>
        <v>3557</v>
      </c>
      <c r="H332">
        <f>'Urella Brook'!F30</f>
        <v>308</v>
      </c>
      <c r="I332">
        <f>'Urella Brook'!G30</f>
        <v>1166183</v>
      </c>
      <c r="J332">
        <f>'Urella Brook'!H30</f>
        <v>68.099999999999994</v>
      </c>
      <c r="K332">
        <f>'Urella Brook'!I30</f>
        <v>1594</v>
      </c>
      <c r="L332">
        <f>'Urella Brook'!J30</f>
        <v>4263</v>
      </c>
      <c r="M332">
        <f>'Urella Brook'!K30</f>
        <v>100</v>
      </c>
      <c r="N332">
        <f>'Urella Brook'!L30</f>
        <v>453782</v>
      </c>
      <c r="O332">
        <f>'Urella Brook'!M30</f>
        <v>26.5</v>
      </c>
      <c r="P332">
        <f>'Urella Brook'!N30</f>
        <v>1049</v>
      </c>
      <c r="Q332">
        <f>'Urella Brook'!O30</f>
        <v>177</v>
      </c>
      <c r="R332">
        <f>'Urella Brook'!P30</f>
        <v>109</v>
      </c>
      <c r="S332">
        <f>'Urella Brook'!Q30</f>
        <v>20537</v>
      </c>
      <c r="T332">
        <f>'Urella Brook'!R30</f>
        <v>1.2</v>
      </c>
      <c r="U332">
        <f>'Urella Brook'!S30</f>
        <v>1152</v>
      </c>
      <c r="V332">
        <f>'Urella Brook'!T30</f>
        <v>9</v>
      </c>
      <c r="W332">
        <f>'Urella Brook'!U30</f>
        <v>5</v>
      </c>
      <c r="X332">
        <f>'Urella Brook'!V30</f>
        <v>48</v>
      </c>
      <c r="Y332">
        <f>'Urella Brook'!W30</f>
        <v>0</v>
      </c>
      <c r="Z332">
        <f>'Urella Brook'!X30</f>
        <v>1260</v>
      </c>
      <c r="AA332">
        <f>'Urella Brook'!Y30</f>
        <v>1</v>
      </c>
      <c r="AB332">
        <f>'Urella Brook'!Z30</f>
        <v>1</v>
      </c>
      <c r="AC332">
        <f>'Urella Brook'!AA30</f>
        <v>1</v>
      </c>
      <c r="AD332">
        <f>'Urella Brook'!AB30</f>
        <v>0</v>
      </c>
      <c r="AE332">
        <f>'Urella Brook'!AC30</f>
        <v>1408</v>
      </c>
      <c r="AF332">
        <f>'Urella Brook'!AD30</f>
        <v>15</v>
      </c>
      <c r="AG332">
        <f>'Urella Brook'!AE30</f>
        <v>1</v>
      </c>
      <c r="AH332">
        <f>'Urella Brook'!AF30</f>
        <v>16</v>
      </c>
      <c r="AI332">
        <f>'Urella Brook'!AG30</f>
        <v>0</v>
      </c>
      <c r="AJ332">
        <f>'Urella Brook'!AH30</f>
        <v>1528</v>
      </c>
      <c r="AK332">
        <f>'Urella Brook'!AI30</f>
        <v>133</v>
      </c>
      <c r="AL332">
        <f>'Urella Brook'!AJ30</f>
        <v>17</v>
      </c>
      <c r="AM332">
        <f>'Urella Brook'!AK30</f>
        <v>2407</v>
      </c>
      <c r="AN332">
        <f>'Urella Brook'!AL30</f>
        <v>0.1</v>
      </c>
      <c r="AO332">
        <f>'Urella Brook'!AM30</f>
        <v>1598</v>
      </c>
      <c r="AP332">
        <f>'Urella Brook'!AN30</f>
        <v>471</v>
      </c>
      <c r="AQ332">
        <f>'Urella Brook'!AO30</f>
        <v>29</v>
      </c>
      <c r="AR332">
        <f>'Urella Brook'!AP30</f>
        <v>14540</v>
      </c>
      <c r="AS332">
        <f>'Urella Brook'!AQ30</f>
        <v>0.8</v>
      </c>
      <c r="AT332">
        <f>'Urella Brook'!AR30</f>
        <v>1736</v>
      </c>
      <c r="AU332">
        <f>'Urella Brook'!AS30</f>
        <v>371</v>
      </c>
      <c r="AV332">
        <f>'Urella Brook'!AT30</f>
        <v>139</v>
      </c>
      <c r="AW332">
        <f>'Urella Brook'!AU30</f>
        <v>54894</v>
      </c>
      <c r="AX332">
        <f>'Urella Brook'!AV30</f>
        <v>3.2</v>
      </c>
    </row>
    <row r="333" spans="1:50">
      <c r="A333" t="str">
        <f>'Urella Brook'!A31</f>
        <v>/Users/christophermarjo/Documents/Python/Projects/data/bushfire Raman/Urella Brook/UB 7 (1)</v>
      </c>
      <c r="B333" t="str">
        <f t="shared" si="5"/>
        <v>Urella Brook</v>
      </c>
      <c r="C333">
        <v>7</v>
      </c>
      <c r="D333" t="str">
        <f>'Urella Brook'!B31</f>
        <v>6.32 counts</v>
      </c>
      <c r="E333">
        <f>'Urella Brook'!C31</f>
        <v>0.98989899999999997</v>
      </c>
      <c r="F333">
        <f>'Urella Brook'!D31</f>
        <v>1369</v>
      </c>
      <c r="G333">
        <f>'Urella Brook'!E31</f>
        <v>4115</v>
      </c>
      <c r="H333">
        <f>'Urella Brook'!F31</f>
        <v>278</v>
      </c>
      <c r="I333">
        <f>'Urella Brook'!G31</f>
        <v>1217718</v>
      </c>
      <c r="J333">
        <f>'Urella Brook'!H31</f>
        <v>61.4</v>
      </c>
      <c r="K333">
        <f>'Urella Brook'!I31</f>
        <v>1596</v>
      </c>
      <c r="L333">
        <f>'Urella Brook'!J31</f>
        <v>5759</v>
      </c>
      <c r="M333">
        <f>'Urella Brook'!K31</f>
        <v>100</v>
      </c>
      <c r="N333">
        <f>'Urella Brook'!L31</f>
        <v>613027</v>
      </c>
      <c r="O333">
        <f>'Urella Brook'!M31</f>
        <v>30.9</v>
      </c>
      <c r="P333">
        <f>'Urella Brook'!N31</f>
        <v>1073</v>
      </c>
      <c r="Q333">
        <f>'Urella Brook'!O31</f>
        <v>311</v>
      </c>
      <c r="R333">
        <f>'Urella Brook'!P31</f>
        <v>131</v>
      </c>
      <c r="S333">
        <f>'Urella Brook'!Q31</f>
        <v>43367</v>
      </c>
      <c r="T333">
        <f>'Urella Brook'!R31</f>
        <v>2.2000000000000002</v>
      </c>
      <c r="U333">
        <f>'Urella Brook'!S31</f>
        <v>1188</v>
      </c>
      <c r="V333">
        <f>'Urella Brook'!T31</f>
        <v>21</v>
      </c>
      <c r="W333">
        <f>'Urella Brook'!U31</f>
        <v>5</v>
      </c>
      <c r="X333">
        <f>'Urella Brook'!V31</f>
        <v>112</v>
      </c>
      <c r="Y333">
        <f>'Urella Brook'!W31</f>
        <v>0</v>
      </c>
      <c r="Z333">
        <f>'Urella Brook'!X31</f>
        <v>1260</v>
      </c>
      <c r="AA333">
        <f>'Urella Brook'!Y31</f>
        <v>1</v>
      </c>
      <c r="AB333">
        <f>'Urella Brook'!Z31</f>
        <v>1</v>
      </c>
      <c r="AC333">
        <f>'Urella Brook'!AA31</f>
        <v>1</v>
      </c>
      <c r="AD333">
        <f>'Urella Brook'!AB31</f>
        <v>0</v>
      </c>
      <c r="AE333">
        <f>'Urella Brook'!AC31</f>
        <v>1434</v>
      </c>
      <c r="AF333">
        <f>'Urella Brook'!AD31</f>
        <v>201</v>
      </c>
      <c r="AG333">
        <f>'Urella Brook'!AE31</f>
        <v>93</v>
      </c>
      <c r="AH333">
        <f>'Urella Brook'!AF31</f>
        <v>19898</v>
      </c>
      <c r="AI333">
        <f>'Urella Brook'!AG31</f>
        <v>1</v>
      </c>
      <c r="AJ333">
        <f>'Urella Brook'!AH31</f>
        <v>1494</v>
      </c>
      <c r="AK333">
        <f>'Urella Brook'!AI31</f>
        <v>43</v>
      </c>
      <c r="AL333">
        <f>'Urella Brook'!AJ31</f>
        <v>1</v>
      </c>
      <c r="AM333">
        <f>'Urella Brook'!AK31</f>
        <v>46</v>
      </c>
      <c r="AN333">
        <f>'Urella Brook'!AL31</f>
        <v>0</v>
      </c>
      <c r="AO333">
        <f>'Urella Brook'!AM31</f>
        <v>1592</v>
      </c>
      <c r="AP333">
        <f>'Urella Brook'!AN31</f>
        <v>611</v>
      </c>
      <c r="AQ333">
        <f>'Urella Brook'!AO31</f>
        <v>21</v>
      </c>
      <c r="AR333">
        <f>'Urella Brook'!AP31</f>
        <v>13658</v>
      </c>
      <c r="AS333">
        <f>'Urella Brook'!AQ31</f>
        <v>0.7</v>
      </c>
      <c r="AT333">
        <f>'Urella Brook'!AR31</f>
        <v>1734</v>
      </c>
      <c r="AU333">
        <f>'Urella Brook'!AS31</f>
        <v>543</v>
      </c>
      <c r="AV333">
        <f>'Urella Brook'!AT31</f>
        <v>133</v>
      </c>
      <c r="AW333">
        <f>'Urella Brook'!AU31</f>
        <v>76875</v>
      </c>
      <c r="AX333">
        <f>'Urella Brook'!AV31</f>
        <v>3.9</v>
      </c>
    </row>
    <row r="334" spans="1:50">
      <c r="A334" t="str">
        <f>'Urella Brook'!A32</f>
        <v>/Users/christophermarjo/Documents/Python/Projects/data/bushfire Raman/Urella Brook/UB 7 (2)</v>
      </c>
      <c r="B334" t="str">
        <f t="shared" si="5"/>
        <v>Urella Brook</v>
      </c>
      <c r="C334">
        <v>7</v>
      </c>
      <c r="D334" t="str">
        <f>'Urella Brook'!B32</f>
        <v>17.56 counts</v>
      </c>
      <c r="E334">
        <f>'Urella Brook'!C32</f>
        <v>0.95929799999999998</v>
      </c>
      <c r="F334">
        <f>'Urella Brook'!D32</f>
        <v>1369</v>
      </c>
      <c r="G334">
        <f>'Urella Brook'!E32</f>
        <v>6059</v>
      </c>
      <c r="H334">
        <f>'Urella Brook'!F32</f>
        <v>390</v>
      </c>
      <c r="I334">
        <f>'Urella Brook'!G32</f>
        <v>2515346</v>
      </c>
      <c r="J334">
        <f>'Urella Brook'!H32</f>
        <v>71.400000000000006</v>
      </c>
      <c r="K334">
        <f>'Urella Brook'!I32</f>
        <v>1598</v>
      </c>
      <c r="L334">
        <f>'Urella Brook'!J32</f>
        <v>5991</v>
      </c>
      <c r="M334">
        <f>'Urella Brook'!K32</f>
        <v>100</v>
      </c>
      <c r="N334">
        <f>'Urella Brook'!L32</f>
        <v>637722</v>
      </c>
      <c r="O334">
        <f>'Urella Brook'!M32</f>
        <v>18.100000000000001</v>
      </c>
      <c r="P334">
        <f>'Urella Brook'!N32</f>
        <v>1047</v>
      </c>
      <c r="Q334">
        <f>'Urella Brook'!O32</f>
        <v>647</v>
      </c>
      <c r="R334">
        <f>'Urella Brook'!P32</f>
        <v>57</v>
      </c>
      <c r="S334">
        <f>'Urella Brook'!Q32</f>
        <v>39256</v>
      </c>
      <c r="T334">
        <f>'Urella Brook'!R32</f>
        <v>1.1000000000000001</v>
      </c>
      <c r="U334">
        <f>'Urella Brook'!S32</f>
        <v>1158</v>
      </c>
      <c r="V334">
        <f>'Urella Brook'!T32</f>
        <v>1</v>
      </c>
      <c r="W334">
        <f>'Urella Brook'!U32</f>
        <v>1</v>
      </c>
      <c r="X334">
        <f>'Urella Brook'!V32</f>
        <v>1</v>
      </c>
      <c r="Y334">
        <f>'Urella Brook'!W32</f>
        <v>0</v>
      </c>
      <c r="Z334">
        <f>'Urella Brook'!X32</f>
        <v>1296</v>
      </c>
      <c r="AA334">
        <f>'Urella Brook'!Y32</f>
        <v>91</v>
      </c>
      <c r="AB334">
        <f>'Urella Brook'!Z32</f>
        <v>1</v>
      </c>
      <c r="AC334">
        <f>'Urella Brook'!AA32</f>
        <v>97</v>
      </c>
      <c r="AD334">
        <f>'Urella Brook'!AB32</f>
        <v>0</v>
      </c>
      <c r="AE334">
        <f>'Urella Brook'!AC32</f>
        <v>1418</v>
      </c>
      <c r="AF334">
        <f>'Urella Brook'!AD32</f>
        <v>305</v>
      </c>
      <c r="AG334">
        <f>'Urella Brook'!AE32</f>
        <v>105</v>
      </c>
      <c r="AH334">
        <f>'Urella Brook'!AF32</f>
        <v>34090</v>
      </c>
      <c r="AI334">
        <f>'Urella Brook'!AG32</f>
        <v>1</v>
      </c>
      <c r="AJ334">
        <f>'Urella Brook'!AH32</f>
        <v>1500</v>
      </c>
      <c r="AK334">
        <f>'Urella Brook'!AI32</f>
        <v>67</v>
      </c>
      <c r="AL334">
        <f>'Urella Brook'!AJ32</f>
        <v>1</v>
      </c>
      <c r="AM334">
        <f>'Urella Brook'!AK32</f>
        <v>71</v>
      </c>
      <c r="AN334">
        <f>'Urella Brook'!AL32</f>
        <v>0</v>
      </c>
      <c r="AO334">
        <f>'Urella Brook'!AM32</f>
        <v>1598</v>
      </c>
      <c r="AP334">
        <f>'Urella Brook'!AN32</f>
        <v>1111</v>
      </c>
      <c r="AQ334">
        <f>'Urella Brook'!AO32</f>
        <v>29</v>
      </c>
      <c r="AR334">
        <f>'Urella Brook'!AP32</f>
        <v>34296</v>
      </c>
      <c r="AS334">
        <f>'Urella Brook'!AQ32</f>
        <v>1</v>
      </c>
      <c r="AT334">
        <f>'Urella Brook'!AR32</f>
        <v>1748</v>
      </c>
      <c r="AU334">
        <f>'Urella Brook'!AS32</f>
        <v>1241</v>
      </c>
      <c r="AV334">
        <f>'Urella Brook'!AT32</f>
        <v>199</v>
      </c>
      <c r="AW334">
        <f>'Urella Brook'!AU32</f>
        <v>262880</v>
      </c>
      <c r="AX334">
        <f>'Urella Brook'!AV32</f>
        <v>7.5</v>
      </c>
    </row>
    <row r="335" spans="1:50">
      <c r="A335" t="str">
        <f>'Urella Brook'!A33</f>
        <v>/Users/christophermarjo/Documents/Python/Projects/data/bushfire Raman/Urella Brook/UB 7.5 (1)</v>
      </c>
      <c r="B335" t="str">
        <f t="shared" si="5"/>
        <v>Urella Brook</v>
      </c>
      <c r="C335">
        <v>7.5</v>
      </c>
      <c r="D335" t="str">
        <f>'Urella Brook'!B33</f>
        <v>13.07 counts</v>
      </c>
      <c r="E335">
        <f>'Urella Brook'!C33</f>
        <v>0.99060099999999995</v>
      </c>
      <c r="F335">
        <f>'Urella Brook'!D33</f>
        <v>1369</v>
      </c>
      <c r="G335">
        <f>'Urella Brook'!E33</f>
        <v>8773</v>
      </c>
      <c r="H335">
        <f>'Urella Brook'!F33</f>
        <v>288</v>
      </c>
      <c r="I335">
        <f>'Urella Brook'!G33</f>
        <v>2689508</v>
      </c>
      <c r="J335">
        <f>'Urella Brook'!H33</f>
        <v>64</v>
      </c>
      <c r="K335">
        <f>'Urella Brook'!I33</f>
        <v>1594</v>
      </c>
      <c r="L335">
        <f>'Urella Brook'!J33</f>
        <v>11867</v>
      </c>
      <c r="M335">
        <f>'Urella Brook'!K33</f>
        <v>100</v>
      </c>
      <c r="N335">
        <f>'Urella Brook'!L33</f>
        <v>1263203</v>
      </c>
      <c r="O335">
        <f>'Urella Brook'!M33</f>
        <v>30.1</v>
      </c>
      <c r="P335">
        <f>'Urella Brook'!N33</f>
        <v>1071</v>
      </c>
      <c r="Q335">
        <f>'Urella Brook'!O33</f>
        <v>511</v>
      </c>
      <c r="R335">
        <f>'Urella Brook'!P33</f>
        <v>129</v>
      </c>
      <c r="S335">
        <f>'Urella Brook'!Q33</f>
        <v>70169</v>
      </c>
      <c r="T335">
        <f>'Urella Brook'!R33</f>
        <v>1.7</v>
      </c>
      <c r="U335">
        <f>'Urella Brook'!S33</f>
        <v>1156</v>
      </c>
      <c r="V335">
        <f>'Urella Brook'!T33</f>
        <v>65</v>
      </c>
      <c r="W335">
        <f>'Urella Brook'!U33</f>
        <v>29</v>
      </c>
      <c r="X335">
        <f>'Urella Brook'!V33</f>
        <v>2007</v>
      </c>
      <c r="Y335">
        <f>'Urella Brook'!W33</f>
        <v>0</v>
      </c>
      <c r="Z335">
        <f>'Urella Brook'!X33</f>
        <v>1260</v>
      </c>
      <c r="AA335">
        <f>'Urella Brook'!Y33</f>
        <v>1</v>
      </c>
      <c r="AB335">
        <f>'Urella Brook'!Z33</f>
        <v>1</v>
      </c>
      <c r="AC335">
        <f>'Urella Brook'!AA33</f>
        <v>1</v>
      </c>
      <c r="AD335">
        <f>'Urella Brook'!AB33</f>
        <v>0</v>
      </c>
      <c r="AE335">
        <f>'Urella Brook'!AC33</f>
        <v>1418</v>
      </c>
      <c r="AF335">
        <f>'Urella Brook'!AD33</f>
        <v>69</v>
      </c>
      <c r="AG335">
        <f>'Urella Brook'!AE33</f>
        <v>111</v>
      </c>
      <c r="AH335">
        <f>'Urella Brook'!AF33</f>
        <v>8153</v>
      </c>
      <c r="AI335">
        <f>'Urella Brook'!AG33</f>
        <v>0.2</v>
      </c>
      <c r="AJ335">
        <f>'Urella Brook'!AH33</f>
        <v>1494</v>
      </c>
      <c r="AK335">
        <f>'Urella Brook'!AI33</f>
        <v>169</v>
      </c>
      <c r="AL335">
        <f>'Urella Brook'!AJ33</f>
        <v>1</v>
      </c>
      <c r="AM335">
        <f>'Urella Brook'!AK33</f>
        <v>180</v>
      </c>
      <c r="AN335">
        <f>'Urella Brook'!AL33</f>
        <v>0</v>
      </c>
      <c r="AO335">
        <f>'Urella Brook'!AM33</f>
        <v>1596</v>
      </c>
      <c r="AP335">
        <f>'Urella Brook'!AN33</f>
        <v>1031</v>
      </c>
      <c r="AQ335">
        <f>'Urella Brook'!AO33</f>
        <v>31</v>
      </c>
      <c r="AR335">
        <f>'Urella Brook'!AP33</f>
        <v>34021</v>
      </c>
      <c r="AS335">
        <f>'Urella Brook'!AQ33</f>
        <v>0.8</v>
      </c>
      <c r="AT335">
        <f>'Urella Brook'!AR33</f>
        <v>1730</v>
      </c>
      <c r="AU335">
        <f>'Urella Brook'!AS33</f>
        <v>1149</v>
      </c>
      <c r="AV335">
        <f>'Urella Brook'!AT33</f>
        <v>109</v>
      </c>
      <c r="AW335">
        <f>'Urella Brook'!AU33</f>
        <v>133315</v>
      </c>
      <c r="AX335">
        <f>'Urella Brook'!AV33</f>
        <v>3.2</v>
      </c>
    </row>
    <row r="336" spans="1:50">
      <c r="A336" t="str">
        <f>'Urella Brook'!A34</f>
        <v>/Users/christophermarjo/Documents/Python/Projects/data/bushfire Raman/Urella Brook/UB 7.5 (2)</v>
      </c>
      <c r="B336" t="str">
        <f t="shared" si="5"/>
        <v>Urella Brook</v>
      </c>
      <c r="C336">
        <v>7.5</v>
      </c>
      <c r="D336" t="str">
        <f>'Urella Brook'!B34</f>
        <v>19.71 counts</v>
      </c>
      <c r="E336">
        <f>'Urella Brook'!C34</f>
        <v>0.98829</v>
      </c>
      <c r="F336">
        <f>'Urella Brook'!D34</f>
        <v>1369</v>
      </c>
      <c r="G336">
        <f>'Urella Brook'!E34</f>
        <v>12013</v>
      </c>
      <c r="H336">
        <f>'Urella Brook'!F34</f>
        <v>314</v>
      </c>
      <c r="I336">
        <f>'Urella Brook'!G34</f>
        <v>4015257</v>
      </c>
      <c r="J336">
        <f>'Urella Brook'!H34</f>
        <v>68.5</v>
      </c>
      <c r="K336">
        <f>'Urella Brook'!I34</f>
        <v>1590</v>
      </c>
      <c r="L336">
        <f>'Urella Brook'!J34</f>
        <v>14755</v>
      </c>
      <c r="M336">
        <f>'Urella Brook'!K34</f>
        <v>102</v>
      </c>
      <c r="N336">
        <f>'Urella Brook'!L34</f>
        <v>1602034</v>
      </c>
      <c r="O336">
        <f>'Urella Brook'!M34</f>
        <v>27.3</v>
      </c>
      <c r="P336">
        <f>'Urella Brook'!N34</f>
        <v>1027</v>
      </c>
      <c r="Q336">
        <f>'Urella Brook'!O34</f>
        <v>413</v>
      </c>
      <c r="R336">
        <f>'Urella Brook'!P34</f>
        <v>63</v>
      </c>
      <c r="S336">
        <f>'Urella Brook'!Q34</f>
        <v>27696</v>
      </c>
      <c r="T336">
        <f>'Urella Brook'!R34</f>
        <v>0.5</v>
      </c>
      <c r="U336">
        <f>'Urella Brook'!S34</f>
        <v>1158</v>
      </c>
      <c r="V336">
        <f>'Urella Brook'!T34</f>
        <v>1</v>
      </c>
      <c r="W336">
        <f>'Urella Brook'!U34</f>
        <v>1</v>
      </c>
      <c r="X336">
        <f>'Urella Brook'!V34</f>
        <v>1</v>
      </c>
      <c r="Y336">
        <f>'Urella Brook'!W34</f>
        <v>0</v>
      </c>
      <c r="Z336">
        <f>'Urella Brook'!X34</f>
        <v>1260</v>
      </c>
      <c r="AA336">
        <f>'Urella Brook'!Y34</f>
        <v>1</v>
      </c>
      <c r="AB336">
        <f>'Urella Brook'!Z34</f>
        <v>1</v>
      </c>
      <c r="AC336">
        <f>'Urella Brook'!AA34</f>
        <v>1</v>
      </c>
      <c r="AD336">
        <f>'Urella Brook'!AB34</f>
        <v>0</v>
      </c>
      <c r="AE336">
        <f>'Urella Brook'!AC34</f>
        <v>1450</v>
      </c>
      <c r="AF336">
        <f>'Urella Brook'!AD34</f>
        <v>63</v>
      </c>
      <c r="AG336">
        <f>'Urella Brook'!AE34</f>
        <v>123</v>
      </c>
      <c r="AH336">
        <f>'Urella Brook'!AF34</f>
        <v>8249</v>
      </c>
      <c r="AI336">
        <f>'Urella Brook'!AG34</f>
        <v>0.1</v>
      </c>
      <c r="AJ336">
        <f>'Urella Brook'!AH34</f>
        <v>1494</v>
      </c>
      <c r="AK336">
        <f>'Urella Brook'!AI34</f>
        <v>339</v>
      </c>
      <c r="AL336">
        <f>'Urella Brook'!AJ34</f>
        <v>43</v>
      </c>
      <c r="AM336">
        <f>'Urella Brook'!AK34</f>
        <v>15517</v>
      </c>
      <c r="AN336">
        <f>'Urella Brook'!AL34</f>
        <v>0.3</v>
      </c>
      <c r="AO336">
        <f>'Urella Brook'!AM34</f>
        <v>1596</v>
      </c>
      <c r="AP336">
        <f>'Urella Brook'!AN34</f>
        <v>701</v>
      </c>
      <c r="AQ336">
        <f>'Urella Brook'!AO34</f>
        <v>27</v>
      </c>
      <c r="AR336">
        <f>'Urella Brook'!AP34</f>
        <v>20147</v>
      </c>
      <c r="AS336">
        <f>'Urella Brook'!AQ34</f>
        <v>0.3</v>
      </c>
      <c r="AT336">
        <f>'Urella Brook'!AR34</f>
        <v>1726</v>
      </c>
      <c r="AU336">
        <f>'Urella Brook'!AS34</f>
        <v>1523</v>
      </c>
      <c r="AV336">
        <f>'Urella Brook'!AT34</f>
        <v>107</v>
      </c>
      <c r="AW336">
        <f>'Urella Brook'!AU34</f>
        <v>173467</v>
      </c>
      <c r="AX336">
        <f>'Urella Brook'!AV34</f>
        <v>3</v>
      </c>
    </row>
    <row r="337" spans="1:50">
      <c r="A337" t="str">
        <f>'Urella Brook'!A35</f>
        <v>/Users/christophermarjo/Documents/Python/Projects/data/bushfire Raman/Urella Brook/UB 7.5 (3)</v>
      </c>
      <c r="B337" t="str">
        <f t="shared" si="5"/>
        <v>Urella Brook</v>
      </c>
      <c r="C337">
        <v>7.5</v>
      </c>
      <c r="D337" t="str">
        <f>'Urella Brook'!B35</f>
        <v>18.77 counts</v>
      </c>
      <c r="E337">
        <f>'Urella Brook'!C35</f>
        <v>0.97620200000000001</v>
      </c>
      <c r="F337">
        <f>'Urella Brook'!D35</f>
        <v>1369</v>
      </c>
      <c r="G337">
        <f>'Urella Brook'!E35</f>
        <v>8257</v>
      </c>
      <c r="H337">
        <f>'Urella Brook'!F35</f>
        <v>328</v>
      </c>
      <c r="I337">
        <f>'Urella Brook'!G35</f>
        <v>2882892</v>
      </c>
      <c r="J337">
        <f>'Urella Brook'!H35</f>
        <v>67.7</v>
      </c>
      <c r="K337">
        <f>'Urella Brook'!I35</f>
        <v>1590</v>
      </c>
      <c r="L337">
        <f>'Urella Brook'!J35</f>
        <v>9683</v>
      </c>
      <c r="M337">
        <f>'Urella Brook'!K35</f>
        <v>100</v>
      </c>
      <c r="N337">
        <f>'Urella Brook'!L35</f>
        <v>1030723</v>
      </c>
      <c r="O337">
        <f>'Urella Brook'!M35</f>
        <v>24.2</v>
      </c>
      <c r="P337">
        <f>'Urella Brook'!N35</f>
        <v>1027</v>
      </c>
      <c r="Q337">
        <f>'Urella Brook'!O35</f>
        <v>397</v>
      </c>
      <c r="R337">
        <f>'Urella Brook'!P35</f>
        <v>67</v>
      </c>
      <c r="S337">
        <f>'Urella Brook'!Q35</f>
        <v>28314</v>
      </c>
      <c r="T337">
        <f>'Urella Brook'!R35</f>
        <v>0.7</v>
      </c>
      <c r="U337">
        <f>'Urella Brook'!S35</f>
        <v>1158</v>
      </c>
      <c r="V337">
        <f>'Urella Brook'!T35</f>
        <v>1</v>
      </c>
      <c r="W337">
        <f>'Urella Brook'!U35</f>
        <v>1</v>
      </c>
      <c r="X337">
        <f>'Urella Brook'!V35</f>
        <v>1</v>
      </c>
      <c r="Y337">
        <f>'Urella Brook'!W35</f>
        <v>0</v>
      </c>
      <c r="Z337">
        <f>'Urella Brook'!X35</f>
        <v>1260</v>
      </c>
      <c r="AA337">
        <f>'Urella Brook'!Y35</f>
        <v>1</v>
      </c>
      <c r="AB337">
        <f>'Urella Brook'!Z35</f>
        <v>1</v>
      </c>
      <c r="AC337">
        <f>'Urella Brook'!AA35</f>
        <v>1</v>
      </c>
      <c r="AD337">
        <f>'Urella Brook'!AB35</f>
        <v>0</v>
      </c>
      <c r="AE337">
        <f>'Urella Brook'!AC35</f>
        <v>1434</v>
      </c>
      <c r="AF337">
        <f>'Urella Brook'!AD35</f>
        <v>227</v>
      </c>
      <c r="AG337">
        <f>'Urella Brook'!AE35</f>
        <v>99</v>
      </c>
      <c r="AH337">
        <f>'Urella Brook'!AF35</f>
        <v>23922</v>
      </c>
      <c r="AI337">
        <f>'Urella Brook'!AG35</f>
        <v>0.6</v>
      </c>
      <c r="AJ337">
        <f>'Urella Brook'!AH35</f>
        <v>1494</v>
      </c>
      <c r="AK337">
        <f>'Urella Brook'!AI35</f>
        <v>207</v>
      </c>
      <c r="AL337">
        <f>'Urella Brook'!AJ35</f>
        <v>1</v>
      </c>
      <c r="AM337">
        <f>'Urella Brook'!AK35</f>
        <v>220</v>
      </c>
      <c r="AN337">
        <f>'Urella Brook'!AL35</f>
        <v>0</v>
      </c>
      <c r="AO337">
        <f>'Urella Brook'!AM35</f>
        <v>1592</v>
      </c>
      <c r="AP337">
        <f>'Urella Brook'!AN35</f>
        <v>921</v>
      </c>
      <c r="AQ337">
        <f>'Urella Brook'!AO35</f>
        <v>25</v>
      </c>
      <c r="AR337">
        <f>'Urella Brook'!AP35</f>
        <v>24509</v>
      </c>
      <c r="AS337">
        <f>'Urella Brook'!AQ35</f>
        <v>0.6</v>
      </c>
      <c r="AT337">
        <f>'Urella Brook'!AR35</f>
        <v>1740</v>
      </c>
      <c r="AU337">
        <f>'Urella Brook'!AS35</f>
        <v>1295</v>
      </c>
      <c r="AV337">
        <f>'Urella Brook'!AT35</f>
        <v>195</v>
      </c>
      <c r="AW337">
        <f>'Urella Brook'!AU35</f>
        <v>268805</v>
      </c>
      <c r="AX337">
        <f>'Urella Brook'!AV35</f>
        <v>6.3</v>
      </c>
    </row>
    <row r="338" spans="1:50">
      <c r="A338" t="str">
        <f>'Urella Brook'!A36</f>
        <v>/Users/christophermarjo/Documents/Python/Projects/data/bushfire Raman/Urella Brook/UB 8 (1)</v>
      </c>
      <c r="B338" t="str">
        <f t="shared" si="5"/>
        <v>Urella Brook</v>
      </c>
      <c r="C338">
        <v>8</v>
      </c>
      <c r="D338" t="str">
        <f>'Urella Brook'!B36</f>
        <v>14.18 counts</v>
      </c>
      <c r="E338">
        <f>'Urella Brook'!C36</f>
        <v>0.97885100000000003</v>
      </c>
      <c r="F338">
        <f>'Urella Brook'!D36</f>
        <v>1369</v>
      </c>
      <c r="G338">
        <f>'Urella Brook'!E36</f>
        <v>6831</v>
      </c>
      <c r="H338">
        <f>'Urella Brook'!F36</f>
        <v>356</v>
      </c>
      <c r="I338">
        <f>'Urella Brook'!G36</f>
        <v>2588609</v>
      </c>
      <c r="J338">
        <f>'Urella Brook'!H36</f>
        <v>76.099999999999994</v>
      </c>
      <c r="K338">
        <f>'Urella Brook'!I36</f>
        <v>1588</v>
      </c>
      <c r="L338">
        <f>'Urella Brook'!J36</f>
        <v>6185</v>
      </c>
      <c r="M338">
        <f>'Urella Brook'!K36</f>
        <v>100</v>
      </c>
      <c r="N338">
        <f>'Urella Brook'!L36</f>
        <v>658373</v>
      </c>
      <c r="O338">
        <f>'Urella Brook'!M36</f>
        <v>19.3</v>
      </c>
      <c r="P338">
        <f>'Urella Brook'!N36</f>
        <v>1013</v>
      </c>
      <c r="Q338">
        <f>'Urella Brook'!O36</f>
        <v>121</v>
      </c>
      <c r="R338">
        <f>'Urella Brook'!P36</f>
        <v>89</v>
      </c>
      <c r="S338">
        <f>'Urella Brook'!Q36</f>
        <v>11463</v>
      </c>
      <c r="T338">
        <f>'Urella Brook'!R36</f>
        <v>0.3</v>
      </c>
      <c r="U338">
        <f>'Urella Brook'!S36</f>
        <v>1158</v>
      </c>
      <c r="V338">
        <f>'Urella Brook'!T36</f>
        <v>1</v>
      </c>
      <c r="W338">
        <f>'Urella Brook'!U36</f>
        <v>1</v>
      </c>
      <c r="X338">
        <f>'Urella Brook'!V36</f>
        <v>1</v>
      </c>
      <c r="Y338">
        <f>'Urella Brook'!W36</f>
        <v>0</v>
      </c>
      <c r="Z338">
        <f>'Urella Brook'!X36</f>
        <v>1260</v>
      </c>
      <c r="AA338">
        <f>'Urella Brook'!Y36</f>
        <v>1</v>
      </c>
      <c r="AB338">
        <f>'Urella Brook'!Z36</f>
        <v>1</v>
      </c>
      <c r="AC338">
        <f>'Urella Brook'!AA36</f>
        <v>1</v>
      </c>
      <c r="AD338">
        <f>'Urella Brook'!AB36</f>
        <v>0</v>
      </c>
      <c r="AE338">
        <f>'Urella Brook'!AC36</f>
        <v>1406</v>
      </c>
      <c r="AF338">
        <f>'Urella Brook'!AD36</f>
        <v>13</v>
      </c>
      <c r="AG338">
        <f>'Urella Brook'!AE36</f>
        <v>1</v>
      </c>
      <c r="AH338">
        <f>'Urella Brook'!AF36</f>
        <v>14</v>
      </c>
      <c r="AI338">
        <f>'Urella Brook'!AG36</f>
        <v>0</v>
      </c>
      <c r="AJ338">
        <f>'Urella Brook'!AH36</f>
        <v>1494</v>
      </c>
      <c r="AK338">
        <f>'Urella Brook'!AI36</f>
        <v>105</v>
      </c>
      <c r="AL338">
        <f>'Urella Brook'!AJ36</f>
        <v>27</v>
      </c>
      <c r="AM338">
        <f>'Urella Brook'!AK36</f>
        <v>3018</v>
      </c>
      <c r="AN338">
        <f>'Urella Brook'!AL36</f>
        <v>0.1</v>
      </c>
      <c r="AO338">
        <f>'Urella Brook'!AM36</f>
        <v>1598</v>
      </c>
      <c r="AP338">
        <f>'Urella Brook'!AN36</f>
        <v>809</v>
      </c>
      <c r="AQ338">
        <f>'Urella Brook'!AO36</f>
        <v>25</v>
      </c>
      <c r="AR338">
        <f>'Urella Brook'!AP36</f>
        <v>21529</v>
      </c>
      <c r="AS338">
        <f>'Urella Brook'!AQ36</f>
        <v>0.6</v>
      </c>
      <c r="AT338">
        <f>'Urella Brook'!AR36</f>
        <v>1732</v>
      </c>
      <c r="AU338">
        <f>'Urella Brook'!AS36</f>
        <v>635</v>
      </c>
      <c r="AV338">
        <f>'Urella Brook'!AT36</f>
        <v>177</v>
      </c>
      <c r="AW338">
        <f>'Urella Brook'!AU36</f>
        <v>119641</v>
      </c>
      <c r="AX338">
        <f>'Urella Brook'!AV36</f>
        <v>3.5</v>
      </c>
    </row>
    <row r="339" spans="1:50">
      <c r="A339" t="str">
        <f>'Urella Brook'!A37</f>
        <v>/Users/christophermarjo/Documents/Python/Projects/data/bushfire Raman/Urella Brook/UB 8 (2)</v>
      </c>
      <c r="B339" t="str">
        <f t="shared" si="5"/>
        <v>Urella Brook</v>
      </c>
      <c r="C339">
        <v>8</v>
      </c>
      <c r="D339" t="str">
        <f>'Urella Brook'!B37</f>
        <v>4.14 counts</v>
      </c>
      <c r="E339">
        <f>'Urella Brook'!C37</f>
        <v>0.98213600000000001</v>
      </c>
      <c r="F339">
        <f>'Urella Brook'!D37</f>
        <v>1369</v>
      </c>
      <c r="G339">
        <f>'Urella Brook'!E37</f>
        <v>2249</v>
      </c>
      <c r="H339">
        <f>'Urella Brook'!F37</f>
        <v>292</v>
      </c>
      <c r="I339">
        <f>'Urella Brook'!G37</f>
        <v>699044</v>
      </c>
      <c r="J339">
        <f>'Urella Brook'!H37</f>
        <v>65.599999999999994</v>
      </c>
      <c r="K339">
        <f>'Urella Brook'!I37</f>
        <v>1592</v>
      </c>
      <c r="L339">
        <f>'Urella Brook'!J37</f>
        <v>2391</v>
      </c>
      <c r="M339">
        <f>'Urella Brook'!K37</f>
        <v>104</v>
      </c>
      <c r="N339">
        <f>'Urella Brook'!L37</f>
        <v>264695</v>
      </c>
      <c r="O339">
        <f>'Urella Brook'!M37</f>
        <v>24.8</v>
      </c>
      <c r="P339">
        <f>'Urella Brook'!N37</f>
        <v>1073</v>
      </c>
      <c r="Q339">
        <f>'Urella Brook'!O37</f>
        <v>93</v>
      </c>
      <c r="R339">
        <f>'Urella Brook'!P37</f>
        <v>101</v>
      </c>
      <c r="S339">
        <f>'Urella Brook'!Q37</f>
        <v>9999</v>
      </c>
      <c r="T339">
        <f>'Urella Brook'!R37</f>
        <v>0.9</v>
      </c>
      <c r="U339">
        <f>'Urella Brook'!S37</f>
        <v>1174</v>
      </c>
      <c r="V339">
        <f>'Urella Brook'!T37</f>
        <v>51</v>
      </c>
      <c r="W339">
        <f>'Urella Brook'!U37</f>
        <v>1</v>
      </c>
      <c r="X339">
        <f>'Urella Brook'!V37</f>
        <v>54</v>
      </c>
      <c r="Y339">
        <f>'Urella Brook'!W37</f>
        <v>0</v>
      </c>
      <c r="Z339">
        <f>'Urella Brook'!X37</f>
        <v>1292</v>
      </c>
      <c r="AA339">
        <f>'Urella Brook'!Y37</f>
        <v>81</v>
      </c>
      <c r="AB339">
        <f>'Urella Brook'!Z37</f>
        <v>1</v>
      </c>
      <c r="AC339">
        <f>'Urella Brook'!AA37</f>
        <v>86</v>
      </c>
      <c r="AD339">
        <f>'Urella Brook'!AB37</f>
        <v>0</v>
      </c>
      <c r="AE339">
        <f>'Urella Brook'!AC37</f>
        <v>1446</v>
      </c>
      <c r="AF339">
        <f>'Urella Brook'!AD37</f>
        <v>79</v>
      </c>
      <c r="AG339">
        <f>'Urella Brook'!AE37</f>
        <v>1</v>
      </c>
      <c r="AH339">
        <f>'Urella Brook'!AF37</f>
        <v>84</v>
      </c>
      <c r="AI339">
        <f>'Urella Brook'!AG37</f>
        <v>0</v>
      </c>
      <c r="AJ339">
        <f>'Urella Brook'!AH37</f>
        <v>1494</v>
      </c>
      <c r="AK339">
        <f>'Urella Brook'!AI37</f>
        <v>187</v>
      </c>
      <c r="AL339">
        <f>'Urella Brook'!AJ37</f>
        <v>31</v>
      </c>
      <c r="AM339">
        <f>'Urella Brook'!AK37</f>
        <v>6171</v>
      </c>
      <c r="AN339">
        <f>'Urella Brook'!AL37</f>
        <v>0.6</v>
      </c>
      <c r="AO339">
        <f>'Urella Brook'!AM37</f>
        <v>1592</v>
      </c>
      <c r="AP339">
        <f>'Urella Brook'!AN37</f>
        <v>101</v>
      </c>
      <c r="AQ339">
        <f>'Urella Brook'!AO37</f>
        <v>3</v>
      </c>
      <c r="AR339">
        <f>'Urella Brook'!AP37</f>
        <v>323</v>
      </c>
      <c r="AS339">
        <f>'Urella Brook'!AQ37</f>
        <v>0</v>
      </c>
      <c r="AT339">
        <f>'Urella Brook'!AR37</f>
        <v>1748</v>
      </c>
      <c r="AU339">
        <f>'Urella Brook'!AS37</f>
        <v>401</v>
      </c>
      <c r="AV339">
        <f>'Urella Brook'!AT37</f>
        <v>199</v>
      </c>
      <c r="AW339">
        <f>'Urella Brook'!AU37</f>
        <v>84943</v>
      </c>
      <c r="AX339">
        <f>'Urella Brook'!AV37</f>
        <v>8</v>
      </c>
    </row>
    <row r="340" spans="1:50">
      <c r="A340" t="str">
        <f>'Urella Brook'!A38</f>
        <v>/Users/christophermarjo/Documents/Python/Projects/data/bushfire Raman/Urella Brook/UB 8 (3)</v>
      </c>
      <c r="B340" t="str">
        <f t="shared" si="5"/>
        <v>Urella Brook</v>
      </c>
      <c r="C340">
        <v>8</v>
      </c>
      <c r="D340" t="str">
        <f>'Urella Brook'!B38</f>
        <v>14.65 counts</v>
      </c>
      <c r="E340">
        <f>'Urella Brook'!C38</f>
        <v>0.98035099999999997</v>
      </c>
      <c r="F340">
        <f>'Urella Brook'!D38</f>
        <v>1369</v>
      </c>
      <c r="G340">
        <f>'Urella Brook'!E38</f>
        <v>7263</v>
      </c>
      <c r="H340">
        <f>'Urella Brook'!F38</f>
        <v>350</v>
      </c>
      <c r="I340">
        <f>'Urella Brook'!G38</f>
        <v>2705928</v>
      </c>
      <c r="J340">
        <f>'Urella Brook'!H38</f>
        <v>75.400000000000006</v>
      </c>
      <c r="K340">
        <f>'Urella Brook'!I38</f>
        <v>1590</v>
      </c>
      <c r="L340">
        <f>'Urella Brook'!J38</f>
        <v>6867</v>
      </c>
      <c r="M340">
        <f>'Urella Brook'!K38</f>
        <v>102</v>
      </c>
      <c r="N340">
        <f>'Urella Brook'!L38</f>
        <v>745589</v>
      </c>
      <c r="O340">
        <f>'Urella Brook'!M38</f>
        <v>20.8</v>
      </c>
      <c r="P340">
        <f>'Urella Brook'!N38</f>
        <v>1017</v>
      </c>
      <c r="Q340">
        <f>'Urella Brook'!O38</f>
        <v>217</v>
      </c>
      <c r="R340">
        <f>'Urella Brook'!P38</f>
        <v>79</v>
      </c>
      <c r="S340">
        <f>'Urella Brook'!Q38</f>
        <v>18248</v>
      </c>
      <c r="T340">
        <f>'Urella Brook'!R38</f>
        <v>0.5</v>
      </c>
      <c r="U340">
        <f>'Urella Brook'!S38</f>
        <v>1158</v>
      </c>
      <c r="V340">
        <f>'Urella Brook'!T38</f>
        <v>1</v>
      </c>
      <c r="W340">
        <f>'Urella Brook'!U38</f>
        <v>1</v>
      </c>
      <c r="X340">
        <f>'Urella Brook'!V38</f>
        <v>1</v>
      </c>
      <c r="Y340">
        <f>'Urella Brook'!W38</f>
        <v>0</v>
      </c>
      <c r="Z340">
        <f>'Urella Brook'!X38</f>
        <v>1260</v>
      </c>
      <c r="AA340">
        <f>'Urella Brook'!Y38</f>
        <v>1</v>
      </c>
      <c r="AB340">
        <f>'Urella Brook'!Z38</f>
        <v>1</v>
      </c>
      <c r="AC340">
        <f>'Urella Brook'!AA38</f>
        <v>1</v>
      </c>
      <c r="AD340">
        <f>'Urella Brook'!AB38</f>
        <v>0</v>
      </c>
      <c r="AE340">
        <f>'Urella Brook'!AC38</f>
        <v>1404</v>
      </c>
      <c r="AF340">
        <f>'Urella Brook'!AD38</f>
        <v>27</v>
      </c>
      <c r="AG340">
        <f>'Urella Brook'!AE38</f>
        <v>1</v>
      </c>
      <c r="AH340">
        <f>'Urella Brook'!AF38</f>
        <v>29</v>
      </c>
      <c r="AI340">
        <f>'Urella Brook'!AG38</f>
        <v>0</v>
      </c>
      <c r="AJ340">
        <f>'Urella Brook'!AH38</f>
        <v>1494</v>
      </c>
      <c r="AK340">
        <f>'Urella Brook'!AI38</f>
        <v>115</v>
      </c>
      <c r="AL340">
        <f>'Urella Brook'!AJ38</f>
        <v>31</v>
      </c>
      <c r="AM340">
        <f>'Urella Brook'!AK38</f>
        <v>3795</v>
      </c>
      <c r="AN340">
        <f>'Urella Brook'!AL38</f>
        <v>0.1</v>
      </c>
      <c r="AO340">
        <f>'Urella Brook'!AM38</f>
        <v>1598</v>
      </c>
      <c r="AP340">
        <f>'Urella Brook'!AN38</f>
        <v>769</v>
      </c>
      <c r="AQ340">
        <f>'Urella Brook'!AO38</f>
        <v>27</v>
      </c>
      <c r="AR340">
        <f>'Urella Brook'!AP38</f>
        <v>22102</v>
      </c>
      <c r="AS340">
        <f>'Urella Brook'!AQ38</f>
        <v>0.6</v>
      </c>
      <c r="AT340">
        <f>'Urella Brook'!AR38</f>
        <v>1730</v>
      </c>
      <c r="AU340">
        <f>'Urella Brook'!AS38</f>
        <v>635</v>
      </c>
      <c r="AV340">
        <f>'Urella Brook'!AT38</f>
        <v>141</v>
      </c>
      <c r="AW340">
        <f>'Urella Brook'!AU38</f>
        <v>95307</v>
      </c>
      <c r="AX340">
        <f>'Urella Brook'!AV38</f>
        <v>2.7</v>
      </c>
    </row>
    <row r="341" spans="1:50">
      <c r="A341" t="str">
        <f>'Urella Brook'!A39</f>
        <v>/Users/christophermarjo/Documents/Python/Projects/data/bushfire Raman/Urella Brook/UB 9 (2)</v>
      </c>
      <c r="B341" t="str">
        <f t="shared" si="5"/>
        <v>Urella Brook</v>
      </c>
      <c r="C341">
        <v>9</v>
      </c>
      <c r="D341" t="str">
        <f>'Urella Brook'!B39</f>
        <v>14.22 counts</v>
      </c>
      <c r="E341">
        <f>'Urella Brook'!C39</f>
        <v>0.98541100000000004</v>
      </c>
      <c r="F341">
        <f>'Urella Brook'!D39</f>
        <v>1369</v>
      </c>
      <c r="G341">
        <f>'Urella Brook'!E39</f>
        <v>7797</v>
      </c>
      <c r="H341">
        <f>'Urella Brook'!F39</f>
        <v>332</v>
      </c>
      <c r="I341">
        <f>'Urella Brook'!G39</f>
        <v>2755484</v>
      </c>
      <c r="J341">
        <f>'Urella Brook'!H39</f>
        <v>70.099999999999994</v>
      </c>
      <c r="K341">
        <f>'Urella Brook'!I39</f>
        <v>1592</v>
      </c>
      <c r="L341">
        <f>'Urella Brook'!J39</f>
        <v>9291</v>
      </c>
      <c r="M341">
        <f>'Urella Brook'!K39</f>
        <v>100</v>
      </c>
      <c r="N341">
        <f>'Urella Brook'!L39</f>
        <v>988996</v>
      </c>
      <c r="O341">
        <f>'Urella Brook'!M39</f>
        <v>25.2</v>
      </c>
      <c r="P341">
        <f>'Urella Brook'!N39</f>
        <v>1065</v>
      </c>
      <c r="Q341">
        <f>'Urella Brook'!O39</f>
        <v>207</v>
      </c>
      <c r="R341">
        <f>'Urella Brook'!P39</f>
        <v>63</v>
      </c>
      <c r="S341">
        <f>'Urella Brook'!Q39</f>
        <v>13882</v>
      </c>
      <c r="T341">
        <f>'Urella Brook'!R39</f>
        <v>0.4</v>
      </c>
      <c r="U341">
        <f>'Urella Brook'!S39</f>
        <v>1158</v>
      </c>
      <c r="V341">
        <f>'Urella Brook'!T39</f>
        <v>1</v>
      </c>
      <c r="W341">
        <f>'Urella Brook'!U39</f>
        <v>1</v>
      </c>
      <c r="X341">
        <f>'Urella Brook'!V39</f>
        <v>1</v>
      </c>
      <c r="Y341">
        <f>'Urella Brook'!W39</f>
        <v>0</v>
      </c>
      <c r="Z341">
        <f>'Urella Brook'!X39</f>
        <v>1260</v>
      </c>
      <c r="AA341">
        <f>'Urella Brook'!Y39</f>
        <v>1</v>
      </c>
      <c r="AB341">
        <f>'Urella Brook'!Z39</f>
        <v>1</v>
      </c>
      <c r="AC341">
        <f>'Urella Brook'!AA39</f>
        <v>1</v>
      </c>
      <c r="AD341">
        <f>'Urella Brook'!AB39</f>
        <v>0</v>
      </c>
      <c r="AE341">
        <f>'Urella Brook'!AC39</f>
        <v>1408</v>
      </c>
      <c r="AF341">
        <f>'Urella Brook'!AD39</f>
        <v>15</v>
      </c>
      <c r="AG341">
        <f>'Urella Brook'!AE39</f>
        <v>91</v>
      </c>
      <c r="AH341">
        <f>'Urella Brook'!AF39</f>
        <v>1453</v>
      </c>
      <c r="AI341">
        <f>'Urella Brook'!AG39</f>
        <v>0</v>
      </c>
      <c r="AJ341">
        <f>'Urella Brook'!AH39</f>
        <v>1500</v>
      </c>
      <c r="AK341">
        <f>'Urella Brook'!AI39</f>
        <v>51</v>
      </c>
      <c r="AL341">
        <f>'Urella Brook'!AJ39</f>
        <v>27</v>
      </c>
      <c r="AM341">
        <f>'Urella Brook'!AK39</f>
        <v>1466</v>
      </c>
      <c r="AN341">
        <f>'Urella Brook'!AL39</f>
        <v>0</v>
      </c>
      <c r="AO341">
        <f>'Urella Brook'!AM39</f>
        <v>1598</v>
      </c>
      <c r="AP341">
        <f>'Urella Brook'!AN39</f>
        <v>929</v>
      </c>
      <c r="AQ341">
        <f>'Urella Brook'!AO39</f>
        <v>29</v>
      </c>
      <c r="AR341">
        <f>'Urella Brook'!AP39</f>
        <v>28678</v>
      </c>
      <c r="AS341">
        <f>'Urella Brook'!AQ39</f>
        <v>0.7</v>
      </c>
      <c r="AT341">
        <f>'Urella Brook'!AR39</f>
        <v>1730</v>
      </c>
      <c r="AU341">
        <f>'Urella Brook'!AS39</f>
        <v>961</v>
      </c>
      <c r="AV341">
        <f>'Urella Brook'!AT39</f>
        <v>135</v>
      </c>
      <c r="AW341">
        <f>'Urella Brook'!AU39</f>
        <v>138099</v>
      </c>
      <c r="AX341">
        <f>'Urella Brook'!AV39</f>
        <v>3.5</v>
      </c>
    </row>
    <row r="342" spans="1:50">
      <c r="A342" t="str">
        <f>'Urella Brook'!A40</f>
        <v>/Users/christophermarjo/Documents/Python/Projects/data/bushfire Raman/Urella Brook/UB 9.5 (1)</v>
      </c>
      <c r="B342" t="str">
        <f t="shared" si="5"/>
        <v>Urella Brook</v>
      </c>
      <c r="C342">
        <v>9.5</v>
      </c>
      <c r="D342" t="str">
        <f>'Urella Brook'!B40</f>
        <v>23.82 counts</v>
      </c>
      <c r="E342">
        <f>'Urella Brook'!C40</f>
        <v>0.98388699999999996</v>
      </c>
      <c r="F342">
        <f>'Urella Brook'!D40</f>
        <v>1369</v>
      </c>
      <c r="G342">
        <f>'Urella Brook'!E40</f>
        <v>12785</v>
      </c>
      <c r="H342">
        <f>'Urella Brook'!F40</f>
        <v>318</v>
      </c>
      <c r="I342">
        <f>'Urella Brook'!G40</f>
        <v>4327729</v>
      </c>
      <c r="J342">
        <f>'Urella Brook'!H40</f>
        <v>66.400000000000006</v>
      </c>
      <c r="K342">
        <f>'Urella Brook'!I40</f>
        <v>1586</v>
      </c>
      <c r="L342">
        <f>'Urella Brook'!J40</f>
        <v>13715</v>
      </c>
      <c r="M342">
        <f>'Urella Brook'!K40</f>
        <v>126</v>
      </c>
      <c r="N342">
        <f>'Urella Brook'!L40</f>
        <v>1839495</v>
      </c>
      <c r="O342">
        <f>'Urella Brook'!M40</f>
        <v>28.2</v>
      </c>
      <c r="P342">
        <f>'Urella Brook'!N40</f>
        <v>1013</v>
      </c>
      <c r="Q342">
        <f>'Urella Brook'!O40</f>
        <v>293</v>
      </c>
      <c r="R342">
        <f>'Urella Brook'!P40</f>
        <v>57</v>
      </c>
      <c r="S342">
        <f>'Urella Brook'!Q40</f>
        <v>17778</v>
      </c>
      <c r="T342">
        <f>'Urella Brook'!R40</f>
        <v>0.3</v>
      </c>
      <c r="U342">
        <f>'Urella Brook'!S40</f>
        <v>1162</v>
      </c>
      <c r="V342">
        <f>'Urella Brook'!T40</f>
        <v>1</v>
      </c>
      <c r="W342">
        <f>'Urella Brook'!U40</f>
        <v>1</v>
      </c>
      <c r="X342">
        <f>'Urella Brook'!V40</f>
        <v>1</v>
      </c>
      <c r="Y342">
        <f>'Urella Brook'!W40</f>
        <v>0</v>
      </c>
      <c r="Z342">
        <f>'Urella Brook'!X40</f>
        <v>1260</v>
      </c>
      <c r="AA342">
        <f>'Urella Brook'!Y40</f>
        <v>1</v>
      </c>
      <c r="AB342">
        <f>'Urella Brook'!Z40</f>
        <v>1</v>
      </c>
      <c r="AC342">
        <f>'Urella Brook'!AA40</f>
        <v>1</v>
      </c>
      <c r="AD342">
        <f>'Urella Brook'!AB40</f>
        <v>0</v>
      </c>
      <c r="AE342">
        <f>'Urella Brook'!AC40</f>
        <v>1434</v>
      </c>
      <c r="AF342">
        <f>'Urella Brook'!AD40</f>
        <v>259</v>
      </c>
      <c r="AG342">
        <f>'Urella Brook'!AE40</f>
        <v>107</v>
      </c>
      <c r="AH342">
        <f>'Urella Brook'!AF40</f>
        <v>29500</v>
      </c>
      <c r="AI342">
        <f>'Urella Brook'!AG40</f>
        <v>0.5</v>
      </c>
      <c r="AJ342">
        <f>'Urella Brook'!AH40</f>
        <v>1480</v>
      </c>
      <c r="AK342">
        <f>'Urella Brook'!AI40</f>
        <v>651</v>
      </c>
      <c r="AL342">
        <f>'Urella Brook'!AJ40</f>
        <v>41</v>
      </c>
      <c r="AM342">
        <f>'Urella Brook'!AK40</f>
        <v>28412</v>
      </c>
      <c r="AN342">
        <f>'Urella Brook'!AL40</f>
        <v>0.4</v>
      </c>
      <c r="AO342">
        <f>'Urella Brook'!AM40</f>
        <v>1592</v>
      </c>
      <c r="AP342">
        <f>'Urella Brook'!AN40</f>
        <v>487</v>
      </c>
      <c r="AQ342">
        <f>'Urella Brook'!AO40</f>
        <v>19</v>
      </c>
      <c r="AR342">
        <f>'Urella Brook'!AP40</f>
        <v>9850</v>
      </c>
      <c r="AS342">
        <f>'Urella Brook'!AQ40</f>
        <v>0.2</v>
      </c>
      <c r="AT342">
        <f>'Urella Brook'!AR40</f>
        <v>1748</v>
      </c>
      <c r="AU342">
        <f>'Urella Brook'!AS40</f>
        <v>2095</v>
      </c>
      <c r="AV342">
        <f>'Urella Brook'!AT40</f>
        <v>117</v>
      </c>
      <c r="AW342">
        <f>'Urella Brook'!AU40</f>
        <v>260917</v>
      </c>
      <c r="AX342">
        <f>'Urella Brook'!AV40</f>
        <v>4</v>
      </c>
    </row>
    <row r="343" spans="1:50">
      <c r="A343" t="str">
        <f>'Urella Brook'!A41</f>
        <v>/Users/christophermarjo/Documents/Python/Projects/data/bushfire Raman/Urella Brook/UB 9.5 (2)</v>
      </c>
      <c r="B343" t="str">
        <f t="shared" si="5"/>
        <v>Urella Brook</v>
      </c>
      <c r="C343">
        <v>9.5</v>
      </c>
      <c r="D343" t="str">
        <f>'Urella Brook'!B41</f>
        <v>26.19 counts</v>
      </c>
      <c r="E343">
        <f>'Urella Brook'!C41</f>
        <v>0.98446900000000004</v>
      </c>
      <c r="F343">
        <f>'Urella Brook'!D41</f>
        <v>1369</v>
      </c>
      <c r="G343">
        <f>'Urella Brook'!E41</f>
        <v>14011</v>
      </c>
      <c r="H343">
        <f>'Urella Brook'!F41</f>
        <v>330</v>
      </c>
      <c r="I343">
        <f>'Urella Brook'!G41</f>
        <v>4921702</v>
      </c>
      <c r="J343">
        <f>'Urella Brook'!H41</f>
        <v>69.5</v>
      </c>
      <c r="K343">
        <f>'Urella Brook'!I41</f>
        <v>1590</v>
      </c>
      <c r="L343">
        <f>'Urella Brook'!J41</f>
        <v>16343</v>
      </c>
      <c r="M343">
        <f>'Urella Brook'!K41</f>
        <v>102</v>
      </c>
      <c r="N343">
        <f>'Urella Brook'!L41</f>
        <v>1774452</v>
      </c>
      <c r="O343">
        <f>'Urella Brook'!M41</f>
        <v>25</v>
      </c>
      <c r="P343">
        <f>'Urella Brook'!N41</f>
        <v>1027</v>
      </c>
      <c r="Q343">
        <f>'Urella Brook'!O41</f>
        <v>551</v>
      </c>
      <c r="R343">
        <f>'Urella Brook'!P41</f>
        <v>65</v>
      </c>
      <c r="S343">
        <f>'Urella Brook'!Q41</f>
        <v>38124</v>
      </c>
      <c r="T343">
        <f>'Urella Brook'!R41</f>
        <v>0.5</v>
      </c>
      <c r="U343">
        <f>'Urella Brook'!S41</f>
        <v>1158</v>
      </c>
      <c r="V343">
        <f>'Urella Brook'!T41</f>
        <v>1</v>
      </c>
      <c r="W343">
        <f>'Urella Brook'!U41</f>
        <v>1</v>
      </c>
      <c r="X343">
        <f>'Urella Brook'!V41</f>
        <v>1</v>
      </c>
      <c r="Y343">
        <f>'Urella Brook'!W41</f>
        <v>0</v>
      </c>
      <c r="Z343">
        <f>'Urella Brook'!X41</f>
        <v>1260</v>
      </c>
      <c r="AA343">
        <f>'Urella Brook'!Y41</f>
        <v>1</v>
      </c>
      <c r="AB343">
        <f>'Urella Brook'!Z41</f>
        <v>1</v>
      </c>
      <c r="AC343">
        <f>'Urella Brook'!AA41</f>
        <v>1</v>
      </c>
      <c r="AD343">
        <f>'Urella Brook'!AB41</f>
        <v>0</v>
      </c>
      <c r="AE343">
        <f>'Urella Brook'!AC41</f>
        <v>1408</v>
      </c>
      <c r="AF343">
        <f>'Urella Brook'!AD41</f>
        <v>167</v>
      </c>
      <c r="AG343">
        <f>'Urella Brook'!AE41</f>
        <v>97</v>
      </c>
      <c r="AH343">
        <f>'Urella Brook'!AF41</f>
        <v>17243</v>
      </c>
      <c r="AI343">
        <f>'Urella Brook'!AG41</f>
        <v>0.2</v>
      </c>
      <c r="AJ343">
        <f>'Urella Brook'!AH41</f>
        <v>1494</v>
      </c>
      <c r="AK343">
        <f>'Urella Brook'!AI41</f>
        <v>569</v>
      </c>
      <c r="AL343">
        <f>'Urella Brook'!AJ41</f>
        <v>7</v>
      </c>
      <c r="AM343">
        <f>'Urella Brook'!AK41</f>
        <v>4240</v>
      </c>
      <c r="AN343">
        <f>'Urella Brook'!AL41</f>
        <v>0.1</v>
      </c>
      <c r="AO343">
        <f>'Urella Brook'!AM41</f>
        <v>1598</v>
      </c>
      <c r="AP343">
        <f>'Urella Brook'!AN41</f>
        <v>1501</v>
      </c>
      <c r="AQ343">
        <f>'Urella Brook'!AO41</f>
        <v>27</v>
      </c>
      <c r="AR343">
        <f>'Urella Brook'!AP41</f>
        <v>43140</v>
      </c>
      <c r="AS343">
        <f>'Urella Brook'!AQ41</f>
        <v>0.6</v>
      </c>
      <c r="AT343">
        <f>'Urella Brook'!AR41</f>
        <v>1736</v>
      </c>
      <c r="AU343">
        <f>'Urella Brook'!AS41</f>
        <v>1737</v>
      </c>
      <c r="AV343">
        <f>'Urella Brook'!AT41</f>
        <v>155</v>
      </c>
      <c r="AW343">
        <f>'Urella Brook'!AU41</f>
        <v>286592</v>
      </c>
      <c r="AX343">
        <f>'Urella Brook'!AV41</f>
        <v>4</v>
      </c>
    </row>
    <row r="344" spans="1:50">
      <c r="A344" t="str">
        <f>'Urella Brook'!A42</f>
        <v>/Users/christophermarjo/Documents/Python/Projects/data/bushfire Raman/Urella Brook/UB 9.5 (3)</v>
      </c>
      <c r="B344" t="str">
        <f t="shared" si="5"/>
        <v>Urella Brook</v>
      </c>
      <c r="C344">
        <v>9.5</v>
      </c>
      <c r="D344" t="str">
        <f>'Urella Brook'!B42</f>
        <v>25.69 counts</v>
      </c>
      <c r="E344">
        <f>'Urella Brook'!C42</f>
        <v>0.98425799999999997</v>
      </c>
      <c r="F344">
        <f>'Urella Brook'!D42</f>
        <v>1369</v>
      </c>
      <c r="G344">
        <f>'Urella Brook'!E42</f>
        <v>13527</v>
      </c>
      <c r="H344">
        <f>'Urella Brook'!F42</f>
        <v>324</v>
      </c>
      <c r="I344">
        <f>'Urella Brook'!G42</f>
        <v>4665291</v>
      </c>
      <c r="J344">
        <f>'Urella Brook'!H42</f>
        <v>69</v>
      </c>
      <c r="K344">
        <f>'Urella Brook'!I42</f>
        <v>1590</v>
      </c>
      <c r="L344">
        <f>'Urella Brook'!J42</f>
        <v>16269</v>
      </c>
      <c r="M344">
        <f>'Urella Brook'!K42</f>
        <v>102</v>
      </c>
      <c r="N344">
        <f>'Urella Brook'!L42</f>
        <v>1766417</v>
      </c>
      <c r="O344">
        <f>'Urella Brook'!M42</f>
        <v>26.1</v>
      </c>
      <c r="P344">
        <f>'Urella Brook'!N42</f>
        <v>1037</v>
      </c>
      <c r="Q344">
        <f>'Urella Brook'!O42</f>
        <v>515</v>
      </c>
      <c r="R344">
        <f>'Urella Brook'!P42</f>
        <v>61</v>
      </c>
      <c r="S344">
        <f>'Urella Brook'!Q42</f>
        <v>33440</v>
      </c>
      <c r="T344">
        <f>'Urella Brook'!R42</f>
        <v>0.5</v>
      </c>
      <c r="U344">
        <f>'Urella Brook'!S42</f>
        <v>1158</v>
      </c>
      <c r="V344">
        <f>'Urella Brook'!T42</f>
        <v>1</v>
      </c>
      <c r="W344">
        <f>'Urella Brook'!U42</f>
        <v>1</v>
      </c>
      <c r="X344">
        <f>'Urella Brook'!V42</f>
        <v>1</v>
      </c>
      <c r="Y344">
        <f>'Urella Brook'!W42</f>
        <v>0</v>
      </c>
      <c r="Z344">
        <f>'Urella Brook'!X42</f>
        <v>1260</v>
      </c>
      <c r="AA344">
        <f>'Urella Brook'!Y42</f>
        <v>1</v>
      </c>
      <c r="AB344">
        <f>'Urella Brook'!Z42</f>
        <v>1</v>
      </c>
      <c r="AC344">
        <f>'Urella Brook'!AA42</f>
        <v>1</v>
      </c>
      <c r="AD344">
        <f>'Urella Brook'!AB42</f>
        <v>0</v>
      </c>
      <c r="AE344">
        <f>'Urella Brook'!AC42</f>
        <v>1456</v>
      </c>
      <c r="AF344">
        <f>'Urella Brook'!AD42</f>
        <v>233</v>
      </c>
      <c r="AG344">
        <f>'Urella Brook'!AE42</f>
        <v>131</v>
      </c>
      <c r="AH344">
        <f>'Urella Brook'!AF42</f>
        <v>32491</v>
      </c>
      <c r="AI344">
        <f>'Urella Brook'!AG42</f>
        <v>0.5</v>
      </c>
      <c r="AJ344">
        <f>'Urella Brook'!AH42</f>
        <v>1494</v>
      </c>
      <c r="AK344">
        <f>'Urella Brook'!AI42</f>
        <v>401</v>
      </c>
      <c r="AL344">
        <f>'Urella Brook'!AJ42</f>
        <v>27</v>
      </c>
      <c r="AM344">
        <f>'Urella Brook'!AK42</f>
        <v>11525</v>
      </c>
      <c r="AN344">
        <f>'Urella Brook'!AL42</f>
        <v>0.2</v>
      </c>
      <c r="AO344">
        <f>'Urella Brook'!AM42</f>
        <v>1598</v>
      </c>
      <c r="AP344">
        <f>'Urella Brook'!AN42</f>
        <v>883</v>
      </c>
      <c r="AQ344">
        <f>'Urella Brook'!AO42</f>
        <v>29</v>
      </c>
      <c r="AR344">
        <f>'Urella Brook'!AP42</f>
        <v>27258</v>
      </c>
      <c r="AS344">
        <f>'Urella Brook'!AQ42</f>
        <v>0.4</v>
      </c>
      <c r="AT344">
        <f>'Urella Brook'!AR42</f>
        <v>1736</v>
      </c>
      <c r="AU344">
        <f>'Urella Brook'!AS42</f>
        <v>1529</v>
      </c>
      <c r="AV344">
        <f>'Urella Brook'!AT42</f>
        <v>139</v>
      </c>
      <c r="AW344">
        <f>'Urella Brook'!AU42</f>
        <v>226232</v>
      </c>
      <c r="AX344">
        <f>'Urella Brook'!AV42</f>
        <v>3.3</v>
      </c>
    </row>
    <row r="345" spans="1:50">
      <c r="A345" t="str">
        <f>'Urella Brook'!A43</f>
        <v>/Users/christophermarjo/Documents/Python/Projects/data/bushfire Raman/Urella Brook/UB 10.5 (1)</v>
      </c>
      <c r="B345" t="str">
        <f t="shared" si="5"/>
        <v>Urella Brook</v>
      </c>
      <c r="C345">
        <v>10.5</v>
      </c>
      <c r="D345" t="str">
        <f>'Urella Brook'!B43</f>
        <v>11.35 counts</v>
      </c>
      <c r="E345">
        <f>'Urella Brook'!C43</f>
        <v>0.98850499999999997</v>
      </c>
      <c r="F345">
        <f>'Urella Brook'!D43</f>
        <v>1367</v>
      </c>
      <c r="G345">
        <f>'Urella Brook'!E43</f>
        <v>7249</v>
      </c>
      <c r="H345">
        <f>'Urella Brook'!F43</f>
        <v>328</v>
      </c>
      <c r="I345">
        <f>'Urella Brook'!G43</f>
        <v>2530953</v>
      </c>
      <c r="J345">
        <f>'Urella Brook'!H43</f>
        <v>71.400000000000006</v>
      </c>
      <c r="K345">
        <f>'Urella Brook'!I43</f>
        <v>1590</v>
      </c>
      <c r="L345">
        <f>'Urella Brook'!J43</f>
        <v>7947</v>
      </c>
      <c r="M345">
        <f>'Urella Brook'!K43</f>
        <v>102</v>
      </c>
      <c r="N345">
        <f>'Urella Brook'!L43</f>
        <v>862851</v>
      </c>
      <c r="O345">
        <f>'Urella Brook'!M43</f>
        <v>24.3</v>
      </c>
      <c r="P345">
        <f>'Urella Brook'!N43</f>
        <v>1035</v>
      </c>
      <c r="Q345">
        <f>'Urella Brook'!O43</f>
        <v>217</v>
      </c>
      <c r="R345">
        <f>'Urella Brook'!P43</f>
        <v>55</v>
      </c>
      <c r="S345">
        <f>'Urella Brook'!Q43</f>
        <v>12704</v>
      </c>
      <c r="T345">
        <f>'Urella Brook'!R43</f>
        <v>0.4</v>
      </c>
      <c r="U345">
        <f>'Urella Brook'!S43</f>
        <v>1158</v>
      </c>
      <c r="V345">
        <f>'Urella Brook'!T43</f>
        <v>1</v>
      </c>
      <c r="W345">
        <f>'Urella Brook'!U43</f>
        <v>1</v>
      </c>
      <c r="X345">
        <f>'Urella Brook'!V43</f>
        <v>1</v>
      </c>
      <c r="Y345">
        <f>'Urella Brook'!W43</f>
        <v>0</v>
      </c>
      <c r="Z345">
        <f>'Urella Brook'!X43</f>
        <v>1260</v>
      </c>
      <c r="AA345">
        <f>'Urella Brook'!Y43</f>
        <v>1</v>
      </c>
      <c r="AB345">
        <f>'Urella Brook'!Z43</f>
        <v>1</v>
      </c>
      <c r="AC345">
        <f>'Urella Brook'!AA43</f>
        <v>1</v>
      </c>
      <c r="AD345">
        <f>'Urella Brook'!AB43</f>
        <v>0</v>
      </c>
      <c r="AE345">
        <f>'Urella Brook'!AC43</f>
        <v>1456</v>
      </c>
      <c r="AF345">
        <f>'Urella Brook'!AD43</f>
        <v>187</v>
      </c>
      <c r="AG345">
        <f>'Urella Brook'!AE43</f>
        <v>3</v>
      </c>
      <c r="AH345">
        <f>'Urella Brook'!AF43</f>
        <v>597</v>
      </c>
      <c r="AI345">
        <f>'Urella Brook'!AG43</f>
        <v>0</v>
      </c>
      <c r="AJ345">
        <f>'Urella Brook'!AH43</f>
        <v>1494</v>
      </c>
      <c r="AK345">
        <f>'Urella Brook'!AI43</f>
        <v>169</v>
      </c>
      <c r="AL345">
        <f>'Urella Brook'!AJ43</f>
        <v>41</v>
      </c>
      <c r="AM345">
        <f>'Urella Brook'!AK43</f>
        <v>7376</v>
      </c>
      <c r="AN345">
        <f>'Urella Brook'!AL43</f>
        <v>0.2</v>
      </c>
      <c r="AO345">
        <f>'Urella Brook'!AM43</f>
        <v>1596</v>
      </c>
      <c r="AP345">
        <f>'Urella Brook'!AN43</f>
        <v>471</v>
      </c>
      <c r="AQ345">
        <f>'Urella Brook'!AO43</f>
        <v>29</v>
      </c>
      <c r="AR345">
        <f>'Urella Brook'!AP43</f>
        <v>14540</v>
      </c>
      <c r="AS345">
        <f>'Urella Brook'!AQ43</f>
        <v>0.4</v>
      </c>
      <c r="AT345">
        <f>'Urella Brook'!AR43</f>
        <v>1732</v>
      </c>
      <c r="AU345">
        <f>'Urella Brook'!AS43</f>
        <v>725</v>
      </c>
      <c r="AV345">
        <f>'Urella Brook'!AT43</f>
        <v>153</v>
      </c>
      <c r="AW345">
        <f>'Urella Brook'!AU43</f>
        <v>118076</v>
      </c>
      <c r="AX345">
        <f>'Urella Brook'!AV43</f>
        <v>3.3</v>
      </c>
    </row>
    <row r="346" spans="1:50">
      <c r="A346" t="str">
        <f>'Urella Brook'!A44</f>
        <v>/Users/christophermarjo/Documents/Python/Projects/data/bushfire Raman/Urella Brook/UB 10.5 (2)</v>
      </c>
      <c r="B346" t="str">
        <f t="shared" si="5"/>
        <v>Urella Brook</v>
      </c>
      <c r="C346">
        <v>10.5</v>
      </c>
      <c r="D346" t="str">
        <f>'Urella Brook'!B44</f>
        <v>13.44 counts</v>
      </c>
      <c r="E346">
        <f>'Urella Brook'!C44</f>
        <v>0.98143199999999997</v>
      </c>
      <c r="F346">
        <f>'Urella Brook'!D44</f>
        <v>1369</v>
      </c>
      <c r="G346">
        <f>'Urella Brook'!E44</f>
        <v>6227</v>
      </c>
      <c r="H346">
        <f>'Urella Brook'!F44</f>
        <v>328</v>
      </c>
      <c r="I346">
        <f>'Urella Brook'!G44</f>
        <v>2174127</v>
      </c>
      <c r="J346">
        <f>'Urella Brook'!H44</f>
        <v>67.2</v>
      </c>
      <c r="K346">
        <f>'Urella Brook'!I44</f>
        <v>1590</v>
      </c>
      <c r="L346">
        <f>'Urella Brook'!J44</f>
        <v>8025</v>
      </c>
      <c r="M346">
        <f>'Urella Brook'!K44</f>
        <v>106</v>
      </c>
      <c r="N346">
        <f>'Urella Brook'!L44</f>
        <v>905489</v>
      </c>
      <c r="O346">
        <f>'Urella Brook'!M44</f>
        <v>28</v>
      </c>
      <c r="P346">
        <f>'Urella Brook'!N44</f>
        <v>1025</v>
      </c>
      <c r="Q346">
        <f>'Urella Brook'!O44</f>
        <v>447</v>
      </c>
      <c r="R346">
        <f>'Urella Brook'!P44</f>
        <v>27</v>
      </c>
      <c r="S346">
        <f>'Urella Brook'!Q44</f>
        <v>12847</v>
      </c>
      <c r="T346">
        <f>'Urella Brook'!R44</f>
        <v>0.4</v>
      </c>
      <c r="U346">
        <f>'Urella Brook'!S44</f>
        <v>1158</v>
      </c>
      <c r="V346">
        <f>'Urella Brook'!T44</f>
        <v>1</v>
      </c>
      <c r="W346">
        <f>'Urella Brook'!U44</f>
        <v>1</v>
      </c>
      <c r="X346">
        <f>'Urella Brook'!V44</f>
        <v>1</v>
      </c>
      <c r="Y346">
        <f>'Urella Brook'!W44</f>
        <v>0</v>
      </c>
      <c r="Z346">
        <f>'Urella Brook'!X44</f>
        <v>1260</v>
      </c>
      <c r="AA346">
        <f>'Urella Brook'!Y44</f>
        <v>1</v>
      </c>
      <c r="AB346">
        <f>'Urella Brook'!Z44</f>
        <v>1</v>
      </c>
      <c r="AC346">
        <f>'Urella Brook'!AA44</f>
        <v>1</v>
      </c>
      <c r="AD346">
        <f>'Urella Brook'!AB44</f>
        <v>0</v>
      </c>
      <c r="AE346">
        <f>'Urella Brook'!AC44</f>
        <v>1418</v>
      </c>
      <c r="AF346">
        <f>'Urella Brook'!AD44</f>
        <v>305</v>
      </c>
      <c r="AG346">
        <f>'Urella Brook'!AE44</f>
        <v>87</v>
      </c>
      <c r="AH346">
        <f>'Urella Brook'!AF44</f>
        <v>28246</v>
      </c>
      <c r="AI346">
        <f>'Urella Brook'!AG44</f>
        <v>0.9</v>
      </c>
      <c r="AJ346">
        <f>'Urella Brook'!AH44</f>
        <v>1500</v>
      </c>
      <c r="AK346">
        <f>'Urella Brook'!AI44</f>
        <v>457</v>
      </c>
      <c r="AL346">
        <f>'Urella Brook'!AJ44</f>
        <v>53</v>
      </c>
      <c r="AM346">
        <f>'Urella Brook'!AK44</f>
        <v>25782</v>
      </c>
      <c r="AN346">
        <f>'Urella Brook'!AL44</f>
        <v>0.8</v>
      </c>
      <c r="AO346">
        <f>'Urella Brook'!AM44</f>
        <v>1598</v>
      </c>
      <c r="AP346">
        <f>'Urella Brook'!AN44</f>
        <v>287</v>
      </c>
      <c r="AQ346">
        <f>'Urella Brook'!AO44</f>
        <v>3</v>
      </c>
      <c r="AR346">
        <f>'Urella Brook'!AP44</f>
        <v>917</v>
      </c>
      <c r="AS346">
        <f>'Urella Brook'!AQ44</f>
        <v>0</v>
      </c>
      <c r="AT346">
        <f>'Urella Brook'!AR44</f>
        <v>1734</v>
      </c>
      <c r="AU346">
        <f>'Urella Brook'!AS44</f>
        <v>825</v>
      </c>
      <c r="AV346">
        <f>'Urella Brook'!AT44</f>
        <v>99</v>
      </c>
      <c r="AW346">
        <f>'Urella Brook'!AU44</f>
        <v>86940</v>
      </c>
      <c r="AX346">
        <f>'Urella Brook'!AV44</f>
        <v>2.7</v>
      </c>
    </row>
    <row r="347" spans="1:50">
      <c r="A347" t="str">
        <f>'Urella Brook'!A45</f>
        <v>/Users/christophermarjo/Documents/Python/Projects/data/bushfire Raman/Urella Brook/UB 10.5 (3)</v>
      </c>
      <c r="B347" t="str">
        <f t="shared" si="5"/>
        <v>Urella Brook</v>
      </c>
      <c r="C347">
        <v>10.5</v>
      </c>
      <c r="D347" t="str">
        <f>'Urella Brook'!B45</f>
        <v>21.83 counts</v>
      </c>
      <c r="E347">
        <f>'Urella Brook'!C45</f>
        <v>0.98155800000000004</v>
      </c>
      <c r="F347">
        <f>'Urella Brook'!D45</f>
        <v>1369</v>
      </c>
      <c r="G347">
        <f>'Urella Brook'!E45</f>
        <v>10527</v>
      </c>
      <c r="H347">
        <f>'Urella Brook'!F45</f>
        <v>288</v>
      </c>
      <c r="I347">
        <f>'Urella Brook'!G45</f>
        <v>3227226</v>
      </c>
      <c r="J347">
        <f>'Urella Brook'!H45</f>
        <v>63.1</v>
      </c>
      <c r="K347">
        <f>'Urella Brook'!I45</f>
        <v>1592</v>
      </c>
      <c r="L347">
        <f>'Urella Brook'!J45</f>
        <v>14343</v>
      </c>
      <c r="M347">
        <f>'Urella Brook'!K45</f>
        <v>102</v>
      </c>
      <c r="N347">
        <f>'Urella Brook'!L45</f>
        <v>1557300</v>
      </c>
      <c r="O347">
        <f>'Urella Brook'!M45</f>
        <v>30.4</v>
      </c>
      <c r="P347">
        <f>'Urella Brook'!N45</f>
        <v>1047</v>
      </c>
      <c r="Q347">
        <f>'Urella Brook'!O45</f>
        <v>193</v>
      </c>
      <c r="R347">
        <f>'Urella Brook'!P45</f>
        <v>59</v>
      </c>
      <c r="S347">
        <f>'Urella Brook'!Q45</f>
        <v>12121</v>
      </c>
      <c r="T347">
        <f>'Urella Brook'!R45</f>
        <v>0.2</v>
      </c>
      <c r="U347">
        <f>'Urella Brook'!S45</f>
        <v>1156</v>
      </c>
      <c r="V347">
        <f>'Urella Brook'!T45</f>
        <v>95</v>
      </c>
      <c r="W347">
        <f>'Urella Brook'!U45</f>
        <v>37</v>
      </c>
      <c r="X347">
        <f>'Urella Brook'!V45</f>
        <v>3742</v>
      </c>
      <c r="Y347">
        <f>'Urella Brook'!W45</f>
        <v>0.1</v>
      </c>
      <c r="Z347">
        <f>'Urella Brook'!X45</f>
        <v>1260</v>
      </c>
      <c r="AA347">
        <f>'Urella Brook'!Y45</f>
        <v>1</v>
      </c>
      <c r="AB347">
        <f>'Urella Brook'!Z45</f>
        <v>1</v>
      </c>
      <c r="AC347">
        <f>'Urella Brook'!AA45</f>
        <v>1</v>
      </c>
      <c r="AD347">
        <f>'Urella Brook'!AB45</f>
        <v>0</v>
      </c>
      <c r="AE347">
        <f>'Urella Brook'!AC45</f>
        <v>1434</v>
      </c>
      <c r="AF347">
        <f>'Urella Brook'!AD45</f>
        <v>119</v>
      </c>
      <c r="AG347">
        <f>'Urella Brook'!AE45</f>
        <v>115</v>
      </c>
      <c r="AH347">
        <f>'Urella Brook'!AF45</f>
        <v>14567</v>
      </c>
      <c r="AI347">
        <f>'Urella Brook'!AG45</f>
        <v>0.3</v>
      </c>
      <c r="AJ347">
        <f>'Urella Brook'!AH45</f>
        <v>1488</v>
      </c>
      <c r="AK347">
        <f>'Urella Brook'!AI45</f>
        <v>873</v>
      </c>
      <c r="AL347">
        <f>'Urella Brook'!AJ45</f>
        <v>45</v>
      </c>
      <c r="AM347">
        <f>'Urella Brook'!AK45</f>
        <v>41818</v>
      </c>
      <c r="AN347">
        <f>'Urella Brook'!AL45</f>
        <v>0.8</v>
      </c>
      <c r="AO347">
        <f>'Urella Brook'!AM45</f>
        <v>1592</v>
      </c>
      <c r="AP347">
        <f>'Urella Brook'!AN45</f>
        <v>407</v>
      </c>
      <c r="AQ347">
        <f>'Urella Brook'!AO45</f>
        <v>23</v>
      </c>
      <c r="AR347">
        <f>'Urella Brook'!AP45</f>
        <v>9964</v>
      </c>
      <c r="AS347">
        <f>'Urella Brook'!AQ45</f>
        <v>0.2</v>
      </c>
      <c r="AT347">
        <f>'Urella Brook'!AR45</f>
        <v>1732</v>
      </c>
      <c r="AU347">
        <f>'Urella Brook'!AS45</f>
        <v>1511</v>
      </c>
      <c r="AV347">
        <f>'Urella Brook'!AT45</f>
        <v>155</v>
      </c>
      <c r="AW347">
        <f>'Urella Brook'!AU45</f>
        <v>249304</v>
      </c>
      <c r="AX347">
        <f>'Urella Brook'!AV45</f>
        <v>4.9000000000000004</v>
      </c>
    </row>
    <row r="348" spans="1:50">
      <c r="A348" t="str">
        <f>'Urella Brook'!A46</f>
        <v xml:space="preserve">/Users/christophermarjo/Documents/Python/Projects/data/bushfire Raman/Urella Brook/UB- 7(3) </v>
      </c>
      <c r="B348" t="str">
        <f t="shared" si="5"/>
        <v>Urella Brook</v>
      </c>
      <c r="C348">
        <v>7</v>
      </c>
      <c r="D348" t="str">
        <f>'Urella Brook'!B46</f>
        <v>5.07 counts</v>
      </c>
      <c r="E348">
        <f>'Urella Brook'!C46</f>
        <v>0.98946800000000001</v>
      </c>
      <c r="F348">
        <f>'Urella Brook'!D46</f>
        <v>1369</v>
      </c>
      <c r="G348">
        <f>'Urella Brook'!E46</f>
        <v>3159</v>
      </c>
      <c r="H348">
        <f>'Urella Brook'!F46</f>
        <v>296</v>
      </c>
      <c r="I348">
        <f>'Urella Brook'!G46</f>
        <v>995345</v>
      </c>
      <c r="J348">
        <f>'Urella Brook'!H46</f>
        <v>63.1</v>
      </c>
      <c r="K348">
        <f>'Urella Brook'!I46</f>
        <v>1596</v>
      </c>
      <c r="L348">
        <f>'Urella Brook'!J46</f>
        <v>4231</v>
      </c>
      <c r="M348">
        <f>'Urella Brook'!K46</f>
        <v>100</v>
      </c>
      <c r="N348">
        <f>'Urella Brook'!L46</f>
        <v>450376</v>
      </c>
      <c r="O348">
        <f>'Urella Brook'!M46</f>
        <v>28.5</v>
      </c>
      <c r="P348">
        <f>'Urella Brook'!N46</f>
        <v>1051</v>
      </c>
      <c r="Q348">
        <f>'Urella Brook'!O46</f>
        <v>245</v>
      </c>
      <c r="R348">
        <f>'Urella Brook'!P46</f>
        <v>147</v>
      </c>
      <c r="S348">
        <f>'Urella Brook'!Q46</f>
        <v>38337</v>
      </c>
      <c r="T348">
        <f>'Urella Brook'!R46</f>
        <v>2.4</v>
      </c>
      <c r="U348">
        <f>'Urella Brook'!S46</f>
        <v>1174</v>
      </c>
      <c r="V348">
        <f>'Urella Brook'!T46</f>
        <v>27</v>
      </c>
      <c r="W348">
        <f>'Urella Brook'!U46</f>
        <v>31</v>
      </c>
      <c r="X348">
        <f>'Urella Brook'!V46</f>
        <v>891</v>
      </c>
      <c r="Y348">
        <f>'Urella Brook'!W46</f>
        <v>0.1</v>
      </c>
      <c r="Z348">
        <f>'Urella Brook'!X46</f>
        <v>1260</v>
      </c>
      <c r="AA348">
        <f>'Urella Brook'!Y46</f>
        <v>1</v>
      </c>
      <c r="AB348">
        <f>'Urella Brook'!Z46</f>
        <v>1</v>
      </c>
      <c r="AC348">
        <f>'Urella Brook'!AA46</f>
        <v>1</v>
      </c>
      <c r="AD348">
        <f>'Urella Brook'!AB46</f>
        <v>0</v>
      </c>
      <c r="AE348">
        <f>'Urella Brook'!AC46</f>
        <v>1418</v>
      </c>
      <c r="AF348">
        <f>'Urella Brook'!AD46</f>
        <v>81</v>
      </c>
      <c r="AG348">
        <f>'Urella Brook'!AE46</f>
        <v>113</v>
      </c>
      <c r="AH348">
        <f>'Urella Brook'!AF46</f>
        <v>9743</v>
      </c>
      <c r="AI348">
        <f>'Urella Brook'!AG46</f>
        <v>0.6</v>
      </c>
      <c r="AJ348">
        <f>'Urella Brook'!AH46</f>
        <v>1494</v>
      </c>
      <c r="AK348">
        <f>'Urella Brook'!AI46</f>
        <v>107</v>
      </c>
      <c r="AL348">
        <f>'Urella Brook'!AJ46</f>
        <v>1</v>
      </c>
      <c r="AM348">
        <f>'Urella Brook'!AK46</f>
        <v>114</v>
      </c>
      <c r="AN348">
        <f>'Urella Brook'!AL46</f>
        <v>0</v>
      </c>
      <c r="AO348">
        <f>'Urella Brook'!AM46</f>
        <v>1598</v>
      </c>
      <c r="AP348">
        <f>'Urella Brook'!AN46</f>
        <v>599</v>
      </c>
      <c r="AQ348">
        <f>'Urella Brook'!AO46</f>
        <v>31</v>
      </c>
      <c r="AR348">
        <f>'Urella Brook'!AP46</f>
        <v>19766</v>
      </c>
      <c r="AS348">
        <f>'Urella Brook'!AQ46</f>
        <v>1.3</v>
      </c>
      <c r="AT348">
        <f>'Urella Brook'!AR46</f>
        <v>1740</v>
      </c>
      <c r="AU348">
        <f>'Urella Brook'!AS46</f>
        <v>383</v>
      </c>
      <c r="AV348">
        <f>'Urella Brook'!AT46</f>
        <v>157</v>
      </c>
      <c r="AW348">
        <f>'Urella Brook'!AU46</f>
        <v>64007</v>
      </c>
      <c r="AX348">
        <f>'Urella Brook'!AV46</f>
        <v>4.0999999999999996</v>
      </c>
    </row>
    <row r="349" spans="1:50">
      <c r="A349" t="str">
        <f>'Rocky Point'!A2</f>
        <v>/Users/z2134519/Documents/python/data/bushfire Raman/Rocky Point swamp/RP_M 2 (2)</v>
      </c>
      <c r="B349" t="s">
        <v>855</v>
      </c>
      <c r="C349">
        <v>2</v>
      </c>
      <c r="D349" t="str">
        <f>'Rocky Point'!B2</f>
        <v>15.50 counts</v>
      </c>
      <c r="E349">
        <f>'Rocky Point'!C2</f>
        <v>0.98501099999999997</v>
      </c>
      <c r="F349">
        <f>'Rocky Point'!D2</f>
        <v>1365</v>
      </c>
      <c r="G349">
        <f>'Rocky Point'!E2</f>
        <v>8711</v>
      </c>
      <c r="H349">
        <f>'Rocky Point'!F2</f>
        <v>198</v>
      </c>
      <c r="I349">
        <f>'Rocky Point'!G2</f>
        <v>1835969</v>
      </c>
      <c r="J349">
        <f>'Rocky Point'!H2</f>
        <v>42.8</v>
      </c>
      <c r="K349">
        <f>'Rocky Point'!I2</f>
        <v>1588</v>
      </c>
      <c r="L349">
        <f>'Rocky Point'!J2</f>
        <v>11733</v>
      </c>
      <c r="M349">
        <f>'Rocky Point'!K2</f>
        <v>139</v>
      </c>
      <c r="N349">
        <f>'Rocky Point'!L2</f>
        <v>1736025</v>
      </c>
      <c r="O349">
        <f>'Rocky Point'!M2</f>
        <v>40.5</v>
      </c>
      <c r="P349">
        <f>'Rocky Point'!N2</f>
        <v>1073</v>
      </c>
      <c r="Q349">
        <f>'Rocky Point'!O2</f>
        <v>795</v>
      </c>
      <c r="R349">
        <f>'Rocky Point'!P2</f>
        <v>144</v>
      </c>
      <c r="S349">
        <f>'Rocky Point'!Q2</f>
        <v>121860</v>
      </c>
      <c r="T349">
        <f>'Rocky Point'!R2</f>
        <v>2.8</v>
      </c>
      <c r="U349">
        <f>'Rocky Point'!S2</f>
        <v>1188</v>
      </c>
      <c r="V349">
        <f>'Rocky Point'!T2</f>
        <v>2027</v>
      </c>
      <c r="W349">
        <f>'Rocky Point'!U2</f>
        <v>116</v>
      </c>
      <c r="X349">
        <f>'Rocky Point'!V2</f>
        <v>250290</v>
      </c>
      <c r="Y349">
        <f>'Rocky Point'!W2</f>
        <v>5.8</v>
      </c>
      <c r="Z349">
        <f>'Rocky Point'!X2</f>
        <v>1254</v>
      </c>
      <c r="AA349">
        <f>'Rocky Point'!Y2</f>
        <v>99</v>
      </c>
      <c r="AB349">
        <f>'Rocky Point'!Z2</f>
        <v>50</v>
      </c>
      <c r="AC349">
        <f>'Rocky Point'!AA2</f>
        <v>5269</v>
      </c>
      <c r="AD349">
        <f>'Rocky Point'!AB2</f>
        <v>0.1</v>
      </c>
      <c r="AE349">
        <f>'Rocky Point'!AC2</f>
        <v>1454</v>
      </c>
      <c r="AF349">
        <f>'Rocky Point'!AD2</f>
        <v>919</v>
      </c>
      <c r="AG349">
        <f>'Rocky Point'!AE2</f>
        <v>60</v>
      </c>
      <c r="AH349">
        <f>'Rocky Point'!AF2</f>
        <v>58695</v>
      </c>
      <c r="AI349">
        <f>'Rocky Point'!AG2</f>
        <v>1.4</v>
      </c>
      <c r="AJ349">
        <f>'Rocky Point'!AH2</f>
        <v>1486</v>
      </c>
      <c r="AK349">
        <f>'Rocky Point'!AI2</f>
        <v>583</v>
      </c>
      <c r="AL349">
        <f>'Rocky Point'!AJ2</f>
        <v>50</v>
      </c>
      <c r="AM349">
        <f>'Rocky Point'!AK2</f>
        <v>31029</v>
      </c>
      <c r="AN349">
        <f>'Rocky Point'!AL2</f>
        <v>0.7</v>
      </c>
      <c r="AO349">
        <f>'Rocky Point'!AM2</f>
        <v>1586</v>
      </c>
      <c r="AP349">
        <f>'Rocky Point'!AN2</f>
        <v>861</v>
      </c>
      <c r="AQ349">
        <f>'Rocky Point'!AO2</f>
        <v>50</v>
      </c>
      <c r="AR349">
        <f>'Rocky Point'!AP2</f>
        <v>45825</v>
      </c>
      <c r="AS349">
        <f>'Rocky Point'!AQ2</f>
        <v>1.1000000000000001</v>
      </c>
      <c r="AT349">
        <f>'Rocky Point'!AR2</f>
        <v>1748</v>
      </c>
      <c r="AU349">
        <f>'Rocky Point'!AS2</f>
        <v>969</v>
      </c>
      <c r="AV349">
        <f>'Rocky Point'!AT2</f>
        <v>198</v>
      </c>
      <c r="AW349">
        <f>'Rocky Point'!AU2</f>
        <v>204231</v>
      </c>
      <c r="AX349">
        <f>'Rocky Point'!AV2</f>
        <v>4.8</v>
      </c>
    </row>
    <row r="350" spans="1:50">
      <c r="A350" t="str">
        <f>'Rocky Point'!A3</f>
        <v>/Users/z2134519/Documents/python/data/bushfire Raman/Rocky Point swamp/RP_M 1.5 (2) BL</v>
      </c>
      <c r="B350" t="s">
        <v>855</v>
      </c>
      <c r="C350">
        <v>1.5</v>
      </c>
      <c r="D350" t="str">
        <f>'Rocky Point'!B3</f>
        <v>6.48 counts</v>
      </c>
      <c r="E350">
        <f>'Rocky Point'!C3</f>
        <v>0.97747499999999998</v>
      </c>
      <c r="F350">
        <f>'Rocky Point'!D3</f>
        <v>1365</v>
      </c>
      <c r="G350">
        <f>'Rocky Point'!E3</f>
        <v>2723</v>
      </c>
      <c r="H350">
        <f>'Rocky Point'!F3</f>
        <v>196</v>
      </c>
      <c r="I350">
        <f>'Rocky Point'!G3</f>
        <v>568115</v>
      </c>
      <c r="J350">
        <f>'Rocky Point'!H3</f>
        <v>54.8</v>
      </c>
      <c r="K350">
        <f>'Rocky Point'!I3</f>
        <v>1590</v>
      </c>
      <c r="L350">
        <f>'Rocky Point'!J3</f>
        <v>3879</v>
      </c>
      <c r="M350">
        <f>'Rocky Point'!K3</f>
        <v>89</v>
      </c>
      <c r="N350">
        <f>'Rocky Point'!L3</f>
        <v>367487</v>
      </c>
      <c r="O350">
        <f>'Rocky Point'!M3</f>
        <v>35.4</v>
      </c>
      <c r="P350">
        <f>'Rocky Point'!N3</f>
        <v>1041</v>
      </c>
      <c r="Q350">
        <f>'Rocky Point'!O3</f>
        <v>1</v>
      </c>
      <c r="R350">
        <f>'Rocky Point'!P3</f>
        <v>50</v>
      </c>
      <c r="S350">
        <f>'Rocky Point'!Q3</f>
        <v>53</v>
      </c>
      <c r="T350">
        <f>'Rocky Point'!R3</f>
        <v>0</v>
      </c>
      <c r="U350">
        <f>'Rocky Point'!S3</f>
        <v>1178</v>
      </c>
      <c r="V350">
        <f>'Rocky Point'!T3</f>
        <v>209</v>
      </c>
      <c r="W350">
        <f>'Rocky Point'!U3</f>
        <v>66</v>
      </c>
      <c r="X350">
        <f>'Rocky Point'!V3</f>
        <v>14683</v>
      </c>
      <c r="Y350">
        <f>'Rocky Point'!W3</f>
        <v>1.4</v>
      </c>
      <c r="Z350">
        <f>'Rocky Point'!X3</f>
        <v>1250</v>
      </c>
      <c r="AA350">
        <f>'Rocky Point'!Y3</f>
        <v>3</v>
      </c>
      <c r="AB350">
        <f>'Rocky Point'!Z3</f>
        <v>50</v>
      </c>
      <c r="AC350">
        <f>'Rocky Point'!AA3</f>
        <v>160</v>
      </c>
      <c r="AD350">
        <f>'Rocky Point'!AB3</f>
        <v>0</v>
      </c>
      <c r="AE350">
        <f>'Rocky Point'!AC3</f>
        <v>1454</v>
      </c>
      <c r="AF350">
        <f>'Rocky Point'!AD3</f>
        <v>141</v>
      </c>
      <c r="AG350">
        <f>'Rocky Point'!AE3</f>
        <v>50</v>
      </c>
      <c r="AH350">
        <f>'Rocky Point'!AF3</f>
        <v>7504</v>
      </c>
      <c r="AI350">
        <f>'Rocky Point'!AG3</f>
        <v>0.7</v>
      </c>
      <c r="AJ350">
        <f>'Rocky Point'!AH3</f>
        <v>1512</v>
      </c>
      <c r="AK350">
        <f>'Rocky Point'!AI3</f>
        <v>1103</v>
      </c>
      <c r="AL350">
        <f>'Rocky Point'!AJ3</f>
        <v>66</v>
      </c>
      <c r="AM350">
        <f>'Rocky Point'!AK3</f>
        <v>77491</v>
      </c>
      <c r="AN350">
        <f>'Rocky Point'!AL3</f>
        <v>7.5</v>
      </c>
      <c r="AO350">
        <f>'Rocky Point'!AM3</f>
        <v>1598</v>
      </c>
      <c r="AP350">
        <f>'Rocky Point'!AN3</f>
        <v>39</v>
      </c>
      <c r="AQ350">
        <f>'Rocky Point'!AO3</f>
        <v>50</v>
      </c>
      <c r="AR350">
        <f>'Rocky Point'!AP3</f>
        <v>2076</v>
      </c>
      <c r="AS350">
        <f>'Rocky Point'!AQ3</f>
        <v>0.2</v>
      </c>
      <c r="AT350">
        <f>'Rocky Point'!AR3</f>
        <v>1700</v>
      </c>
      <c r="AU350">
        <f>'Rocky Point'!AS3</f>
        <v>1</v>
      </c>
      <c r="AV350">
        <f>'Rocky Point'!AT3</f>
        <v>50</v>
      </c>
      <c r="AW350">
        <f>'Rocky Point'!AU3</f>
        <v>53</v>
      </c>
      <c r="AX350">
        <f>'Rocky Point'!AV3</f>
        <v>0</v>
      </c>
    </row>
    <row r="351" spans="1:50">
      <c r="A351" t="str">
        <f>'Rocky Point'!A4</f>
        <v>/Users/z2134519/Documents/python/data/bushfire Raman/Rocky Point swamp/RP_M 1.5 (2)</v>
      </c>
      <c r="B351" t="s">
        <v>855</v>
      </c>
      <c r="C351">
        <v>1.5</v>
      </c>
      <c r="D351" t="str">
        <f>'Rocky Point'!B4</f>
        <v>5.52 counts</v>
      </c>
      <c r="E351">
        <f>'Rocky Point'!C4</f>
        <v>0.989205</v>
      </c>
      <c r="F351">
        <f>'Rocky Point'!D4</f>
        <v>1365</v>
      </c>
      <c r="G351">
        <f>'Rocky Point'!E4</f>
        <v>3931</v>
      </c>
      <c r="H351">
        <f>'Rocky Point'!F4</f>
        <v>198</v>
      </c>
      <c r="I351">
        <f>'Rocky Point'!G4</f>
        <v>828515</v>
      </c>
      <c r="J351">
        <f>'Rocky Point'!H4</f>
        <v>46.8</v>
      </c>
      <c r="K351">
        <f>'Rocky Point'!I4</f>
        <v>1588</v>
      </c>
      <c r="L351">
        <f>'Rocky Point'!J4</f>
        <v>4617</v>
      </c>
      <c r="M351">
        <f>'Rocky Point'!K4</f>
        <v>139</v>
      </c>
      <c r="N351">
        <f>'Rocky Point'!L4</f>
        <v>683136</v>
      </c>
      <c r="O351">
        <f>'Rocky Point'!M4</f>
        <v>38.6</v>
      </c>
      <c r="P351">
        <f>'Rocky Point'!N4</f>
        <v>1073</v>
      </c>
      <c r="Q351">
        <f>'Rocky Point'!O4</f>
        <v>375</v>
      </c>
      <c r="R351">
        <f>'Rocky Point'!P4</f>
        <v>148</v>
      </c>
      <c r="S351">
        <f>'Rocky Point'!Q4</f>
        <v>59078</v>
      </c>
      <c r="T351">
        <f>'Rocky Point'!R4</f>
        <v>3.3</v>
      </c>
      <c r="U351">
        <f>'Rocky Point'!S4</f>
        <v>1186</v>
      </c>
      <c r="V351">
        <f>'Rocky Point'!T4</f>
        <v>845</v>
      </c>
      <c r="W351">
        <f>'Rocky Point'!U4</f>
        <v>118</v>
      </c>
      <c r="X351">
        <f>'Rocky Point'!V4</f>
        <v>106138</v>
      </c>
      <c r="Y351">
        <f>'Rocky Point'!W4</f>
        <v>6</v>
      </c>
      <c r="Z351">
        <f>'Rocky Point'!X4</f>
        <v>1264</v>
      </c>
      <c r="AA351">
        <f>'Rocky Point'!Y4</f>
        <v>79</v>
      </c>
      <c r="AB351">
        <f>'Rocky Point'!Z4</f>
        <v>50</v>
      </c>
      <c r="AC351">
        <f>'Rocky Point'!AA4</f>
        <v>4205</v>
      </c>
      <c r="AD351">
        <f>'Rocky Point'!AB4</f>
        <v>0.2</v>
      </c>
      <c r="AE351">
        <f>'Rocky Point'!AC4</f>
        <v>1454</v>
      </c>
      <c r="AF351">
        <f>'Rocky Point'!AD4</f>
        <v>319</v>
      </c>
      <c r="AG351">
        <f>'Rocky Point'!AE4</f>
        <v>50</v>
      </c>
      <c r="AH351">
        <f>'Rocky Point'!AF4</f>
        <v>16978</v>
      </c>
      <c r="AI351">
        <f>'Rocky Point'!AG4</f>
        <v>1</v>
      </c>
      <c r="AJ351">
        <f>'Rocky Point'!AH4</f>
        <v>1492</v>
      </c>
      <c r="AK351">
        <f>'Rocky Point'!AI4</f>
        <v>403</v>
      </c>
      <c r="AL351">
        <f>'Rocky Point'!AJ4</f>
        <v>50</v>
      </c>
      <c r="AM351">
        <f>'Rocky Point'!AK4</f>
        <v>21449</v>
      </c>
      <c r="AN351">
        <f>'Rocky Point'!AL4</f>
        <v>1.2</v>
      </c>
      <c r="AO351">
        <f>'Rocky Point'!AM4</f>
        <v>1590</v>
      </c>
      <c r="AP351">
        <f>'Rocky Point'!AN4</f>
        <v>227</v>
      </c>
      <c r="AQ351">
        <f>'Rocky Point'!AO4</f>
        <v>50</v>
      </c>
      <c r="AR351">
        <f>'Rocky Point'!AP4</f>
        <v>12082</v>
      </c>
      <c r="AS351">
        <f>'Rocky Point'!AQ4</f>
        <v>0.7</v>
      </c>
      <c r="AT351">
        <f>'Rocky Point'!AR4</f>
        <v>1748</v>
      </c>
      <c r="AU351">
        <f>'Rocky Point'!AS4</f>
        <v>489</v>
      </c>
      <c r="AV351">
        <f>'Rocky Point'!AT4</f>
        <v>74</v>
      </c>
      <c r="AW351">
        <f>'Rocky Point'!AU4</f>
        <v>38519</v>
      </c>
      <c r="AX351">
        <f>'Rocky Point'!AV4</f>
        <v>2.2000000000000002</v>
      </c>
    </row>
    <row r="352" spans="1:50">
      <c r="A352" t="str">
        <f>'Rocky Point'!A5</f>
        <v>/Users/z2134519/Documents/python/data/bushfire Raman/Rocky Point swamp/RP_M 1(2) BL</v>
      </c>
      <c r="B352" t="s">
        <v>855</v>
      </c>
      <c r="C352">
        <v>1</v>
      </c>
      <c r="D352" t="str">
        <f>'Rocky Point'!B5</f>
        <v>11.19 counts</v>
      </c>
      <c r="E352">
        <f>'Rocky Point'!C5</f>
        <v>0.99743800000000005</v>
      </c>
      <c r="F352">
        <f>'Rocky Point'!D5</f>
        <v>1367</v>
      </c>
      <c r="G352">
        <f>'Rocky Point'!E5</f>
        <v>14845</v>
      </c>
      <c r="H352">
        <f>'Rocky Point'!F5</f>
        <v>198</v>
      </c>
      <c r="I352">
        <f>'Rocky Point'!G5</f>
        <v>3128799</v>
      </c>
      <c r="J352">
        <f>'Rocky Point'!H5</f>
        <v>53.1</v>
      </c>
      <c r="K352">
        <f>'Rocky Point'!I5</f>
        <v>1588</v>
      </c>
      <c r="L352">
        <f>'Rocky Point'!J5</f>
        <v>19185</v>
      </c>
      <c r="M352">
        <f>'Rocky Point'!K5</f>
        <v>107</v>
      </c>
      <c r="N352">
        <f>'Rocky Point'!L5</f>
        <v>2185133</v>
      </c>
      <c r="O352">
        <f>'Rocky Point'!M5</f>
        <v>37.1</v>
      </c>
      <c r="P352">
        <f>'Rocky Point'!N5</f>
        <v>1073</v>
      </c>
      <c r="Q352">
        <f>'Rocky Point'!O5</f>
        <v>1</v>
      </c>
      <c r="R352">
        <f>'Rocky Point'!P5</f>
        <v>50</v>
      </c>
      <c r="S352">
        <f>'Rocky Point'!Q5</f>
        <v>53</v>
      </c>
      <c r="T352">
        <f>'Rocky Point'!R5</f>
        <v>0</v>
      </c>
      <c r="U352">
        <f>'Rocky Point'!S5</f>
        <v>1184</v>
      </c>
      <c r="V352">
        <f>'Rocky Point'!T5</f>
        <v>1321</v>
      </c>
      <c r="W352">
        <f>'Rocky Point'!U5</f>
        <v>84</v>
      </c>
      <c r="X352">
        <f>'Rocky Point'!V5</f>
        <v>118118</v>
      </c>
      <c r="Y352">
        <f>'Rocky Point'!W5</f>
        <v>2</v>
      </c>
      <c r="Z352">
        <f>'Rocky Point'!X5</f>
        <v>1250</v>
      </c>
      <c r="AA352">
        <f>'Rocky Point'!Y5</f>
        <v>143</v>
      </c>
      <c r="AB352">
        <f>'Rocky Point'!Z5</f>
        <v>50</v>
      </c>
      <c r="AC352">
        <f>'Rocky Point'!AA5</f>
        <v>7611</v>
      </c>
      <c r="AD352">
        <f>'Rocky Point'!AB5</f>
        <v>0.1</v>
      </c>
      <c r="AE352">
        <f>'Rocky Point'!AC5</f>
        <v>1458</v>
      </c>
      <c r="AF352">
        <f>'Rocky Point'!AD5</f>
        <v>1643</v>
      </c>
      <c r="AG352">
        <f>'Rocky Point'!AE5</f>
        <v>50</v>
      </c>
      <c r="AH352">
        <f>'Rocky Point'!AF5</f>
        <v>87446</v>
      </c>
      <c r="AI352">
        <f>'Rocky Point'!AG5</f>
        <v>1.5</v>
      </c>
      <c r="AJ352">
        <f>'Rocky Point'!AH5</f>
        <v>1502</v>
      </c>
      <c r="AK352">
        <f>'Rocky Point'!AI5</f>
        <v>3765</v>
      </c>
      <c r="AL352">
        <f>'Rocky Point'!AJ5</f>
        <v>60</v>
      </c>
      <c r="AM352">
        <f>'Rocky Point'!AK5</f>
        <v>240463</v>
      </c>
      <c r="AN352">
        <f>'Rocky Point'!AL5</f>
        <v>4.0999999999999996</v>
      </c>
      <c r="AO352">
        <f>'Rocky Point'!AM5</f>
        <v>1594</v>
      </c>
      <c r="AP352">
        <f>'Rocky Point'!AN5</f>
        <v>1389</v>
      </c>
      <c r="AQ352">
        <f>'Rocky Point'!AO5</f>
        <v>50</v>
      </c>
      <c r="AR352">
        <f>'Rocky Point'!AP5</f>
        <v>73927</v>
      </c>
      <c r="AS352">
        <f>'Rocky Point'!AQ5</f>
        <v>1.3</v>
      </c>
      <c r="AT352">
        <f>'Rocky Point'!AR5</f>
        <v>1712</v>
      </c>
      <c r="AU352">
        <f>'Rocky Point'!AS5</f>
        <v>867</v>
      </c>
      <c r="AV352">
        <f>'Rocky Point'!AT5</f>
        <v>56</v>
      </c>
      <c r="AW352">
        <f>'Rocky Point'!AU5</f>
        <v>51682</v>
      </c>
      <c r="AX352">
        <f>'Rocky Point'!AV5</f>
        <v>0.9</v>
      </c>
    </row>
    <row r="353" spans="1:50">
      <c r="A353" t="str">
        <f>'Rocky Point'!A6</f>
        <v>/Users/z2134519/Documents/python/data/bushfire Raman/Rocky Point swamp/RP_M 1BL</v>
      </c>
      <c r="B353" t="s">
        <v>855</v>
      </c>
      <c r="C353">
        <v>1</v>
      </c>
      <c r="D353" t="str">
        <f>'Rocky Point'!B6</f>
        <v>13.87 counts</v>
      </c>
      <c r="E353">
        <f>'Rocky Point'!C6</f>
        <v>0.99281399999999997</v>
      </c>
      <c r="F353">
        <f>'Rocky Point'!D6</f>
        <v>1367</v>
      </c>
      <c r="G353">
        <f>'Rocky Point'!E6</f>
        <v>11421</v>
      </c>
      <c r="H353">
        <f>'Rocky Point'!F6</f>
        <v>196</v>
      </c>
      <c r="I353">
        <f>'Rocky Point'!G6</f>
        <v>2382827</v>
      </c>
      <c r="J353">
        <f>'Rocky Point'!H6</f>
        <v>53.3</v>
      </c>
      <c r="K353">
        <f>'Rocky Point'!I6</f>
        <v>1588</v>
      </c>
      <c r="L353">
        <f>'Rocky Point'!J6</f>
        <v>14467</v>
      </c>
      <c r="M353">
        <f>'Rocky Point'!K6</f>
        <v>107</v>
      </c>
      <c r="N353">
        <f>'Rocky Point'!L6</f>
        <v>1647762</v>
      </c>
      <c r="O353">
        <f>'Rocky Point'!M6</f>
        <v>36.799999999999997</v>
      </c>
      <c r="P353">
        <f>'Rocky Point'!N6</f>
        <v>1029</v>
      </c>
      <c r="Q353">
        <f>'Rocky Point'!O6</f>
        <v>21</v>
      </c>
      <c r="R353">
        <f>'Rocky Point'!P6</f>
        <v>50</v>
      </c>
      <c r="S353">
        <f>'Rocky Point'!Q6</f>
        <v>1118</v>
      </c>
      <c r="T353">
        <f>'Rocky Point'!R6</f>
        <v>0</v>
      </c>
      <c r="U353">
        <f>'Rocky Point'!S6</f>
        <v>1166</v>
      </c>
      <c r="V353">
        <f>'Rocky Point'!T6</f>
        <v>1629</v>
      </c>
      <c r="W353">
        <f>'Rocky Point'!U6</f>
        <v>68</v>
      </c>
      <c r="X353">
        <f>'Rocky Point'!V6</f>
        <v>117913</v>
      </c>
      <c r="Y353">
        <f>'Rocky Point'!W6</f>
        <v>2.6</v>
      </c>
      <c r="Z353">
        <f>'Rocky Point'!X6</f>
        <v>1250</v>
      </c>
      <c r="AA353">
        <f>'Rocky Point'!Y6</f>
        <v>89</v>
      </c>
      <c r="AB353">
        <f>'Rocky Point'!Z6</f>
        <v>66</v>
      </c>
      <c r="AC353">
        <f>'Rocky Point'!AA6</f>
        <v>6253</v>
      </c>
      <c r="AD353">
        <f>'Rocky Point'!AB6</f>
        <v>0.1</v>
      </c>
      <c r="AE353">
        <f>'Rocky Point'!AC6</f>
        <v>1458</v>
      </c>
      <c r="AF353">
        <f>'Rocky Point'!AD6</f>
        <v>993</v>
      </c>
      <c r="AG353">
        <f>'Rocky Point'!AE6</f>
        <v>50</v>
      </c>
      <c r="AH353">
        <f>'Rocky Point'!AF6</f>
        <v>52851</v>
      </c>
      <c r="AI353">
        <f>'Rocky Point'!AG6</f>
        <v>1.2</v>
      </c>
      <c r="AJ353">
        <f>'Rocky Point'!AH6</f>
        <v>1498</v>
      </c>
      <c r="AK353">
        <f>'Rocky Point'!AI6</f>
        <v>2959</v>
      </c>
      <c r="AL353">
        <f>'Rocky Point'!AJ6</f>
        <v>56</v>
      </c>
      <c r="AM353">
        <f>'Rocky Point'!AK6</f>
        <v>176386</v>
      </c>
      <c r="AN353">
        <f>'Rocky Point'!AL6</f>
        <v>3.9</v>
      </c>
      <c r="AO353">
        <f>'Rocky Point'!AM6</f>
        <v>1592</v>
      </c>
      <c r="AP353">
        <f>'Rocky Point'!AN6</f>
        <v>1093</v>
      </c>
      <c r="AQ353">
        <f>'Rocky Point'!AO6</f>
        <v>50</v>
      </c>
      <c r="AR353">
        <f>'Rocky Point'!AP6</f>
        <v>58173</v>
      </c>
      <c r="AS353">
        <f>'Rocky Point'!AQ6</f>
        <v>1.3</v>
      </c>
      <c r="AT353">
        <f>'Rocky Point'!AR6</f>
        <v>1712</v>
      </c>
      <c r="AU353">
        <f>'Rocky Point'!AS6</f>
        <v>543</v>
      </c>
      <c r="AV353">
        <f>'Rocky Point'!AT6</f>
        <v>50</v>
      </c>
      <c r="AW353">
        <f>'Rocky Point'!AU6</f>
        <v>28900</v>
      </c>
      <c r="AX353">
        <f>'Rocky Point'!AV6</f>
        <v>0.6</v>
      </c>
    </row>
    <row r="354" spans="1:50">
      <c r="A354" t="str">
        <f>'Rocky Point'!A7</f>
        <v>/Users/z2134519/Documents/python/data/bushfire Raman/Rocky Point swamp/RP_M 2(2) BL</v>
      </c>
      <c r="B354" t="s">
        <v>855</v>
      </c>
      <c r="C354">
        <v>2</v>
      </c>
      <c r="D354" t="str">
        <f>'Rocky Point'!B7</f>
        <v>9.33 counts</v>
      </c>
      <c r="E354">
        <f>'Rocky Point'!C7</f>
        <v>0.99245399999999995</v>
      </c>
      <c r="F354">
        <f>'Rocky Point'!D7</f>
        <v>1369</v>
      </c>
      <c r="G354">
        <f>'Rocky Point'!E7</f>
        <v>6265</v>
      </c>
      <c r="H354">
        <f>'Rocky Point'!F7</f>
        <v>198</v>
      </c>
      <c r="I354">
        <f>'Rocky Point'!G7</f>
        <v>1320439</v>
      </c>
      <c r="J354">
        <f>'Rocky Point'!H7</f>
        <v>49.6</v>
      </c>
      <c r="K354">
        <f>'Rocky Point'!I7</f>
        <v>1586</v>
      </c>
      <c r="L354">
        <f>'Rocky Point'!J7</f>
        <v>10201</v>
      </c>
      <c r="M354">
        <f>'Rocky Point'!K7</f>
        <v>99</v>
      </c>
      <c r="N354">
        <f>'Rocky Point'!L7</f>
        <v>1075004</v>
      </c>
      <c r="O354">
        <f>'Rocky Point'!M7</f>
        <v>40.4</v>
      </c>
      <c r="P354">
        <f>'Rocky Point'!N7</f>
        <v>1011</v>
      </c>
      <c r="Q354">
        <f>'Rocky Point'!O7</f>
        <v>1</v>
      </c>
      <c r="R354">
        <f>'Rocky Point'!P7</f>
        <v>50</v>
      </c>
      <c r="S354">
        <f>'Rocky Point'!Q7</f>
        <v>53</v>
      </c>
      <c r="T354">
        <f>'Rocky Point'!R7</f>
        <v>0</v>
      </c>
      <c r="U354">
        <f>'Rocky Point'!S7</f>
        <v>1192</v>
      </c>
      <c r="V354">
        <f>'Rocky Point'!T7</f>
        <v>809</v>
      </c>
      <c r="W354">
        <f>'Rocky Point'!U7</f>
        <v>98</v>
      </c>
      <c r="X354">
        <f>'Rocky Point'!V7</f>
        <v>84393</v>
      </c>
      <c r="Y354">
        <f>'Rocky Point'!W7</f>
        <v>3.2</v>
      </c>
      <c r="Z354">
        <f>'Rocky Point'!X7</f>
        <v>1254</v>
      </c>
      <c r="AA354">
        <f>'Rocky Point'!Y7</f>
        <v>89</v>
      </c>
      <c r="AB354">
        <f>'Rocky Point'!Z7</f>
        <v>50</v>
      </c>
      <c r="AC354">
        <f>'Rocky Point'!AA7</f>
        <v>4737</v>
      </c>
      <c r="AD354">
        <f>'Rocky Point'!AB7</f>
        <v>0.2</v>
      </c>
      <c r="AE354">
        <f>'Rocky Point'!AC7</f>
        <v>1458</v>
      </c>
      <c r="AF354">
        <f>'Rocky Point'!AD7</f>
        <v>689</v>
      </c>
      <c r="AG354">
        <f>'Rocky Point'!AE7</f>
        <v>62</v>
      </c>
      <c r="AH354">
        <f>'Rocky Point'!AF7</f>
        <v>45472</v>
      </c>
      <c r="AI354">
        <f>'Rocky Point'!AG7</f>
        <v>1.7</v>
      </c>
      <c r="AJ354">
        <f>'Rocky Point'!AH7</f>
        <v>1508</v>
      </c>
      <c r="AK354">
        <f>'Rocky Point'!AI7</f>
        <v>1425</v>
      </c>
      <c r="AL354">
        <f>'Rocky Point'!AJ7</f>
        <v>60</v>
      </c>
      <c r="AM354">
        <f>'Rocky Point'!AK7</f>
        <v>91012</v>
      </c>
      <c r="AN354">
        <f>'Rocky Point'!AL7</f>
        <v>3.4</v>
      </c>
      <c r="AO354">
        <f>'Rocky Point'!AM7</f>
        <v>1596</v>
      </c>
      <c r="AP354">
        <f>'Rocky Point'!AN7</f>
        <v>593</v>
      </c>
      <c r="AQ354">
        <f>'Rocky Point'!AO7</f>
        <v>50</v>
      </c>
      <c r="AR354">
        <f>'Rocky Point'!AP7</f>
        <v>31561</v>
      </c>
      <c r="AS354">
        <f>'Rocky Point'!AQ7</f>
        <v>1.2</v>
      </c>
      <c r="AT354">
        <f>'Rocky Point'!AR7</f>
        <v>1700</v>
      </c>
      <c r="AU354">
        <f>'Rocky Point'!AS7</f>
        <v>183</v>
      </c>
      <c r="AV354">
        <f>'Rocky Point'!AT7</f>
        <v>50</v>
      </c>
      <c r="AW354">
        <f>'Rocky Point'!AU7</f>
        <v>9740</v>
      </c>
      <c r="AX354">
        <f>'Rocky Point'!AV7</f>
        <v>0.4</v>
      </c>
    </row>
    <row r="355" spans="1:50">
      <c r="A355" t="str">
        <f>'Rocky Point'!A8</f>
        <v>/Users/z2134519/Documents/python/data/bushfire Raman/Rocky Point swamp/RP_M 5.5 (1)</v>
      </c>
      <c r="B355" t="s">
        <v>855</v>
      </c>
      <c r="C355">
        <v>5.5</v>
      </c>
      <c r="D355" t="str">
        <f>'Rocky Point'!B8</f>
        <v>19.61 counts</v>
      </c>
      <c r="E355">
        <f>'Rocky Point'!C8</f>
        <v>0.93030900000000005</v>
      </c>
      <c r="F355">
        <f>'Rocky Point'!D8</f>
        <v>1335</v>
      </c>
      <c r="G355">
        <f>'Rocky Point'!E8</f>
        <v>1723</v>
      </c>
      <c r="H355">
        <f>'Rocky Point'!F8</f>
        <v>100</v>
      </c>
      <c r="I355">
        <f>'Rocky Point'!G8</f>
        <v>183408</v>
      </c>
      <c r="J355">
        <f>'Rocky Point'!H8</f>
        <v>16.3</v>
      </c>
      <c r="K355">
        <f>'Rocky Point'!I8</f>
        <v>1592</v>
      </c>
      <c r="L355">
        <f>'Rocky Point'!J8</f>
        <v>9455</v>
      </c>
      <c r="M355">
        <f>'Rocky Point'!K8</f>
        <v>79</v>
      </c>
      <c r="N355">
        <f>'Rocky Point'!L8</f>
        <v>795098</v>
      </c>
      <c r="O355">
        <f>'Rocky Point'!M8</f>
        <v>70.8</v>
      </c>
      <c r="P355">
        <f>'Rocky Point'!N8</f>
        <v>1013</v>
      </c>
      <c r="Q355">
        <f>'Rocky Point'!O8</f>
        <v>415</v>
      </c>
      <c r="R355">
        <f>'Rocky Point'!P8</f>
        <v>50</v>
      </c>
      <c r="S355">
        <f>'Rocky Point'!Q8</f>
        <v>22088</v>
      </c>
      <c r="T355">
        <f>'Rocky Point'!R8</f>
        <v>2</v>
      </c>
      <c r="U355">
        <f>'Rocky Point'!S8</f>
        <v>1160</v>
      </c>
      <c r="V355">
        <f>'Rocky Point'!T8</f>
        <v>1201</v>
      </c>
      <c r="W355">
        <f>'Rocky Point'!U8</f>
        <v>52</v>
      </c>
      <c r="X355">
        <f>'Rocky Point'!V8</f>
        <v>66478</v>
      </c>
      <c r="Y355">
        <f>'Rocky Point'!W8</f>
        <v>5.9</v>
      </c>
      <c r="Z355">
        <f>'Rocky Point'!X8</f>
        <v>1298</v>
      </c>
      <c r="AA355">
        <f>'Rocky Point'!Y8</f>
        <v>1</v>
      </c>
      <c r="AB355">
        <f>'Rocky Point'!Z8</f>
        <v>50</v>
      </c>
      <c r="AC355">
        <f>'Rocky Point'!AA8</f>
        <v>53</v>
      </c>
      <c r="AD355">
        <f>'Rocky Point'!AB8</f>
        <v>0</v>
      </c>
      <c r="AE355">
        <f>'Rocky Point'!AC8</f>
        <v>1400</v>
      </c>
      <c r="AF355">
        <f>'Rocky Point'!AD8</f>
        <v>1</v>
      </c>
      <c r="AG355">
        <f>'Rocky Point'!AE8</f>
        <v>50</v>
      </c>
      <c r="AH355">
        <f>'Rocky Point'!AF8</f>
        <v>53</v>
      </c>
      <c r="AI355">
        <f>'Rocky Point'!AG8</f>
        <v>0</v>
      </c>
      <c r="AJ355">
        <f>'Rocky Point'!AH8</f>
        <v>1532</v>
      </c>
      <c r="AK355">
        <f>'Rocky Point'!AI8</f>
        <v>909</v>
      </c>
      <c r="AL355">
        <f>'Rocky Point'!AJ8</f>
        <v>50</v>
      </c>
      <c r="AM355">
        <f>'Rocky Point'!AK8</f>
        <v>48380</v>
      </c>
      <c r="AN355">
        <f>'Rocky Point'!AL8</f>
        <v>4.3</v>
      </c>
      <c r="AO355">
        <f>'Rocky Point'!AM8</f>
        <v>1598</v>
      </c>
      <c r="AP355">
        <f>'Rocky Point'!AN8</f>
        <v>125</v>
      </c>
      <c r="AQ355">
        <f>'Rocky Point'!AO8</f>
        <v>50</v>
      </c>
      <c r="AR355">
        <f>'Rocky Point'!AP8</f>
        <v>6653</v>
      </c>
      <c r="AS355">
        <f>'Rocky Point'!AQ8</f>
        <v>0.6</v>
      </c>
      <c r="AT355">
        <f>'Rocky Point'!AR8</f>
        <v>1724</v>
      </c>
      <c r="AU355">
        <f>'Rocky Point'!AS8</f>
        <v>1</v>
      </c>
      <c r="AV355">
        <f>'Rocky Point'!AT8</f>
        <v>50</v>
      </c>
      <c r="AW355">
        <f>'Rocky Point'!AU8</f>
        <v>53</v>
      </c>
      <c r="AX355">
        <f>'Rocky Point'!AV8</f>
        <v>0</v>
      </c>
    </row>
    <row r="356" spans="1:50">
      <c r="A356" t="str">
        <f>'Rocky Point'!A9</f>
        <v>/Users/z2134519/Documents/python/data/bushfire Raman/Rocky Point swamp/RP_M 5.5 (2) BL</v>
      </c>
      <c r="B356" t="s">
        <v>855</v>
      </c>
      <c r="C356">
        <v>5.5</v>
      </c>
      <c r="D356" t="str">
        <f>'Rocky Point'!B9</f>
        <v>14.99 counts</v>
      </c>
      <c r="E356">
        <f>'Rocky Point'!C9</f>
        <v>0.96193799999999996</v>
      </c>
      <c r="F356">
        <f>'Rocky Point'!D9</f>
        <v>1339</v>
      </c>
      <c r="G356">
        <f>'Rocky Point'!E9</f>
        <v>3731</v>
      </c>
      <c r="H356">
        <f>'Rocky Point'!F9</f>
        <v>100</v>
      </c>
      <c r="I356">
        <f>'Rocky Point'!G9</f>
        <v>397153</v>
      </c>
      <c r="J356">
        <f>'Rocky Point'!H9</f>
        <v>34.200000000000003</v>
      </c>
      <c r="K356">
        <f>'Rocky Point'!I9</f>
        <v>1594</v>
      </c>
      <c r="L356">
        <f>'Rocky Point'!J9</f>
        <v>9633</v>
      </c>
      <c r="M356">
        <f>'Rocky Point'!K9</f>
        <v>69</v>
      </c>
      <c r="N356">
        <f>'Rocky Point'!L9</f>
        <v>707527</v>
      </c>
      <c r="O356">
        <f>'Rocky Point'!M9</f>
        <v>61</v>
      </c>
      <c r="P356">
        <f>'Rocky Point'!N9</f>
        <v>1073</v>
      </c>
      <c r="Q356">
        <f>'Rocky Point'!O9</f>
        <v>103</v>
      </c>
      <c r="R356">
        <f>'Rocky Point'!P9</f>
        <v>74</v>
      </c>
      <c r="S356">
        <f>'Rocky Point'!Q9</f>
        <v>8113</v>
      </c>
      <c r="T356">
        <f>'Rocky Point'!R9</f>
        <v>0.7</v>
      </c>
      <c r="U356">
        <f>'Rocky Point'!S9</f>
        <v>1150</v>
      </c>
      <c r="V356">
        <f>'Rocky Point'!T9</f>
        <v>459</v>
      </c>
      <c r="W356">
        <f>'Rocky Point'!U9</f>
        <v>60</v>
      </c>
      <c r="X356">
        <f>'Rocky Point'!V9</f>
        <v>29315</v>
      </c>
      <c r="Y356">
        <f>'Rocky Point'!W9</f>
        <v>2.5</v>
      </c>
      <c r="Z356">
        <f>'Rocky Point'!X9</f>
        <v>1298</v>
      </c>
      <c r="AA356">
        <f>'Rocky Point'!Y9</f>
        <v>1</v>
      </c>
      <c r="AB356">
        <f>'Rocky Point'!Z9</f>
        <v>50</v>
      </c>
      <c r="AC356">
        <f>'Rocky Point'!AA9</f>
        <v>53</v>
      </c>
      <c r="AD356">
        <f>'Rocky Point'!AB9</f>
        <v>0</v>
      </c>
      <c r="AE356">
        <f>'Rocky Point'!AC9</f>
        <v>1400</v>
      </c>
      <c r="AF356">
        <f>'Rocky Point'!AD9</f>
        <v>1</v>
      </c>
      <c r="AG356">
        <f>'Rocky Point'!AE9</f>
        <v>50</v>
      </c>
      <c r="AH356">
        <f>'Rocky Point'!AF9</f>
        <v>53</v>
      </c>
      <c r="AI356">
        <f>'Rocky Point'!AG9</f>
        <v>0</v>
      </c>
      <c r="AJ356">
        <f>'Rocky Point'!AH9</f>
        <v>1542</v>
      </c>
      <c r="AK356">
        <f>'Rocky Point'!AI9</f>
        <v>233</v>
      </c>
      <c r="AL356">
        <f>'Rocky Point'!AJ9</f>
        <v>50</v>
      </c>
      <c r="AM356">
        <f>'Rocky Point'!AK9</f>
        <v>12401</v>
      </c>
      <c r="AN356">
        <f>'Rocky Point'!AL9</f>
        <v>1.1000000000000001</v>
      </c>
      <c r="AO356">
        <f>'Rocky Point'!AM9</f>
        <v>1598</v>
      </c>
      <c r="AP356">
        <f>'Rocky Point'!AN9</f>
        <v>101</v>
      </c>
      <c r="AQ356">
        <f>'Rocky Point'!AO9</f>
        <v>50</v>
      </c>
      <c r="AR356">
        <f>'Rocky Point'!AP9</f>
        <v>5376</v>
      </c>
      <c r="AS356">
        <f>'Rocky Point'!AQ9</f>
        <v>0.5</v>
      </c>
      <c r="AT356">
        <f>'Rocky Point'!AR9</f>
        <v>1748</v>
      </c>
      <c r="AU356">
        <f>'Rocky Point'!AS9</f>
        <v>1</v>
      </c>
      <c r="AV356">
        <f>'Rocky Point'!AT9</f>
        <v>50</v>
      </c>
      <c r="AW356">
        <f>'Rocky Point'!AU9</f>
        <v>53</v>
      </c>
      <c r="AX356">
        <f>'Rocky Point'!AV9</f>
        <v>0</v>
      </c>
    </row>
    <row r="357" spans="1:50">
      <c r="A357" t="str">
        <f>'Rocky Point'!A10</f>
        <v>/Users/z2134519/Documents/python/data/bushfire Raman/Rocky Point swamp/RP_M 5.5 (3) BL</v>
      </c>
      <c r="B357" t="s">
        <v>855</v>
      </c>
      <c r="C357">
        <v>5.5</v>
      </c>
      <c r="D357" t="str">
        <f>'Rocky Point'!B10</f>
        <v>6.93 counts</v>
      </c>
      <c r="E357">
        <f>'Rocky Point'!C10</f>
        <v>0.96029200000000003</v>
      </c>
      <c r="F357">
        <f>'Rocky Point'!D10</f>
        <v>1347</v>
      </c>
      <c r="G357">
        <f>'Rocky Point'!E10</f>
        <v>387</v>
      </c>
      <c r="H357">
        <f>'Rocky Point'!F10</f>
        <v>100</v>
      </c>
      <c r="I357">
        <f>'Rocky Point'!G10</f>
        <v>41195</v>
      </c>
      <c r="J357">
        <f>'Rocky Point'!H10</f>
        <v>9.9</v>
      </c>
      <c r="K357">
        <f>'Rocky Point'!I10</f>
        <v>1592</v>
      </c>
      <c r="L357">
        <f>'Rocky Point'!J10</f>
        <v>4271</v>
      </c>
      <c r="M357">
        <f>'Rocky Point'!K10</f>
        <v>79</v>
      </c>
      <c r="N357">
        <f>'Rocky Point'!L10</f>
        <v>359161</v>
      </c>
      <c r="O357">
        <f>'Rocky Point'!M10</f>
        <v>86.2</v>
      </c>
      <c r="P357">
        <f>'Rocky Point'!N10</f>
        <v>1033</v>
      </c>
      <c r="Q357">
        <f>'Rocky Point'!O10</f>
        <v>1</v>
      </c>
      <c r="R357">
        <f>'Rocky Point'!P10</f>
        <v>50</v>
      </c>
      <c r="S357">
        <f>'Rocky Point'!Q10</f>
        <v>53</v>
      </c>
      <c r="T357">
        <f>'Rocky Point'!R10</f>
        <v>0</v>
      </c>
      <c r="U357">
        <f>'Rocky Point'!S10</f>
        <v>1160</v>
      </c>
      <c r="V357">
        <f>'Rocky Point'!T10</f>
        <v>61</v>
      </c>
      <c r="W357">
        <f>'Rocky Point'!U10</f>
        <v>50</v>
      </c>
      <c r="X357">
        <f>'Rocky Point'!V10</f>
        <v>3247</v>
      </c>
      <c r="Y357">
        <f>'Rocky Point'!W10</f>
        <v>0.8</v>
      </c>
      <c r="Z357">
        <f>'Rocky Point'!X10</f>
        <v>1298</v>
      </c>
      <c r="AA357">
        <f>'Rocky Point'!Y10</f>
        <v>1</v>
      </c>
      <c r="AB357">
        <f>'Rocky Point'!Z10</f>
        <v>50</v>
      </c>
      <c r="AC357">
        <f>'Rocky Point'!AA10</f>
        <v>53</v>
      </c>
      <c r="AD357">
        <f>'Rocky Point'!AB10</f>
        <v>0</v>
      </c>
      <c r="AE357">
        <f>'Rocky Point'!AC10</f>
        <v>1400</v>
      </c>
      <c r="AF357">
        <f>'Rocky Point'!AD10</f>
        <v>1</v>
      </c>
      <c r="AG357">
        <f>'Rocky Point'!AE10</f>
        <v>50</v>
      </c>
      <c r="AH357">
        <f>'Rocky Point'!AF10</f>
        <v>53</v>
      </c>
      <c r="AI357">
        <f>'Rocky Point'!AG10</f>
        <v>0</v>
      </c>
      <c r="AJ357">
        <f>'Rocky Point'!AH10</f>
        <v>1548</v>
      </c>
      <c r="AK357">
        <f>'Rocky Point'!AI10</f>
        <v>177</v>
      </c>
      <c r="AL357">
        <f>'Rocky Point'!AJ10</f>
        <v>50</v>
      </c>
      <c r="AM357">
        <f>'Rocky Point'!AK10</f>
        <v>9421</v>
      </c>
      <c r="AN357">
        <f>'Rocky Point'!AL10</f>
        <v>2.2999999999999998</v>
      </c>
      <c r="AO357">
        <f>'Rocky Point'!AM10</f>
        <v>1598</v>
      </c>
      <c r="AP357">
        <f>'Rocky Point'!AN10</f>
        <v>53</v>
      </c>
      <c r="AQ357">
        <f>'Rocky Point'!AO10</f>
        <v>50</v>
      </c>
      <c r="AR357">
        <f>'Rocky Point'!AP10</f>
        <v>2821</v>
      </c>
      <c r="AS357">
        <f>'Rocky Point'!AQ10</f>
        <v>0.7</v>
      </c>
      <c r="AT357">
        <f>'Rocky Point'!AR10</f>
        <v>1700</v>
      </c>
      <c r="AU357">
        <f>'Rocky Point'!AS10</f>
        <v>13</v>
      </c>
      <c r="AV357">
        <f>'Rocky Point'!AT10</f>
        <v>50</v>
      </c>
      <c r="AW357">
        <f>'Rocky Point'!AU10</f>
        <v>692</v>
      </c>
      <c r="AX357">
        <f>'Rocky Point'!AV10</f>
        <v>0.2</v>
      </c>
    </row>
    <row r="358" spans="1:50">
      <c r="A358" t="str">
        <f>'Rocky Point'!A11</f>
        <v>/Users/z2134519/Documents/python/data/bushfire Raman/Rocky Point swamp/RP_M 5.5 (3)</v>
      </c>
      <c r="B358" t="s">
        <v>855</v>
      </c>
      <c r="C358">
        <v>5.5</v>
      </c>
      <c r="D358" t="str">
        <f>'Rocky Point'!B11</f>
        <v>1.46 counts</v>
      </c>
      <c r="E358">
        <f>'Rocky Point'!C11</f>
        <v>2.5929999999999998E-3</v>
      </c>
      <c r="F358">
        <f>'Rocky Point'!D11</f>
        <v>1339</v>
      </c>
      <c r="G358">
        <f>'Rocky Point'!E11</f>
        <v>3</v>
      </c>
      <c r="H358">
        <f>'Rocky Point'!F11</f>
        <v>198</v>
      </c>
      <c r="I358">
        <f>'Rocky Point'!G11</f>
        <v>632</v>
      </c>
      <c r="J358">
        <f>'Rocky Point'!H11</f>
        <v>9.1</v>
      </c>
      <c r="K358">
        <f>'Rocky Point'!I11</f>
        <v>1598</v>
      </c>
      <c r="L358">
        <f>'Rocky Point'!J11</f>
        <v>11</v>
      </c>
      <c r="M358">
        <f>'Rocky Point'!K11</f>
        <v>351</v>
      </c>
      <c r="N358">
        <f>'Rocky Point'!L11</f>
        <v>4110</v>
      </c>
      <c r="O358">
        <f>'Rocky Point'!M11</f>
        <v>59.2</v>
      </c>
      <c r="P358">
        <f>'Rocky Point'!N11</f>
        <v>987</v>
      </c>
      <c r="Q358">
        <f>'Rocky Point'!O11</f>
        <v>9</v>
      </c>
      <c r="R358">
        <f>'Rocky Point'!P11</f>
        <v>98</v>
      </c>
      <c r="S358">
        <f>'Rocky Point'!Q11</f>
        <v>939</v>
      </c>
      <c r="T358">
        <f>'Rocky Point'!R11</f>
        <v>13.5</v>
      </c>
      <c r="U358">
        <f>'Rocky Point'!S11</f>
        <v>1180</v>
      </c>
      <c r="V358">
        <f>'Rocky Point'!T11</f>
        <v>5</v>
      </c>
      <c r="W358">
        <f>'Rocky Point'!U11</f>
        <v>108</v>
      </c>
      <c r="X358">
        <f>'Rocky Point'!V11</f>
        <v>575</v>
      </c>
      <c r="Y358">
        <f>'Rocky Point'!W11</f>
        <v>8.3000000000000007</v>
      </c>
      <c r="Z358">
        <f>'Rocky Point'!X11</f>
        <v>1250</v>
      </c>
      <c r="AA358">
        <f>'Rocky Point'!Y11</f>
        <v>1</v>
      </c>
      <c r="AB358">
        <f>'Rocky Point'!Z11</f>
        <v>50</v>
      </c>
      <c r="AC358">
        <f>'Rocky Point'!AA11</f>
        <v>53</v>
      </c>
      <c r="AD358">
        <f>'Rocky Point'!AB11</f>
        <v>0.8</v>
      </c>
      <c r="AE358">
        <f>'Rocky Point'!AC11</f>
        <v>1436</v>
      </c>
      <c r="AF358">
        <f>'Rocky Point'!AD11</f>
        <v>1</v>
      </c>
      <c r="AG358">
        <f>'Rocky Point'!AE11</f>
        <v>50</v>
      </c>
      <c r="AH358">
        <f>'Rocky Point'!AF11</f>
        <v>53</v>
      </c>
      <c r="AI358">
        <f>'Rocky Point'!AG11</f>
        <v>0.8</v>
      </c>
      <c r="AJ358">
        <f>'Rocky Point'!AH11</f>
        <v>1514</v>
      </c>
      <c r="AK358">
        <f>'Rocky Point'!AI11</f>
        <v>1</v>
      </c>
      <c r="AL358">
        <f>'Rocky Point'!AJ11</f>
        <v>50</v>
      </c>
      <c r="AM358">
        <f>'Rocky Point'!AK11</f>
        <v>53</v>
      </c>
      <c r="AN358">
        <f>'Rocky Point'!AL11</f>
        <v>0.8</v>
      </c>
      <c r="AO358">
        <f>'Rocky Point'!AM11</f>
        <v>1570</v>
      </c>
      <c r="AP358">
        <f>'Rocky Point'!AN11</f>
        <v>1</v>
      </c>
      <c r="AQ358">
        <f>'Rocky Point'!AO11</f>
        <v>50</v>
      </c>
      <c r="AR358">
        <f>'Rocky Point'!AP11</f>
        <v>53</v>
      </c>
      <c r="AS358">
        <f>'Rocky Point'!AQ11</f>
        <v>0.8</v>
      </c>
      <c r="AT358">
        <f>'Rocky Point'!AR11</f>
        <v>1748</v>
      </c>
      <c r="AU358">
        <f>'Rocky Point'!AS11</f>
        <v>9</v>
      </c>
      <c r="AV358">
        <f>'Rocky Point'!AT11</f>
        <v>50</v>
      </c>
      <c r="AW358">
        <f>'Rocky Point'!AU11</f>
        <v>479</v>
      </c>
      <c r="AX358">
        <f>'Rocky Point'!AV11</f>
        <v>6.9</v>
      </c>
    </row>
    <row r="359" spans="1:50">
      <c r="A359" t="str">
        <f>'Rocky Point'!A12</f>
        <v>/Users/z2134519/Documents/python/data/bushfire Raman/Rocky Point swamp/RP_M 5.5 (4)</v>
      </c>
      <c r="B359" t="s">
        <v>855</v>
      </c>
      <c r="C359">
        <v>5.5</v>
      </c>
      <c r="D359" t="str">
        <f>'Rocky Point'!B12</f>
        <v>21.83 counts</v>
      </c>
      <c r="E359">
        <f>'Rocky Point'!C12</f>
        <v>0.98026800000000003</v>
      </c>
      <c r="F359">
        <f>'Rocky Point'!D12</f>
        <v>1365</v>
      </c>
      <c r="G359">
        <f>'Rocky Point'!E12</f>
        <v>12793</v>
      </c>
      <c r="H359">
        <f>'Rocky Point'!F12</f>
        <v>196</v>
      </c>
      <c r="I359">
        <f>'Rocky Point'!G12</f>
        <v>2669074</v>
      </c>
      <c r="J359">
        <f>'Rocky Point'!H12</f>
        <v>49.2</v>
      </c>
      <c r="K359">
        <f>'Rocky Point'!I12</f>
        <v>1590</v>
      </c>
      <c r="L359">
        <f>'Rocky Point'!J12</f>
        <v>12843</v>
      </c>
      <c r="M359">
        <f>'Rocky Point'!K12</f>
        <v>139</v>
      </c>
      <c r="N359">
        <f>'Rocky Point'!L12</f>
        <v>1900262</v>
      </c>
      <c r="O359">
        <f>'Rocky Point'!M12</f>
        <v>35</v>
      </c>
      <c r="P359">
        <f>'Rocky Point'!N12</f>
        <v>1073</v>
      </c>
      <c r="Q359">
        <f>'Rocky Point'!O12</f>
        <v>1359</v>
      </c>
      <c r="R359">
        <f>'Rocky Point'!P12</f>
        <v>162</v>
      </c>
      <c r="S359">
        <f>'Rocky Point'!Q12</f>
        <v>234351</v>
      </c>
      <c r="T359">
        <f>'Rocky Point'!R12</f>
        <v>4.3</v>
      </c>
      <c r="U359">
        <f>'Rocky Point'!S12</f>
        <v>1188</v>
      </c>
      <c r="V359">
        <f>'Rocky Point'!T12</f>
        <v>2377</v>
      </c>
      <c r="W359">
        <f>'Rocky Point'!U12</f>
        <v>126</v>
      </c>
      <c r="X359">
        <f>'Rocky Point'!V12</f>
        <v>318810</v>
      </c>
      <c r="Y359">
        <f>'Rocky Point'!W12</f>
        <v>5.9</v>
      </c>
      <c r="Z359">
        <f>'Rocky Point'!X12</f>
        <v>1280</v>
      </c>
      <c r="AA359">
        <f>'Rocky Point'!Y12</f>
        <v>163</v>
      </c>
      <c r="AB359">
        <f>'Rocky Point'!Z12</f>
        <v>50</v>
      </c>
      <c r="AC359">
        <f>'Rocky Point'!AA12</f>
        <v>8675</v>
      </c>
      <c r="AD359">
        <f>'Rocky Point'!AB12</f>
        <v>0.2</v>
      </c>
      <c r="AE359">
        <f>'Rocky Point'!AC12</f>
        <v>1458</v>
      </c>
      <c r="AF359">
        <f>'Rocky Point'!AD12</f>
        <v>377</v>
      </c>
      <c r="AG359">
        <f>'Rocky Point'!AE12</f>
        <v>50</v>
      </c>
      <c r="AH359">
        <f>'Rocky Point'!AF12</f>
        <v>20065</v>
      </c>
      <c r="AI359">
        <f>'Rocky Point'!AG12</f>
        <v>0.4</v>
      </c>
      <c r="AJ359">
        <f>'Rocky Point'!AH12</f>
        <v>1492</v>
      </c>
      <c r="AK359">
        <f>'Rocky Point'!AI12</f>
        <v>1769</v>
      </c>
      <c r="AL359">
        <f>'Rocky Point'!AJ12</f>
        <v>56</v>
      </c>
      <c r="AM359">
        <f>'Rocky Point'!AK12</f>
        <v>105450</v>
      </c>
      <c r="AN359">
        <f>'Rocky Point'!AL12</f>
        <v>1.9</v>
      </c>
      <c r="AO359">
        <f>'Rocky Point'!AM12</f>
        <v>1574</v>
      </c>
      <c r="AP359">
        <f>'Rocky Point'!AN12</f>
        <v>287</v>
      </c>
      <c r="AQ359">
        <f>'Rocky Point'!AO12</f>
        <v>50</v>
      </c>
      <c r="AR359">
        <f>'Rocky Point'!AP12</f>
        <v>15275</v>
      </c>
      <c r="AS359">
        <f>'Rocky Point'!AQ12</f>
        <v>0.3</v>
      </c>
      <c r="AT359">
        <f>'Rocky Point'!AR12</f>
        <v>1748</v>
      </c>
      <c r="AU359">
        <f>'Rocky Point'!AS12</f>
        <v>747</v>
      </c>
      <c r="AV359">
        <f>'Rocky Point'!AT12</f>
        <v>198</v>
      </c>
      <c r="AW359">
        <f>'Rocky Point'!AU12</f>
        <v>157441</v>
      </c>
      <c r="AX359">
        <f>'Rocky Point'!AV12</f>
        <v>2.9</v>
      </c>
    </row>
    <row r="360" spans="1:50">
      <c r="A360" t="str">
        <f>'Rocky Point'!A13</f>
        <v>/Users/z2134519/Documents/python/data/bushfire Raman/Rocky Point swamp/RP_M 5.5 (5)</v>
      </c>
      <c r="B360" t="s">
        <v>855</v>
      </c>
      <c r="C360">
        <v>5.5</v>
      </c>
      <c r="D360" t="str">
        <f>'Rocky Point'!B13</f>
        <v>14.11 counts</v>
      </c>
      <c r="E360">
        <f>'Rocky Point'!C13</f>
        <v>0.98813499999999999</v>
      </c>
      <c r="F360">
        <f>'Rocky Point'!D13</f>
        <v>1367</v>
      </c>
      <c r="G360">
        <f>'Rocky Point'!E13</f>
        <v>10093</v>
      </c>
      <c r="H360">
        <f>'Rocky Point'!F13</f>
        <v>196</v>
      </c>
      <c r="I360">
        <f>'Rocky Point'!G13</f>
        <v>2105759</v>
      </c>
      <c r="J360">
        <f>'Rocky Point'!H13</f>
        <v>49.9</v>
      </c>
      <c r="K360">
        <f>'Rocky Point'!I13</f>
        <v>1586</v>
      </c>
      <c r="L360">
        <f>'Rocky Point'!J13</f>
        <v>10301</v>
      </c>
      <c r="M360">
        <f>'Rocky Point'!K13</f>
        <v>137</v>
      </c>
      <c r="N360">
        <f>'Rocky Point'!L13</f>
        <v>1502215</v>
      </c>
      <c r="O360">
        <f>'Rocky Point'!M13</f>
        <v>35.6</v>
      </c>
      <c r="P360">
        <f>'Rocky Point'!N13</f>
        <v>1073</v>
      </c>
      <c r="Q360">
        <f>'Rocky Point'!O13</f>
        <v>793</v>
      </c>
      <c r="R360">
        <f>'Rocky Point'!P13</f>
        <v>130</v>
      </c>
      <c r="S360">
        <f>'Rocky Point'!Q13</f>
        <v>109736</v>
      </c>
      <c r="T360">
        <f>'Rocky Point'!R13</f>
        <v>2.6</v>
      </c>
      <c r="U360">
        <f>'Rocky Point'!S13</f>
        <v>1178</v>
      </c>
      <c r="V360">
        <f>'Rocky Point'!T13</f>
        <v>1971</v>
      </c>
      <c r="W360">
        <f>'Rocky Point'!U13</f>
        <v>108</v>
      </c>
      <c r="X360">
        <f>'Rocky Point'!V13</f>
        <v>226591</v>
      </c>
      <c r="Y360">
        <f>'Rocky Point'!W13</f>
        <v>5.4</v>
      </c>
      <c r="Z360">
        <f>'Rocky Point'!X13</f>
        <v>1284</v>
      </c>
      <c r="AA360">
        <f>'Rocky Point'!Y13</f>
        <v>523</v>
      </c>
      <c r="AB360">
        <f>'Rocky Point'!Z13</f>
        <v>52</v>
      </c>
      <c r="AC360">
        <f>'Rocky Point'!AA13</f>
        <v>28949</v>
      </c>
      <c r="AD360">
        <f>'Rocky Point'!AB13</f>
        <v>0.7</v>
      </c>
      <c r="AE360">
        <f>'Rocky Point'!AC13</f>
        <v>1458</v>
      </c>
      <c r="AF360">
        <f>'Rocky Point'!AD13</f>
        <v>817</v>
      </c>
      <c r="AG360">
        <f>'Rocky Point'!AE13</f>
        <v>50</v>
      </c>
      <c r="AH360">
        <f>'Rocky Point'!AF13</f>
        <v>43483</v>
      </c>
      <c r="AI360">
        <f>'Rocky Point'!AG13</f>
        <v>1</v>
      </c>
      <c r="AJ360">
        <f>'Rocky Point'!AH13</f>
        <v>1496</v>
      </c>
      <c r="AK360">
        <f>'Rocky Point'!AI13</f>
        <v>1307</v>
      </c>
      <c r="AL360">
        <f>'Rocky Point'!AJ13</f>
        <v>54</v>
      </c>
      <c r="AM360">
        <f>'Rocky Point'!AK13</f>
        <v>75128</v>
      </c>
      <c r="AN360">
        <f>'Rocky Point'!AL13</f>
        <v>1.8</v>
      </c>
      <c r="AO360">
        <f>'Rocky Point'!AM13</f>
        <v>1578</v>
      </c>
      <c r="AP360">
        <f>'Rocky Point'!AN13</f>
        <v>733</v>
      </c>
      <c r="AQ360">
        <f>'Rocky Point'!AO13</f>
        <v>50</v>
      </c>
      <c r="AR360">
        <f>'Rocky Point'!AP13</f>
        <v>39013</v>
      </c>
      <c r="AS360">
        <f>'Rocky Point'!AQ13</f>
        <v>0.9</v>
      </c>
      <c r="AT360">
        <f>'Rocky Point'!AR13</f>
        <v>1748</v>
      </c>
      <c r="AU360">
        <f>'Rocky Point'!AS13</f>
        <v>931</v>
      </c>
      <c r="AV360">
        <f>'Rocky Point'!AT13</f>
        <v>86</v>
      </c>
      <c r="AW360">
        <f>'Rocky Point'!AU13</f>
        <v>85228</v>
      </c>
      <c r="AX360">
        <f>'Rocky Point'!AV13</f>
        <v>2</v>
      </c>
    </row>
    <row r="361" spans="1:50">
      <c r="A361" t="str">
        <f>'Rocky Point'!A14</f>
        <v>/Users/z2134519/Documents/python/data/bushfire Raman/Rocky Point swamp/RP_M 5.5 BL</v>
      </c>
      <c r="B361" t="s">
        <v>855</v>
      </c>
      <c r="C361">
        <v>5.5</v>
      </c>
      <c r="D361" t="str">
        <f>'Rocky Point'!B14</f>
        <v>30.01 counts</v>
      </c>
      <c r="E361">
        <f>'Rocky Point'!C14</f>
        <v>0.84488099999999999</v>
      </c>
      <c r="F361">
        <f>'Rocky Point'!D14</f>
        <v>1339</v>
      </c>
      <c r="G361">
        <f>'Rocky Point'!E14</f>
        <v>1</v>
      </c>
      <c r="H361">
        <f>'Rocky Point'!F14</f>
        <v>100</v>
      </c>
      <c r="I361">
        <f>'Rocky Point'!G14</f>
        <v>106</v>
      </c>
      <c r="J361">
        <f>'Rocky Point'!H14</f>
        <v>0</v>
      </c>
      <c r="K361">
        <f>'Rocky Point'!I14</f>
        <v>1592</v>
      </c>
      <c r="L361">
        <f>'Rocky Point'!J14</f>
        <v>8991</v>
      </c>
      <c r="M361">
        <f>'Rocky Point'!K14</f>
        <v>79</v>
      </c>
      <c r="N361">
        <f>'Rocky Point'!L14</f>
        <v>756079</v>
      </c>
      <c r="O361">
        <f>'Rocky Point'!M14</f>
        <v>85.3</v>
      </c>
      <c r="P361">
        <f>'Rocky Point'!N14</f>
        <v>1041</v>
      </c>
      <c r="Q361">
        <f>'Rocky Point'!O14</f>
        <v>1001</v>
      </c>
      <c r="R361">
        <f>'Rocky Point'!P14</f>
        <v>90</v>
      </c>
      <c r="S361">
        <f>'Rocky Point'!Q14</f>
        <v>95898</v>
      </c>
      <c r="T361">
        <f>'Rocky Point'!R14</f>
        <v>10.8</v>
      </c>
      <c r="U361">
        <f>'Rocky Point'!S14</f>
        <v>1150</v>
      </c>
      <c r="V361">
        <f>'Rocky Point'!T14</f>
        <v>349</v>
      </c>
      <c r="W361">
        <f>'Rocky Point'!U14</f>
        <v>50</v>
      </c>
      <c r="X361">
        <f>'Rocky Point'!V14</f>
        <v>18575</v>
      </c>
      <c r="Y361">
        <f>'Rocky Point'!W14</f>
        <v>2.1</v>
      </c>
      <c r="Z361">
        <f>'Rocky Point'!X14</f>
        <v>1298</v>
      </c>
      <c r="AA361">
        <f>'Rocky Point'!Y14</f>
        <v>1</v>
      </c>
      <c r="AB361">
        <f>'Rocky Point'!Z14</f>
        <v>50</v>
      </c>
      <c r="AC361">
        <f>'Rocky Point'!AA14</f>
        <v>53</v>
      </c>
      <c r="AD361">
        <f>'Rocky Point'!AB14</f>
        <v>0</v>
      </c>
      <c r="AE361">
        <f>'Rocky Point'!AC14</f>
        <v>1400</v>
      </c>
      <c r="AF361">
        <f>'Rocky Point'!AD14</f>
        <v>1</v>
      </c>
      <c r="AG361">
        <f>'Rocky Point'!AE14</f>
        <v>50</v>
      </c>
      <c r="AH361">
        <f>'Rocky Point'!AF14</f>
        <v>53</v>
      </c>
      <c r="AI361">
        <f>'Rocky Point'!AG14</f>
        <v>0</v>
      </c>
      <c r="AJ361">
        <f>'Rocky Point'!AH14</f>
        <v>1544</v>
      </c>
      <c r="AK361">
        <f>'Rocky Point'!AI14</f>
        <v>89</v>
      </c>
      <c r="AL361">
        <f>'Rocky Point'!AJ14</f>
        <v>50</v>
      </c>
      <c r="AM361">
        <f>'Rocky Point'!AK14</f>
        <v>4737</v>
      </c>
      <c r="AN361">
        <f>'Rocky Point'!AL14</f>
        <v>0.5</v>
      </c>
      <c r="AO361">
        <f>'Rocky Point'!AM14</f>
        <v>1598</v>
      </c>
      <c r="AP361">
        <f>'Rocky Point'!AN14</f>
        <v>167</v>
      </c>
      <c r="AQ361">
        <f>'Rocky Point'!AO14</f>
        <v>50</v>
      </c>
      <c r="AR361">
        <f>'Rocky Point'!AP14</f>
        <v>8888</v>
      </c>
      <c r="AS361">
        <f>'Rocky Point'!AQ14</f>
        <v>1</v>
      </c>
      <c r="AT361">
        <f>'Rocky Point'!AR14</f>
        <v>1748</v>
      </c>
      <c r="AU361">
        <f>'Rocky Point'!AS14</f>
        <v>11</v>
      </c>
      <c r="AV361">
        <f>'Rocky Point'!AT14</f>
        <v>198</v>
      </c>
      <c r="AW361">
        <f>'Rocky Point'!AU14</f>
        <v>2318</v>
      </c>
      <c r="AX361">
        <f>'Rocky Point'!AV14</f>
        <v>0.3</v>
      </c>
    </row>
    <row r="362" spans="1:50" s="3" customFormat="1">
      <c r="A362" s="3" t="str">
        <f>'Rocky Point'!A15</f>
        <v>/Users/z2134519/Documents/python/data/bushfire Raman/Rocky Point swamp/RP_M 5.5-6</v>
      </c>
      <c r="B362" s="3" t="s">
        <v>855</v>
      </c>
      <c r="C362" s="3">
        <v>5.5</v>
      </c>
      <c r="D362" s="3" t="str">
        <f>'Rocky Point'!B15</f>
        <v>7.27 counts</v>
      </c>
      <c r="E362" s="3">
        <f>'Rocky Point'!C15</f>
        <v>0.99273299999999998</v>
      </c>
      <c r="F362" s="3">
        <f>'Rocky Point'!D15</f>
        <v>1337</v>
      </c>
      <c r="G362" s="3">
        <f>'Rocky Point'!E15</f>
        <v>5027</v>
      </c>
      <c r="H362" s="3">
        <f>'Rocky Point'!F15</f>
        <v>100</v>
      </c>
      <c r="I362" s="3">
        <f>'Rocky Point'!G15</f>
        <v>535108</v>
      </c>
      <c r="J362" s="3">
        <f>'Rocky Point'!H15</f>
        <v>36.9</v>
      </c>
      <c r="K362" s="3">
        <f>'Rocky Point'!I15</f>
        <v>1594</v>
      </c>
      <c r="L362" s="3">
        <f>'Rocky Point'!J15</f>
        <v>10675</v>
      </c>
      <c r="M362" s="3">
        <f>'Rocky Point'!K15</f>
        <v>73</v>
      </c>
      <c r="N362" s="3">
        <f>'Rocky Point'!L15</f>
        <v>829513</v>
      </c>
      <c r="O362" s="3">
        <f>'Rocky Point'!M15</f>
        <v>57.2</v>
      </c>
      <c r="P362" s="3">
        <f>'Rocky Point'!N15</f>
        <v>1013</v>
      </c>
      <c r="Q362" s="3">
        <f>'Rocky Point'!O15</f>
        <v>1</v>
      </c>
      <c r="R362" s="3">
        <f>'Rocky Point'!P15</f>
        <v>50</v>
      </c>
      <c r="S362" s="3">
        <f>'Rocky Point'!Q15</f>
        <v>53</v>
      </c>
      <c r="T362" s="3">
        <f>'Rocky Point'!R15</f>
        <v>0</v>
      </c>
      <c r="U362" s="3">
        <f>'Rocky Point'!S15</f>
        <v>1154</v>
      </c>
      <c r="V362" s="3">
        <f>'Rocky Point'!T15</f>
        <v>1</v>
      </c>
      <c r="W362" s="3">
        <f>'Rocky Point'!U15</f>
        <v>50</v>
      </c>
      <c r="X362" s="3">
        <f>'Rocky Point'!V15</f>
        <v>53</v>
      </c>
      <c r="Y362" s="3">
        <f>'Rocky Point'!W15</f>
        <v>0</v>
      </c>
      <c r="Z362" s="3">
        <f>'Rocky Point'!X15</f>
        <v>1268</v>
      </c>
      <c r="AA362" s="3">
        <f>'Rocky Point'!Y15</f>
        <v>49</v>
      </c>
      <c r="AB362" s="3">
        <f>'Rocky Point'!Z15</f>
        <v>50</v>
      </c>
      <c r="AC362" s="3">
        <f>'Rocky Point'!AA15</f>
        <v>2608</v>
      </c>
      <c r="AD362" s="3">
        <f>'Rocky Point'!AB15</f>
        <v>0.2</v>
      </c>
      <c r="AE362" s="3">
        <f>'Rocky Point'!AC15</f>
        <v>1400</v>
      </c>
      <c r="AF362" s="3">
        <f>'Rocky Point'!AD15</f>
        <v>585</v>
      </c>
      <c r="AG362" s="3">
        <f>'Rocky Point'!AE15</f>
        <v>50</v>
      </c>
      <c r="AH362" s="3">
        <f>'Rocky Point'!AF15</f>
        <v>31136</v>
      </c>
      <c r="AI362" s="3">
        <f>'Rocky Point'!AG15</f>
        <v>2.1</v>
      </c>
      <c r="AJ362" s="3">
        <f>'Rocky Point'!AH15</f>
        <v>1526</v>
      </c>
      <c r="AK362" s="3">
        <f>'Rocky Point'!AI15</f>
        <v>959</v>
      </c>
      <c r="AL362" s="3">
        <f>'Rocky Point'!AJ15</f>
        <v>50</v>
      </c>
      <c r="AM362" s="3">
        <f>'Rocky Point'!AK15</f>
        <v>51041</v>
      </c>
      <c r="AN362" s="3">
        <f>'Rocky Point'!AL15</f>
        <v>3.5</v>
      </c>
      <c r="AO362" s="3">
        <f>'Rocky Point'!AM15</f>
        <v>1598</v>
      </c>
      <c r="AP362" s="3">
        <f>'Rocky Point'!AN15</f>
        <v>1</v>
      </c>
      <c r="AQ362" s="3">
        <f>'Rocky Point'!AO15</f>
        <v>50</v>
      </c>
      <c r="AR362" s="3">
        <f>'Rocky Point'!AP15</f>
        <v>53</v>
      </c>
      <c r="AS362" s="3">
        <f>'Rocky Point'!AQ15</f>
        <v>0</v>
      </c>
      <c r="AT362" s="3">
        <f>'Rocky Point'!AR15</f>
        <v>1700</v>
      </c>
      <c r="AU362" s="3">
        <f>'Rocky Point'!AS15</f>
        <v>1</v>
      </c>
      <c r="AV362" s="3">
        <f>'Rocky Point'!AT15</f>
        <v>50</v>
      </c>
      <c r="AW362" s="3">
        <f>'Rocky Point'!AU15</f>
        <v>53</v>
      </c>
      <c r="AX362" s="3">
        <f>'Rocky Point'!AV15</f>
        <v>0</v>
      </c>
    </row>
    <row r="363" spans="1:50" s="3" customFormat="1">
      <c r="A363" s="3" t="str">
        <f>'Rocky Point'!A16</f>
        <v>/Users/z2134519/Documents/python/data/bushfire Raman/Rocky Point swamp/RP_M 5.5-6txt</v>
      </c>
      <c r="B363" s="3" t="s">
        <v>855</v>
      </c>
      <c r="C363" s="3">
        <v>5.5</v>
      </c>
      <c r="D363" s="3" t="str">
        <f>'Rocky Point'!B16</f>
        <v>3.99 counts</v>
      </c>
      <c r="E363" s="3">
        <f>'Rocky Point'!C16</f>
        <v>0.98883500000000002</v>
      </c>
      <c r="F363" s="3">
        <f>'Rocky Point'!D16</f>
        <v>1351</v>
      </c>
      <c r="G363" s="3">
        <f>'Rocky Point'!E16</f>
        <v>849</v>
      </c>
      <c r="H363" s="3">
        <f>'Rocky Point'!F16</f>
        <v>100</v>
      </c>
      <c r="I363" s="3">
        <f>'Rocky Point'!G16</f>
        <v>90373</v>
      </c>
      <c r="J363" s="3">
        <f>'Rocky Point'!H16</f>
        <v>16</v>
      </c>
      <c r="K363" s="3">
        <f>'Rocky Point'!I16</f>
        <v>1592</v>
      </c>
      <c r="L363" s="3">
        <f>'Rocky Point'!J16</f>
        <v>4653</v>
      </c>
      <c r="M363" s="3">
        <f>'Rocky Point'!K16</f>
        <v>89</v>
      </c>
      <c r="N363" s="3">
        <f>'Rocky Point'!L16</f>
        <v>440814</v>
      </c>
      <c r="O363" s="3">
        <f>'Rocky Point'!M16</f>
        <v>78.2</v>
      </c>
      <c r="P363" s="3">
        <f>'Rocky Point'!N16</f>
        <v>1041</v>
      </c>
      <c r="Q363" s="3">
        <f>'Rocky Point'!O16</f>
        <v>1</v>
      </c>
      <c r="R363" s="3">
        <f>'Rocky Point'!P16</f>
        <v>50</v>
      </c>
      <c r="S363" s="3">
        <f>'Rocky Point'!Q16</f>
        <v>53</v>
      </c>
      <c r="T363" s="3">
        <f>'Rocky Point'!R16</f>
        <v>0</v>
      </c>
      <c r="U363" s="3">
        <f>'Rocky Point'!S16</f>
        <v>1156</v>
      </c>
      <c r="V363" s="3">
        <f>'Rocky Point'!T16</f>
        <v>1</v>
      </c>
      <c r="W363" s="3">
        <f>'Rocky Point'!U16</f>
        <v>50</v>
      </c>
      <c r="X363" s="3">
        <f>'Rocky Point'!V16</f>
        <v>53</v>
      </c>
      <c r="Y363" s="3">
        <f>'Rocky Point'!W16</f>
        <v>0</v>
      </c>
      <c r="Z363" s="3">
        <f>'Rocky Point'!X16</f>
        <v>1298</v>
      </c>
      <c r="AA363" s="3">
        <f>'Rocky Point'!Y16</f>
        <v>1</v>
      </c>
      <c r="AB363" s="3">
        <f>'Rocky Point'!Z16</f>
        <v>50</v>
      </c>
      <c r="AC363" s="3">
        <f>'Rocky Point'!AA16</f>
        <v>53</v>
      </c>
      <c r="AD363" s="3">
        <f>'Rocky Point'!AB16</f>
        <v>0</v>
      </c>
      <c r="AE363" s="3">
        <f>'Rocky Point'!AC16</f>
        <v>1400</v>
      </c>
      <c r="AF363" s="3">
        <f>'Rocky Point'!AD16</f>
        <v>1</v>
      </c>
      <c r="AG363" s="3">
        <f>'Rocky Point'!AE16</f>
        <v>50</v>
      </c>
      <c r="AH363" s="3">
        <f>'Rocky Point'!AF16</f>
        <v>53</v>
      </c>
      <c r="AI363" s="3">
        <f>'Rocky Point'!AG16</f>
        <v>0</v>
      </c>
      <c r="AJ363" s="3">
        <f>'Rocky Point'!AH16</f>
        <v>1526</v>
      </c>
      <c r="AK363" s="3">
        <f>'Rocky Point'!AI16</f>
        <v>173</v>
      </c>
      <c r="AL363" s="3">
        <f>'Rocky Point'!AJ16</f>
        <v>50</v>
      </c>
      <c r="AM363" s="3">
        <f>'Rocky Point'!AK16</f>
        <v>9208</v>
      </c>
      <c r="AN363" s="3">
        <f>'Rocky Point'!AL16</f>
        <v>1.6</v>
      </c>
      <c r="AO363" s="3">
        <f>'Rocky Point'!AM16</f>
        <v>1590</v>
      </c>
      <c r="AP363" s="3">
        <f>'Rocky Point'!AN16</f>
        <v>71</v>
      </c>
      <c r="AQ363" s="3">
        <f>'Rocky Point'!AO16</f>
        <v>50</v>
      </c>
      <c r="AR363" s="3">
        <f>'Rocky Point'!AP16</f>
        <v>3779</v>
      </c>
      <c r="AS363" s="3">
        <f>'Rocky Point'!AQ16</f>
        <v>0.7</v>
      </c>
      <c r="AT363" s="3">
        <f>'Rocky Point'!AR16</f>
        <v>1700</v>
      </c>
      <c r="AU363" s="3">
        <f>'Rocky Point'!AS16</f>
        <v>365</v>
      </c>
      <c r="AV363" s="3">
        <f>'Rocky Point'!AT16</f>
        <v>50</v>
      </c>
      <c r="AW363" s="3">
        <f>'Rocky Point'!AU16</f>
        <v>19427</v>
      </c>
      <c r="AX363" s="3">
        <f>'Rocky Point'!AV16</f>
        <v>3.4</v>
      </c>
    </row>
    <row r="364" spans="1:50">
      <c r="A364" t="str">
        <f>'Rocky Point'!A17</f>
        <v>/Users/z2134519/Documents/python/data/bushfire Raman/Rocky Point swamp/RP_M 6.5 (2)</v>
      </c>
      <c r="B364" t="s">
        <v>855</v>
      </c>
      <c r="C364">
        <v>6.5</v>
      </c>
      <c r="D364" t="str">
        <f>'Rocky Point'!B17</f>
        <v>4.31 counts</v>
      </c>
      <c r="E364">
        <f>'Rocky Point'!C17</f>
        <v>0.95297100000000001</v>
      </c>
      <c r="F364">
        <f>'Rocky Point'!D17</f>
        <v>1365</v>
      </c>
      <c r="G364">
        <f>'Rocky Point'!E17</f>
        <v>1497</v>
      </c>
      <c r="H364">
        <f>'Rocky Point'!F17</f>
        <v>194</v>
      </c>
      <c r="I364">
        <f>'Rocky Point'!G17</f>
        <v>309140</v>
      </c>
      <c r="J364">
        <f>'Rocky Point'!H17</f>
        <v>44.7</v>
      </c>
      <c r="K364">
        <f>'Rocky Point'!I17</f>
        <v>1590</v>
      </c>
      <c r="L364">
        <f>'Rocky Point'!J17</f>
        <v>1915</v>
      </c>
      <c r="M364">
        <f>'Rocky Point'!K17</f>
        <v>121</v>
      </c>
      <c r="N364">
        <f>'Rocky Point'!L17</f>
        <v>246653</v>
      </c>
      <c r="O364">
        <f>'Rocky Point'!M17</f>
        <v>35.6</v>
      </c>
      <c r="P364">
        <f>'Rocky Point'!N17</f>
        <v>1073</v>
      </c>
      <c r="Q364">
        <f>'Rocky Point'!O17</f>
        <v>81</v>
      </c>
      <c r="R364">
        <f>'Rocky Point'!P17</f>
        <v>156</v>
      </c>
      <c r="S364">
        <f>'Rocky Point'!Q17</f>
        <v>13451</v>
      </c>
      <c r="T364">
        <f>'Rocky Point'!R17</f>
        <v>1.9</v>
      </c>
      <c r="U364">
        <f>'Rocky Point'!S17</f>
        <v>1178</v>
      </c>
      <c r="V364">
        <f>'Rocky Point'!T17</f>
        <v>307</v>
      </c>
      <c r="W364">
        <f>'Rocky Point'!U17</f>
        <v>84</v>
      </c>
      <c r="X364">
        <f>'Rocky Point'!V17</f>
        <v>27450</v>
      </c>
      <c r="Y364">
        <f>'Rocky Point'!W17</f>
        <v>4</v>
      </c>
      <c r="Z364">
        <f>'Rocky Point'!X17</f>
        <v>1250</v>
      </c>
      <c r="AA364">
        <f>'Rocky Point'!Y17</f>
        <v>21</v>
      </c>
      <c r="AB364">
        <f>'Rocky Point'!Z17</f>
        <v>50</v>
      </c>
      <c r="AC364">
        <f>'Rocky Point'!AA17</f>
        <v>1118</v>
      </c>
      <c r="AD364">
        <f>'Rocky Point'!AB17</f>
        <v>0.2</v>
      </c>
      <c r="AE364">
        <f>'Rocky Point'!AC17</f>
        <v>1458</v>
      </c>
      <c r="AF364">
        <f>'Rocky Point'!AD17</f>
        <v>185</v>
      </c>
      <c r="AG364">
        <f>'Rocky Point'!AE17</f>
        <v>52</v>
      </c>
      <c r="AH364">
        <f>'Rocky Point'!AF17</f>
        <v>10240</v>
      </c>
      <c r="AI364">
        <f>'Rocky Point'!AG17</f>
        <v>1.5</v>
      </c>
      <c r="AJ364">
        <f>'Rocky Point'!AH17</f>
        <v>1490</v>
      </c>
      <c r="AK364">
        <f>'Rocky Point'!AI17</f>
        <v>205</v>
      </c>
      <c r="AL364">
        <f>'Rocky Point'!AJ17</f>
        <v>50</v>
      </c>
      <c r="AM364">
        <f>'Rocky Point'!AK17</f>
        <v>10911</v>
      </c>
      <c r="AN364">
        <f>'Rocky Point'!AL17</f>
        <v>1.6</v>
      </c>
      <c r="AO364">
        <f>'Rocky Point'!AM17</f>
        <v>1598</v>
      </c>
      <c r="AP364">
        <f>'Rocky Point'!AN17</f>
        <v>115</v>
      </c>
      <c r="AQ364">
        <f>'Rocky Point'!AO17</f>
        <v>50</v>
      </c>
      <c r="AR364">
        <f>'Rocky Point'!AP17</f>
        <v>6121</v>
      </c>
      <c r="AS364">
        <f>'Rocky Point'!AQ17</f>
        <v>0.9</v>
      </c>
      <c r="AT364">
        <f>'Rocky Point'!AR17</f>
        <v>1744</v>
      </c>
      <c r="AU364">
        <f>'Rocky Point'!AS17</f>
        <v>483</v>
      </c>
      <c r="AV364">
        <f>'Rocky Point'!AT17</f>
        <v>130</v>
      </c>
      <c r="AW364">
        <f>'Rocky Point'!AU17</f>
        <v>66838</v>
      </c>
      <c r="AX364">
        <f>'Rocky Point'!AV17</f>
        <v>9.6999999999999993</v>
      </c>
    </row>
    <row r="365" spans="1:50">
      <c r="A365" t="str">
        <f>'Rocky Point'!A18</f>
        <v>/Users/z2134519/Documents/python/data/bushfire Raman/Rocky Point swamp/RP_M 6.5</v>
      </c>
      <c r="B365" t="s">
        <v>855</v>
      </c>
      <c r="C365">
        <v>6.5</v>
      </c>
      <c r="D365" t="str">
        <f>'Rocky Point'!B18</f>
        <v>5.12 counts</v>
      </c>
      <c r="E365">
        <f>'Rocky Point'!C18</f>
        <v>0.97692199999999996</v>
      </c>
      <c r="F365">
        <f>'Rocky Point'!D18</f>
        <v>1365</v>
      </c>
      <c r="G365">
        <f>'Rocky Point'!E18</f>
        <v>2705</v>
      </c>
      <c r="H365">
        <f>'Rocky Point'!F18</f>
        <v>194</v>
      </c>
      <c r="I365">
        <f>'Rocky Point'!G18</f>
        <v>558600</v>
      </c>
      <c r="J365">
        <f>'Rocky Point'!H18</f>
        <v>48.1</v>
      </c>
      <c r="K365">
        <f>'Rocky Point'!I18</f>
        <v>1590</v>
      </c>
      <c r="L365">
        <f>'Rocky Point'!J18</f>
        <v>2991</v>
      </c>
      <c r="M365">
        <f>'Rocky Point'!K18</f>
        <v>121</v>
      </c>
      <c r="N365">
        <f>'Rocky Point'!L18</f>
        <v>385242</v>
      </c>
      <c r="O365">
        <f>'Rocky Point'!M18</f>
        <v>33.200000000000003</v>
      </c>
      <c r="P365">
        <f>'Rocky Point'!N18</f>
        <v>1073</v>
      </c>
      <c r="Q365">
        <f>'Rocky Point'!O18</f>
        <v>163</v>
      </c>
      <c r="R365">
        <f>'Rocky Point'!P18</f>
        <v>126</v>
      </c>
      <c r="S365">
        <f>'Rocky Point'!Q18</f>
        <v>21862</v>
      </c>
      <c r="T365">
        <f>'Rocky Point'!R18</f>
        <v>1.9</v>
      </c>
      <c r="U365">
        <f>'Rocky Point'!S18</f>
        <v>1176</v>
      </c>
      <c r="V365">
        <f>'Rocky Point'!T18</f>
        <v>549</v>
      </c>
      <c r="W365">
        <f>'Rocky Point'!U18</f>
        <v>98</v>
      </c>
      <c r="X365">
        <f>'Rocky Point'!V18</f>
        <v>57270</v>
      </c>
      <c r="Y365">
        <f>'Rocky Point'!W18</f>
        <v>4.9000000000000004</v>
      </c>
      <c r="Z365">
        <f>'Rocky Point'!X18</f>
        <v>1258</v>
      </c>
      <c r="AA365">
        <f>'Rocky Point'!Y18</f>
        <v>43</v>
      </c>
      <c r="AB365">
        <f>'Rocky Point'!Z18</f>
        <v>50</v>
      </c>
      <c r="AC365">
        <f>'Rocky Point'!AA18</f>
        <v>2289</v>
      </c>
      <c r="AD365">
        <f>'Rocky Point'!AB18</f>
        <v>0.2</v>
      </c>
      <c r="AE365">
        <f>'Rocky Point'!AC18</f>
        <v>1458</v>
      </c>
      <c r="AF365">
        <f>'Rocky Point'!AD18</f>
        <v>169</v>
      </c>
      <c r="AG365">
        <f>'Rocky Point'!AE18</f>
        <v>50</v>
      </c>
      <c r="AH365">
        <f>'Rocky Point'!AF18</f>
        <v>8995</v>
      </c>
      <c r="AI365">
        <f>'Rocky Point'!AG18</f>
        <v>0.8</v>
      </c>
      <c r="AJ365">
        <f>'Rocky Point'!AH18</f>
        <v>1488</v>
      </c>
      <c r="AK365">
        <f>'Rocky Point'!AI18</f>
        <v>361</v>
      </c>
      <c r="AL365">
        <f>'Rocky Point'!AJ18</f>
        <v>50</v>
      </c>
      <c r="AM365">
        <f>'Rocky Point'!AK18</f>
        <v>19214</v>
      </c>
      <c r="AN365">
        <f>'Rocky Point'!AL18</f>
        <v>1.7</v>
      </c>
      <c r="AO365">
        <f>'Rocky Point'!AM18</f>
        <v>1598</v>
      </c>
      <c r="AP365">
        <f>'Rocky Point'!AN18</f>
        <v>325</v>
      </c>
      <c r="AQ365">
        <f>'Rocky Point'!AO18</f>
        <v>50</v>
      </c>
      <c r="AR365">
        <f>'Rocky Point'!AP18</f>
        <v>17298</v>
      </c>
      <c r="AS365">
        <f>'Rocky Point'!AQ18</f>
        <v>1.5</v>
      </c>
      <c r="AT365">
        <f>'Rocky Point'!AR18</f>
        <v>1746</v>
      </c>
      <c r="AU365">
        <f>'Rocky Point'!AS18</f>
        <v>627</v>
      </c>
      <c r="AV365">
        <f>'Rocky Point'!AT18</f>
        <v>134</v>
      </c>
      <c r="AW365">
        <f>'Rocky Point'!AU18</f>
        <v>89434</v>
      </c>
      <c r="AX365">
        <f>'Rocky Point'!AV18</f>
        <v>7.7</v>
      </c>
    </row>
    <row r="366" spans="1:50">
      <c r="A366" t="str">
        <f>'Rocky Point'!A19</f>
        <v>/Users/z2134519/Documents/python/data/bushfire Raman/Rocky Point swamp/RP- M 1 (3) BLwdf</v>
      </c>
      <c r="B366" t="s">
        <v>855</v>
      </c>
      <c r="C366">
        <v>0</v>
      </c>
      <c r="D366" t="str">
        <f>'Rocky Point'!B19</f>
        <v>12.77 counts</v>
      </c>
      <c r="E366">
        <f>'Rocky Point'!C19</f>
        <v>0.994448</v>
      </c>
      <c r="F366">
        <f>'Rocky Point'!D19</f>
        <v>1369</v>
      </c>
      <c r="G366">
        <f>'Rocky Point'!E19</f>
        <v>10247</v>
      </c>
      <c r="H366">
        <f>'Rocky Point'!F19</f>
        <v>162</v>
      </c>
      <c r="I366">
        <f>'Rocky Point'!G19</f>
        <v>1767030</v>
      </c>
      <c r="J366">
        <f>'Rocky Point'!H19</f>
        <v>41.8</v>
      </c>
      <c r="K366">
        <f>'Rocky Point'!I19</f>
        <v>1590</v>
      </c>
      <c r="L366">
        <f>'Rocky Point'!J19</f>
        <v>18471</v>
      </c>
      <c r="M366">
        <f>'Rocky Point'!K19</f>
        <v>97</v>
      </c>
      <c r="N366">
        <f>'Rocky Point'!L19</f>
        <v>1907192</v>
      </c>
      <c r="O366">
        <f>'Rocky Point'!M19</f>
        <v>45.1</v>
      </c>
      <c r="P366">
        <f>'Rocky Point'!N19</f>
        <v>1061</v>
      </c>
      <c r="Q366">
        <f>'Rocky Point'!O19</f>
        <v>981</v>
      </c>
      <c r="R366">
        <f>'Rocky Point'!P19</f>
        <v>110</v>
      </c>
      <c r="S366">
        <f>'Rocky Point'!Q19</f>
        <v>114867</v>
      </c>
      <c r="T366">
        <f>'Rocky Point'!R19</f>
        <v>2.7</v>
      </c>
      <c r="U366">
        <f>'Rocky Point'!S19</f>
        <v>1162</v>
      </c>
      <c r="V366">
        <f>'Rocky Point'!T19</f>
        <v>529</v>
      </c>
      <c r="W366">
        <f>'Rocky Point'!U19</f>
        <v>50</v>
      </c>
      <c r="X366">
        <f>'Rocky Point'!V19</f>
        <v>28155</v>
      </c>
      <c r="Y366">
        <f>'Rocky Point'!W19</f>
        <v>0.7</v>
      </c>
      <c r="Z366">
        <f>'Rocky Point'!X19</f>
        <v>1298</v>
      </c>
      <c r="AA366">
        <f>'Rocky Point'!Y19</f>
        <v>315</v>
      </c>
      <c r="AB366">
        <f>'Rocky Point'!Z19</f>
        <v>74</v>
      </c>
      <c r="AC366">
        <f>'Rocky Point'!AA19</f>
        <v>24813</v>
      </c>
      <c r="AD366">
        <f>'Rocky Point'!AB19</f>
        <v>0.6</v>
      </c>
      <c r="AE366">
        <f>'Rocky Point'!AC19</f>
        <v>1458</v>
      </c>
      <c r="AF366">
        <f>'Rocky Point'!AD19</f>
        <v>1293</v>
      </c>
      <c r="AG366">
        <f>'Rocky Point'!AE19</f>
        <v>54</v>
      </c>
      <c r="AH366">
        <f>'Rocky Point'!AF19</f>
        <v>74323</v>
      </c>
      <c r="AI366">
        <f>'Rocky Point'!AG19</f>
        <v>1.8</v>
      </c>
      <c r="AJ366">
        <f>'Rocky Point'!AH19</f>
        <v>1502</v>
      </c>
      <c r="AK366">
        <f>'Rocky Point'!AI19</f>
        <v>3549</v>
      </c>
      <c r="AL366">
        <f>'Rocky Point'!AJ19</f>
        <v>58</v>
      </c>
      <c r="AM366">
        <f>'Rocky Point'!AK19</f>
        <v>219112</v>
      </c>
      <c r="AN366">
        <f>'Rocky Point'!AL19</f>
        <v>5.2</v>
      </c>
      <c r="AO366">
        <f>'Rocky Point'!AM19</f>
        <v>1598</v>
      </c>
      <c r="AP366">
        <f>'Rocky Point'!AN19</f>
        <v>761</v>
      </c>
      <c r="AQ366">
        <f>'Rocky Point'!AO19</f>
        <v>50</v>
      </c>
      <c r="AR366">
        <f>'Rocky Point'!AP19</f>
        <v>40503</v>
      </c>
      <c r="AS366">
        <f>'Rocky Point'!AQ19</f>
        <v>1</v>
      </c>
      <c r="AT366">
        <f>'Rocky Point'!AR19</f>
        <v>1712</v>
      </c>
      <c r="AU366">
        <f>'Rocky Point'!AS19</f>
        <v>897</v>
      </c>
      <c r="AV366">
        <f>'Rocky Point'!AT19</f>
        <v>56</v>
      </c>
      <c r="AW366">
        <f>'Rocky Point'!AU19</f>
        <v>53470</v>
      </c>
      <c r="AX366">
        <f>'Rocky Point'!AV19</f>
        <v>1.3</v>
      </c>
    </row>
    <row r="367" spans="1:50">
      <c r="A367" t="str">
        <f>'Rocky Point'!A20</f>
        <v>/Users/z2134519/Documents/python/data/bushfire Raman/Rocky Point swamp/RP-M 0 (2)_Copy</v>
      </c>
      <c r="B367" t="s">
        <v>855</v>
      </c>
      <c r="C367">
        <v>0</v>
      </c>
      <c r="D367" t="str">
        <f>'Rocky Point'!B20</f>
        <v>1.27 counts</v>
      </c>
      <c r="E367">
        <f>'Rocky Point'!C20</f>
        <v>-1.0667850000000001</v>
      </c>
      <c r="F367">
        <f>'Rocky Point'!D20</f>
        <v>1369</v>
      </c>
      <c r="G367">
        <f>'Rocky Point'!E20</f>
        <v>1</v>
      </c>
      <c r="H367">
        <f>'Rocky Point'!F20</f>
        <v>100</v>
      </c>
      <c r="I367">
        <f>'Rocky Point'!G20</f>
        <v>106</v>
      </c>
      <c r="J367">
        <f>'Rocky Point'!H20</f>
        <v>22</v>
      </c>
      <c r="K367">
        <f>'Rocky Point'!I20</f>
        <v>1596</v>
      </c>
      <c r="L367">
        <f>'Rocky Point'!J20</f>
        <v>5</v>
      </c>
      <c r="M367">
        <f>'Rocky Point'!K20</f>
        <v>1</v>
      </c>
      <c r="N367">
        <f>'Rocky Point'!L20</f>
        <v>5</v>
      </c>
      <c r="O367">
        <f>'Rocky Point'!M20</f>
        <v>1.1000000000000001</v>
      </c>
      <c r="P367">
        <f>'Rocky Point'!N20</f>
        <v>1037</v>
      </c>
      <c r="Q367">
        <f>'Rocky Point'!O20</f>
        <v>1</v>
      </c>
      <c r="R367">
        <f>'Rocky Point'!P20</f>
        <v>50</v>
      </c>
      <c r="S367">
        <f>'Rocky Point'!Q20</f>
        <v>53</v>
      </c>
      <c r="T367">
        <f>'Rocky Point'!R20</f>
        <v>11</v>
      </c>
      <c r="U367">
        <f>'Rocky Point'!S20</f>
        <v>1150</v>
      </c>
      <c r="V367">
        <f>'Rocky Point'!T20</f>
        <v>1</v>
      </c>
      <c r="W367">
        <f>'Rocky Point'!U20</f>
        <v>50</v>
      </c>
      <c r="X367">
        <f>'Rocky Point'!V20</f>
        <v>53</v>
      </c>
      <c r="Y367">
        <f>'Rocky Point'!W20</f>
        <v>11</v>
      </c>
      <c r="Z367">
        <f>'Rocky Point'!X20</f>
        <v>1298</v>
      </c>
      <c r="AA367">
        <f>'Rocky Point'!Y20</f>
        <v>1</v>
      </c>
      <c r="AB367">
        <f>'Rocky Point'!Z20</f>
        <v>50</v>
      </c>
      <c r="AC367">
        <f>'Rocky Point'!AA20</f>
        <v>53</v>
      </c>
      <c r="AD367">
        <f>'Rocky Point'!AB20</f>
        <v>11</v>
      </c>
      <c r="AE367">
        <f>'Rocky Point'!AC20</f>
        <v>1400</v>
      </c>
      <c r="AF367">
        <f>'Rocky Point'!AD20</f>
        <v>1</v>
      </c>
      <c r="AG367">
        <f>'Rocky Point'!AE20</f>
        <v>50</v>
      </c>
      <c r="AH367">
        <f>'Rocky Point'!AF20</f>
        <v>53</v>
      </c>
      <c r="AI367">
        <f>'Rocky Point'!AG20</f>
        <v>11</v>
      </c>
      <c r="AJ367">
        <f>'Rocky Point'!AH20</f>
        <v>1548</v>
      </c>
      <c r="AK367">
        <f>'Rocky Point'!AI20</f>
        <v>1</v>
      </c>
      <c r="AL367">
        <f>'Rocky Point'!AJ20</f>
        <v>50</v>
      </c>
      <c r="AM367">
        <f>'Rocky Point'!AK20</f>
        <v>53</v>
      </c>
      <c r="AN367">
        <f>'Rocky Point'!AL20</f>
        <v>11</v>
      </c>
      <c r="AO367">
        <f>'Rocky Point'!AM20</f>
        <v>1570</v>
      </c>
      <c r="AP367">
        <f>'Rocky Point'!AN20</f>
        <v>1</v>
      </c>
      <c r="AQ367">
        <f>'Rocky Point'!AO20</f>
        <v>50</v>
      </c>
      <c r="AR367">
        <f>'Rocky Point'!AP20</f>
        <v>53</v>
      </c>
      <c r="AS367">
        <f>'Rocky Point'!AQ20</f>
        <v>11</v>
      </c>
      <c r="AT367">
        <f>'Rocky Point'!AR20</f>
        <v>1748</v>
      </c>
      <c r="AU367">
        <f>'Rocky Point'!AS20</f>
        <v>1</v>
      </c>
      <c r="AV367">
        <f>'Rocky Point'!AT20</f>
        <v>50</v>
      </c>
      <c r="AW367">
        <f>'Rocky Point'!AU20</f>
        <v>53</v>
      </c>
      <c r="AX367">
        <f>'Rocky Point'!AV20</f>
        <v>11</v>
      </c>
    </row>
    <row r="368" spans="1:50">
      <c r="A368" t="str">
        <f>'Rocky Point'!A21</f>
        <v>/Users/z2134519/Documents/python/data/bushfire Raman/Rocky Point swamp/RP-M 0 (2)</v>
      </c>
      <c r="B368" t="s">
        <v>855</v>
      </c>
      <c r="C368">
        <v>0</v>
      </c>
      <c r="D368" t="str">
        <f>'Rocky Point'!B21</f>
        <v>18.07 counts</v>
      </c>
      <c r="E368">
        <f>'Rocky Point'!C21</f>
        <v>0.99261600000000005</v>
      </c>
      <c r="F368">
        <f>'Rocky Point'!D21</f>
        <v>1367</v>
      </c>
      <c r="G368">
        <f>'Rocky Point'!E21</f>
        <v>16387</v>
      </c>
      <c r="H368">
        <f>'Rocky Point'!F21</f>
        <v>198</v>
      </c>
      <c r="I368">
        <f>'Rocky Point'!G21</f>
        <v>3453797</v>
      </c>
      <c r="J368">
        <f>'Rocky Point'!H21</f>
        <v>51.8</v>
      </c>
      <c r="K368">
        <f>'Rocky Point'!I21</f>
        <v>1592</v>
      </c>
      <c r="L368">
        <f>'Rocky Point'!J21</f>
        <v>18397</v>
      </c>
      <c r="M368">
        <f>'Rocky Point'!K21</f>
        <v>121</v>
      </c>
      <c r="N368">
        <f>'Rocky Point'!L21</f>
        <v>2369543</v>
      </c>
      <c r="O368">
        <f>'Rocky Point'!M21</f>
        <v>35.5</v>
      </c>
      <c r="P368">
        <f>'Rocky Point'!N21</f>
        <v>1073</v>
      </c>
      <c r="Q368">
        <f>'Rocky Point'!O21</f>
        <v>929</v>
      </c>
      <c r="R368">
        <f>'Rocky Point'!P21</f>
        <v>116</v>
      </c>
      <c r="S368">
        <f>'Rocky Point'!Q21</f>
        <v>114711</v>
      </c>
      <c r="T368">
        <f>'Rocky Point'!R21</f>
        <v>1.7</v>
      </c>
      <c r="U368">
        <f>'Rocky Point'!S21</f>
        <v>1170</v>
      </c>
      <c r="V368">
        <f>'Rocky Point'!T21</f>
        <v>2687</v>
      </c>
      <c r="W368">
        <f>'Rocky Point'!U21</f>
        <v>102</v>
      </c>
      <c r="X368">
        <f>'Rocky Point'!V21</f>
        <v>291743</v>
      </c>
      <c r="Y368">
        <f>'Rocky Point'!W21</f>
        <v>4.4000000000000004</v>
      </c>
      <c r="Z368">
        <f>'Rocky Point'!X21</f>
        <v>1250</v>
      </c>
      <c r="AA368">
        <f>'Rocky Point'!Y21</f>
        <v>305</v>
      </c>
      <c r="AB368">
        <f>'Rocky Point'!Z21</f>
        <v>50</v>
      </c>
      <c r="AC368">
        <f>'Rocky Point'!AA21</f>
        <v>16233</v>
      </c>
      <c r="AD368">
        <f>'Rocky Point'!AB21</f>
        <v>0.2</v>
      </c>
      <c r="AE368">
        <f>'Rocky Point'!AC21</f>
        <v>1458</v>
      </c>
      <c r="AF368">
        <f>'Rocky Point'!AD21</f>
        <v>563</v>
      </c>
      <c r="AG368">
        <f>'Rocky Point'!AE21</f>
        <v>50</v>
      </c>
      <c r="AH368">
        <f>'Rocky Point'!AF21</f>
        <v>29965</v>
      </c>
      <c r="AI368">
        <f>'Rocky Point'!AG21</f>
        <v>0.4</v>
      </c>
      <c r="AJ368">
        <f>'Rocky Point'!AH21</f>
        <v>1492</v>
      </c>
      <c r="AK368">
        <f>'Rocky Point'!AI21</f>
        <v>2161</v>
      </c>
      <c r="AL368">
        <f>'Rocky Point'!AJ21</f>
        <v>50</v>
      </c>
      <c r="AM368">
        <f>'Rocky Point'!AK21</f>
        <v>115016</v>
      </c>
      <c r="AN368">
        <f>'Rocky Point'!AL21</f>
        <v>1.7</v>
      </c>
      <c r="AO368">
        <f>'Rocky Point'!AM21</f>
        <v>1598</v>
      </c>
      <c r="AP368">
        <f>'Rocky Point'!AN21</f>
        <v>1201</v>
      </c>
      <c r="AQ368">
        <f>'Rocky Point'!AO21</f>
        <v>50</v>
      </c>
      <c r="AR368">
        <f>'Rocky Point'!AP21</f>
        <v>63921</v>
      </c>
      <c r="AS368">
        <f>'Rocky Point'!AQ21</f>
        <v>1</v>
      </c>
      <c r="AT368">
        <f>'Rocky Point'!AR21</f>
        <v>1738</v>
      </c>
      <c r="AU368">
        <f>'Rocky Point'!AS21</f>
        <v>2135</v>
      </c>
      <c r="AV368">
        <f>'Rocky Point'!AT21</f>
        <v>94</v>
      </c>
      <c r="AW368">
        <f>'Rocky Point'!AU21</f>
        <v>213628</v>
      </c>
      <c r="AX368">
        <f>'Rocky Point'!AV21</f>
        <v>3.2</v>
      </c>
    </row>
    <row r="369" spans="1:50">
      <c r="A369" t="str">
        <f>'Rocky Point'!A22</f>
        <v>/Users/z2134519/Documents/python/data/bushfire Raman/Rocky Point swamp/RP-M 0 (3)</v>
      </c>
      <c r="B369" t="s">
        <v>855</v>
      </c>
      <c r="C369">
        <v>0</v>
      </c>
      <c r="D369" t="str">
        <f>'Rocky Point'!B22</f>
        <v>13.86 counts</v>
      </c>
      <c r="E369">
        <f>'Rocky Point'!C22</f>
        <v>0.99200299999999997</v>
      </c>
      <c r="F369">
        <f>'Rocky Point'!D22</f>
        <v>1365</v>
      </c>
      <c r="G369">
        <f>'Rocky Point'!E22</f>
        <v>12531</v>
      </c>
      <c r="H369">
        <f>'Rocky Point'!F22</f>
        <v>198</v>
      </c>
      <c r="I369">
        <f>'Rocky Point'!G22</f>
        <v>2641090</v>
      </c>
      <c r="J369">
        <f>'Rocky Point'!H22</f>
        <v>52.4</v>
      </c>
      <c r="K369">
        <f>'Rocky Point'!I22</f>
        <v>1590</v>
      </c>
      <c r="L369">
        <f>'Rocky Point'!J22</f>
        <v>13129</v>
      </c>
      <c r="M369">
        <f>'Rocky Point'!K22</f>
        <v>121</v>
      </c>
      <c r="N369">
        <f>'Rocky Point'!L22</f>
        <v>1691022</v>
      </c>
      <c r="O369">
        <f>'Rocky Point'!M22</f>
        <v>33.6</v>
      </c>
      <c r="P369">
        <f>'Rocky Point'!N22</f>
        <v>1073</v>
      </c>
      <c r="Q369">
        <f>'Rocky Point'!O22</f>
        <v>973</v>
      </c>
      <c r="R369">
        <f>'Rocky Point'!P22</f>
        <v>134</v>
      </c>
      <c r="S369">
        <f>'Rocky Point'!Q22</f>
        <v>138787</v>
      </c>
      <c r="T369">
        <f>'Rocky Point'!R22</f>
        <v>2.8</v>
      </c>
      <c r="U369">
        <f>'Rocky Point'!S22</f>
        <v>1178</v>
      </c>
      <c r="V369">
        <f>'Rocky Point'!T22</f>
        <v>2205</v>
      </c>
      <c r="W369">
        <f>'Rocky Point'!U22</f>
        <v>116</v>
      </c>
      <c r="X369">
        <f>'Rocky Point'!V22</f>
        <v>272269</v>
      </c>
      <c r="Y369">
        <f>'Rocky Point'!W22</f>
        <v>5.4</v>
      </c>
      <c r="Z369">
        <f>'Rocky Point'!X22</f>
        <v>1262</v>
      </c>
      <c r="AA369">
        <f>'Rocky Point'!Y22</f>
        <v>167</v>
      </c>
      <c r="AB369">
        <f>'Rocky Point'!Z22</f>
        <v>54</v>
      </c>
      <c r="AC369">
        <f>'Rocky Point'!AA22</f>
        <v>9599</v>
      </c>
      <c r="AD369">
        <f>'Rocky Point'!AB22</f>
        <v>0.2</v>
      </c>
      <c r="AE369">
        <f>'Rocky Point'!AC22</f>
        <v>1458</v>
      </c>
      <c r="AF369">
        <f>'Rocky Point'!AD22</f>
        <v>41</v>
      </c>
      <c r="AG369">
        <f>'Rocky Point'!AE22</f>
        <v>50</v>
      </c>
      <c r="AH369">
        <f>'Rocky Point'!AF22</f>
        <v>2182</v>
      </c>
      <c r="AI369">
        <f>'Rocky Point'!AG22</f>
        <v>0</v>
      </c>
      <c r="AJ369">
        <f>'Rocky Point'!AH22</f>
        <v>1492</v>
      </c>
      <c r="AK369">
        <f>'Rocky Point'!AI22</f>
        <v>1925</v>
      </c>
      <c r="AL369">
        <f>'Rocky Point'!AJ22</f>
        <v>52</v>
      </c>
      <c r="AM369">
        <f>'Rocky Point'!AK22</f>
        <v>106553</v>
      </c>
      <c r="AN369">
        <f>'Rocky Point'!AL22</f>
        <v>2.1</v>
      </c>
      <c r="AO369">
        <f>'Rocky Point'!AM22</f>
        <v>1598</v>
      </c>
      <c r="AP369">
        <f>'Rocky Point'!AN22</f>
        <v>1101</v>
      </c>
      <c r="AQ369">
        <f>'Rocky Point'!AO22</f>
        <v>50</v>
      </c>
      <c r="AR369">
        <f>'Rocky Point'!AP22</f>
        <v>58599</v>
      </c>
      <c r="AS369">
        <f>'Rocky Point'!AQ22</f>
        <v>1.2</v>
      </c>
      <c r="AT369">
        <f>'Rocky Point'!AR22</f>
        <v>1740</v>
      </c>
      <c r="AU369">
        <f>'Rocky Point'!AS22</f>
        <v>1189</v>
      </c>
      <c r="AV369">
        <f>'Rocky Point'!AT22</f>
        <v>92</v>
      </c>
      <c r="AW369">
        <f>'Rocky Point'!AU22</f>
        <v>116440</v>
      </c>
      <c r="AX369">
        <f>'Rocky Point'!AV22</f>
        <v>2.2999999999999998</v>
      </c>
    </row>
    <row r="370" spans="1:50">
      <c r="A370" t="str">
        <f>'Rocky Point'!A23</f>
        <v>/Users/z2134519/Documents/python/data/bushfire Raman/Rocky Point swamp/RP-M 0.5 (1)</v>
      </c>
      <c r="B370" t="s">
        <v>855</v>
      </c>
      <c r="C370">
        <v>0.5</v>
      </c>
      <c r="D370" t="str">
        <f>'Rocky Point'!B23</f>
        <v>18.08 counts</v>
      </c>
      <c r="E370">
        <f>'Rocky Point'!C23</f>
        <v>0.99522600000000006</v>
      </c>
      <c r="F370">
        <f>'Rocky Point'!D23</f>
        <v>1365</v>
      </c>
      <c r="G370">
        <f>'Rocky Point'!E23</f>
        <v>18667</v>
      </c>
      <c r="H370">
        <f>'Rocky Point'!F23</f>
        <v>198</v>
      </c>
      <c r="I370">
        <f>'Rocky Point'!G23</f>
        <v>3934340</v>
      </c>
      <c r="J370">
        <f>'Rocky Point'!H23</f>
        <v>46</v>
      </c>
      <c r="K370">
        <f>'Rocky Point'!I23</f>
        <v>1588</v>
      </c>
      <c r="L370">
        <f>'Rocky Point'!J23</f>
        <v>24559</v>
      </c>
      <c r="M370">
        <f>'Rocky Point'!K23</f>
        <v>117</v>
      </c>
      <c r="N370">
        <f>'Rocky Point'!L23</f>
        <v>3058643</v>
      </c>
      <c r="O370">
        <f>'Rocky Point'!M23</f>
        <v>35.799999999999997</v>
      </c>
      <c r="P370">
        <f>'Rocky Point'!N23</f>
        <v>1073</v>
      </c>
      <c r="Q370">
        <f>'Rocky Point'!O23</f>
        <v>1905</v>
      </c>
      <c r="R370">
        <f>'Rocky Point'!P23</f>
        <v>144</v>
      </c>
      <c r="S370">
        <f>'Rocky Point'!Q23</f>
        <v>292005</v>
      </c>
      <c r="T370">
        <f>'Rocky Point'!R23</f>
        <v>3.4</v>
      </c>
      <c r="U370">
        <f>'Rocky Point'!S23</f>
        <v>1186</v>
      </c>
      <c r="V370">
        <f>'Rocky Point'!T23</f>
        <v>4431</v>
      </c>
      <c r="W370">
        <f>'Rocky Point'!U23</f>
        <v>116</v>
      </c>
      <c r="X370">
        <f>'Rocky Point'!V23</f>
        <v>547132</v>
      </c>
      <c r="Y370">
        <f>'Rocky Point'!W23</f>
        <v>6.4</v>
      </c>
      <c r="Z370">
        <f>'Rocky Point'!X23</f>
        <v>1258</v>
      </c>
      <c r="AA370">
        <f>'Rocky Point'!Y23</f>
        <v>695</v>
      </c>
      <c r="AB370">
        <f>'Rocky Point'!Z23</f>
        <v>50</v>
      </c>
      <c r="AC370">
        <f>'Rocky Point'!AA23</f>
        <v>36990</v>
      </c>
      <c r="AD370">
        <f>'Rocky Point'!AB23</f>
        <v>0.4</v>
      </c>
      <c r="AE370">
        <f>'Rocky Point'!AC23</f>
        <v>1458</v>
      </c>
      <c r="AF370">
        <f>'Rocky Point'!AD23</f>
        <v>2341</v>
      </c>
      <c r="AG370">
        <f>'Rocky Point'!AE23</f>
        <v>54</v>
      </c>
      <c r="AH370">
        <f>'Rocky Point'!AF23</f>
        <v>134564</v>
      </c>
      <c r="AI370">
        <f>'Rocky Point'!AG23</f>
        <v>1.6</v>
      </c>
      <c r="AJ370">
        <f>'Rocky Point'!AH23</f>
        <v>1498</v>
      </c>
      <c r="AK370">
        <f>'Rocky Point'!AI23</f>
        <v>3153</v>
      </c>
      <c r="AL370">
        <f>'Rocky Point'!AJ23</f>
        <v>52</v>
      </c>
      <c r="AM370">
        <f>'Rocky Point'!AK23</f>
        <v>174526</v>
      </c>
      <c r="AN370">
        <f>'Rocky Point'!AL23</f>
        <v>2</v>
      </c>
      <c r="AO370">
        <f>'Rocky Point'!AM23</f>
        <v>1586</v>
      </c>
      <c r="AP370">
        <f>'Rocky Point'!AN23</f>
        <v>1619</v>
      </c>
      <c r="AQ370">
        <f>'Rocky Point'!AO23</f>
        <v>50</v>
      </c>
      <c r="AR370">
        <f>'Rocky Point'!AP23</f>
        <v>86169</v>
      </c>
      <c r="AS370">
        <f>'Rocky Point'!AQ23</f>
        <v>1</v>
      </c>
      <c r="AT370">
        <f>'Rocky Point'!AR23</f>
        <v>1734</v>
      </c>
      <c r="AU370">
        <f>'Rocky Point'!AS23</f>
        <v>2675</v>
      </c>
      <c r="AV370">
        <f>'Rocky Point'!AT23</f>
        <v>100</v>
      </c>
      <c r="AW370">
        <f>'Rocky Point'!AU23</f>
        <v>284745</v>
      </c>
      <c r="AX370">
        <f>'Rocky Point'!AV23</f>
        <v>3.3</v>
      </c>
    </row>
    <row r="371" spans="1:50">
      <c r="A371" t="str">
        <f>'Rocky Point'!A24</f>
        <v>/Users/z2134519/Documents/python/data/bushfire Raman/Rocky Point swamp/RP-M 0.5 (2)</v>
      </c>
      <c r="B371" t="s">
        <v>855</v>
      </c>
      <c r="C371">
        <v>0.5</v>
      </c>
      <c r="D371" t="str">
        <f>'Rocky Point'!B24</f>
        <v>14.92 counts</v>
      </c>
      <c r="E371">
        <f>'Rocky Point'!C24</f>
        <v>0.99392999999999998</v>
      </c>
      <c r="F371">
        <f>'Rocky Point'!D24</f>
        <v>1365</v>
      </c>
      <c r="G371">
        <f>'Rocky Point'!E24</f>
        <v>13687</v>
      </c>
      <c r="H371">
        <f>'Rocky Point'!F24</f>
        <v>198</v>
      </c>
      <c r="I371">
        <f>'Rocky Point'!G24</f>
        <v>2884733</v>
      </c>
      <c r="J371">
        <f>'Rocky Point'!H24</f>
        <v>46</v>
      </c>
      <c r="K371">
        <f>'Rocky Point'!I24</f>
        <v>1590</v>
      </c>
      <c r="L371">
        <f>'Rocky Point'!J24</f>
        <v>19173</v>
      </c>
      <c r="M371">
        <f>'Rocky Point'!K24</f>
        <v>111</v>
      </c>
      <c r="N371">
        <f>'Rocky Point'!L24</f>
        <v>2265402</v>
      </c>
      <c r="O371">
        <f>'Rocky Point'!M24</f>
        <v>36.200000000000003</v>
      </c>
      <c r="P371">
        <f>'Rocky Point'!N24</f>
        <v>1073</v>
      </c>
      <c r="Q371">
        <f>'Rocky Point'!O24</f>
        <v>1273</v>
      </c>
      <c r="R371">
        <f>'Rocky Point'!P24</f>
        <v>148</v>
      </c>
      <c r="S371">
        <f>'Rocky Point'!Q24</f>
        <v>200550</v>
      </c>
      <c r="T371">
        <f>'Rocky Point'!R24</f>
        <v>3.2</v>
      </c>
      <c r="U371">
        <f>'Rocky Point'!S24</f>
        <v>1186</v>
      </c>
      <c r="V371">
        <f>'Rocky Point'!T24</f>
        <v>2873</v>
      </c>
      <c r="W371">
        <f>'Rocky Point'!U24</f>
        <v>120</v>
      </c>
      <c r="X371">
        <f>'Rocky Point'!V24</f>
        <v>366986</v>
      </c>
      <c r="Y371">
        <f>'Rocky Point'!W24</f>
        <v>5.9</v>
      </c>
      <c r="Z371">
        <f>'Rocky Point'!X24</f>
        <v>1252</v>
      </c>
      <c r="AA371">
        <f>'Rocky Point'!Y24</f>
        <v>251</v>
      </c>
      <c r="AB371">
        <f>'Rocky Point'!Z24</f>
        <v>50</v>
      </c>
      <c r="AC371">
        <f>'Rocky Point'!AA24</f>
        <v>13359</v>
      </c>
      <c r="AD371">
        <f>'Rocky Point'!AB24</f>
        <v>0.2</v>
      </c>
      <c r="AE371">
        <f>'Rocky Point'!AC24</f>
        <v>1454</v>
      </c>
      <c r="AF371">
        <f>'Rocky Point'!AD24</f>
        <v>1191</v>
      </c>
      <c r="AG371">
        <f>'Rocky Point'!AE24</f>
        <v>54</v>
      </c>
      <c r="AH371">
        <f>'Rocky Point'!AF24</f>
        <v>68460</v>
      </c>
      <c r="AI371">
        <f>'Rocky Point'!AG24</f>
        <v>1.1000000000000001</v>
      </c>
      <c r="AJ371">
        <f>'Rocky Point'!AH24</f>
        <v>1492</v>
      </c>
      <c r="AK371">
        <f>'Rocky Point'!AI24</f>
        <v>2579</v>
      </c>
      <c r="AL371">
        <f>'Rocky Point'!AJ24</f>
        <v>54</v>
      </c>
      <c r="AM371">
        <f>'Rocky Point'!AK24</f>
        <v>148244</v>
      </c>
      <c r="AN371">
        <f>'Rocky Point'!AL24</f>
        <v>2.4</v>
      </c>
      <c r="AO371">
        <f>'Rocky Point'!AM24</f>
        <v>1598</v>
      </c>
      <c r="AP371">
        <f>'Rocky Point'!AN24</f>
        <v>709</v>
      </c>
      <c r="AQ371">
        <f>'Rocky Point'!AO24</f>
        <v>50</v>
      </c>
      <c r="AR371">
        <f>'Rocky Point'!AP24</f>
        <v>37735</v>
      </c>
      <c r="AS371">
        <f>'Rocky Point'!AQ24</f>
        <v>0.6</v>
      </c>
      <c r="AT371">
        <f>'Rocky Point'!AR24</f>
        <v>1732</v>
      </c>
      <c r="AU371">
        <f>'Rocky Point'!AS24</f>
        <v>2157</v>
      </c>
      <c r="AV371">
        <f>'Rocky Point'!AT24</f>
        <v>122</v>
      </c>
      <c r="AW371">
        <f>'Rocky Point'!AU24</f>
        <v>280119</v>
      </c>
      <c r="AX371">
        <f>'Rocky Point'!AV24</f>
        <v>4.5</v>
      </c>
    </row>
    <row r="372" spans="1:50">
      <c r="A372" t="str">
        <f>'Rocky Point'!A25</f>
        <v>/Users/z2134519/Documents/python/data/bushfire Raman/Rocky Point swamp/RP-M 0.5 (3)</v>
      </c>
      <c r="B372" t="s">
        <v>855</v>
      </c>
      <c r="C372">
        <v>0.5</v>
      </c>
      <c r="D372" t="str">
        <f>'Rocky Point'!B25</f>
        <v>9.74 counts</v>
      </c>
      <c r="E372">
        <f>'Rocky Point'!C25</f>
        <v>0.99512699999999998</v>
      </c>
      <c r="F372">
        <f>'Rocky Point'!D25</f>
        <v>1365</v>
      </c>
      <c r="G372">
        <f>'Rocky Point'!E25</f>
        <v>9103</v>
      </c>
      <c r="H372">
        <f>'Rocky Point'!F25</f>
        <v>196</v>
      </c>
      <c r="I372">
        <f>'Rocky Point'!G25</f>
        <v>1899209</v>
      </c>
      <c r="J372">
        <f>'Rocky Point'!H25</f>
        <v>45.8</v>
      </c>
      <c r="K372">
        <f>'Rocky Point'!I25</f>
        <v>1590</v>
      </c>
      <c r="L372">
        <f>'Rocky Point'!J25</f>
        <v>13687</v>
      </c>
      <c r="M372">
        <f>'Rocky Point'!K25</f>
        <v>119</v>
      </c>
      <c r="N372">
        <f>'Rocky Point'!L25</f>
        <v>1733754</v>
      </c>
      <c r="O372">
        <f>'Rocky Point'!M25</f>
        <v>41.8</v>
      </c>
      <c r="P372">
        <f>'Rocky Point'!N25</f>
        <v>1073</v>
      </c>
      <c r="Q372">
        <f>'Rocky Point'!O25</f>
        <v>445</v>
      </c>
      <c r="R372">
        <f>'Rocky Point'!P25</f>
        <v>122</v>
      </c>
      <c r="S372">
        <f>'Rocky Point'!Q25</f>
        <v>57790</v>
      </c>
      <c r="T372">
        <f>'Rocky Point'!R25</f>
        <v>1.4</v>
      </c>
      <c r="U372">
        <f>'Rocky Point'!S25</f>
        <v>1180</v>
      </c>
      <c r="V372">
        <f>'Rocky Point'!T25</f>
        <v>1567</v>
      </c>
      <c r="W372">
        <f>'Rocky Point'!U25</f>
        <v>102</v>
      </c>
      <c r="X372">
        <f>'Rocky Point'!V25</f>
        <v>170138</v>
      </c>
      <c r="Y372">
        <f>'Rocky Point'!W25</f>
        <v>4.0999999999999996</v>
      </c>
      <c r="Z372">
        <f>'Rocky Point'!X25</f>
        <v>1250</v>
      </c>
      <c r="AA372">
        <f>'Rocky Point'!Y25</f>
        <v>53</v>
      </c>
      <c r="AB372">
        <f>'Rocky Point'!Z25</f>
        <v>50</v>
      </c>
      <c r="AC372">
        <f>'Rocky Point'!AA25</f>
        <v>2821</v>
      </c>
      <c r="AD372">
        <f>'Rocky Point'!AB25</f>
        <v>0.1</v>
      </c>
      <c r="AE372">
        <f>'Rocky Point'!AC25</f>
        <v>1450</v>
      </c>
      <c r="AF372">
        <f>'Rocky Point'!AD25</f>
        <v>1177</v>
      </c>
      <c r="AG372">
        <f>'Rocky Point'!AE25</f>
        <v>56</v>
      </c>
      <c r="AH372">
        <f>'Rocky Point'!AF25</f>
        <v>70161</v>
      </c>
      <c r="AI372">
        <f>'Rocky Point'!AG25</f>
        <v>1.7</v>
      </c>
      <c r="AJ372">
        <f>'Rocky Point'!AH25</f>
        <v>1492</v>
      </c>
      <c r="AK372">
        <f>'Rocky Point'!AI25</f>
        <v>1369</v>
      </c>
      <c r="AL372">
        <f>'Rocky Point'!AJ25</f>
        <v>50</v>
      </c>
      <c r="AM372">
        <f>'Rocky Point'!AK25</f>
        <v>72863</v>
      </c>
      <c r="AN372">
        <f>'Rocky Point'!AL25</f>
        <v>1.8</v>
      </c>
      <c r="AO372">
        <f>'Rocky Point'!AM25</f>
        <v>1598</v>
      </c>
      <c r="AP372">
        <f>'Rocky Point'!AN25</f>
        <v>737</v>
      </c>
      <c r="AQ372">
        <f>'Rocky Point'!AO25</f>
        <v>50</v>
      </c>
      <c r="AR372">
        <f>'Rocky Point'!AP25</f>
        <v>39226</v>
      </c>
      <c r="AS372">
        <f>'Rocky Point'!AQ25</f>
        <v>0.9</v>
      </c>
      <c r="AT372">
        <f>'Rocky Point'!AR25</f>
        <v>1732</v>
      </c>
      <c r="AU372">
        <f>'Rocky Point'!AS25</f>
        <v>1233</v>
      </c>
      <c r="AV372">
        <f>'Rocky Point'!AT25</f>
        <v>80</v>
      </c>
      <c r="AW372">
        <f>'Rocky Point'!AU25</f>
        <v>104999</v>
      </c>
      <c r="AX372">
        <f>'Rocky Point'!AV25</f>
        <v>2.5</v>
      </c>
    </row>
    <row r="373" spans="1:50">
      <c r="A373" t="str">
        <f>'Rocky Point'!A26</f>
        <v>/Users/z2134519/Documents/python/data/bushfire Raman/Rocky Point swamp/RP-M 1 (1)</v>
      </c>
      <c r="B373" t="s">
        <v>855</v>
      </c>
      <c r="C373">
        <v>1</v>
      </c>
      <c r="D373" t="str">
        <f>'Rocky Point'!B26</f>
        <v>24.86 counts</v>
      </c>
      <c r="E373">
        <f>'Rocky Point'!C26</f>
        <v>0.982931</v>
      </c>
      <c r="F373">
        <f>'Rocky Point'!D26</f>
        <v>1365</v>
      </c>
      <c r="G373">
        <f>'Rocky Point'!E26</f>
        <v>14449</v>
      </c>
      <c r="H373">
        <f>'Rocky Point'!F26</f>
        <v>198</v>
      </c>
      <c r="I373">
        <f>'Rocky Point'!G26</f>
        <v>3045336</v>
      </c>
      <c r="J373">
        <f>'Rocky Point'!H26</f>
        <v>47.4</v>
      </c>
      <c r="K373">
        <f>'Rocky Point'!I26</f>
        <v>1590</v>
      </c>
      <c r="L373">
        <f>'Rocky Point'!J26</f>
        <v>17231</v>
      </c>
      <c r="M373">
        <f>'Rocky Point'!K26</f>
        <v>129</v>
      </c>
      <c r="N373">
        <f>'Rocky Point'!L26</f>
        <v>2366096</v>
      </c>
      <c r="O373">
        <f>'Rocky Point'!M26</f>
        <v>36.799999999999997</v>
      </c>
      <c r="P373">
        <f>'Rocky Point'!N26</f>
        <v>1073</v>
      </c>
      <c r="Q373">
        <f>'Rocky Point'!O26</f>
        <v>945</v>
      </c>
      <c r="R373">
        <f>'Rocky Point'!P26</f>
        <v>142</v>
      </c>
      <c r="S373">
        <f>'Rocky Point'!Q26</f>
        <v>142841</v>
      </c>
      <c r="T373">
        <f>'Rocky Point'!R26</f>
        <v>2.2000000000000002</v>
      </c>
      <c r="U373">
        <f>'Rocky Point'!S26</f>
        <v>1176</v>
      </c>
      <c r="V373">
        <f>'Rocky Point'!T26</f>
        <v>3005</v>
      </c>
      <c r="W373">
        <f>'Rocky Point'!U26</f>
        <v>100</v>
      </c>
      <c r="X373">
        <f>'Rocky Point'!V26</f>
        <v>319872</v>
      </c>
      <c r="Y373">
        <f>'Rocky Point'!W26</f>
        <v>5</v>
      </c>
      <c r="Z373">
        <f>'Rocky Point'!X26</f>
        <v>1262</v>
      </c>
      <c r="AA373">
        <f>'Rocky Point'!Y26</f>
        <v>337</v>
      </c>
      <c r="AB373">
        <f>'Rocky Point'!Z26</f>
        <v>50</v>
      </c>
      <c r="AC373">
        <f>'Rocky Point'!AA26</f>
        <v>17936</v>
      </c>
      <c r="AD373">
        <f>'Rocky Point'!AB26</f>
        <v>0.3</v>
      </c>
      <c r="AE373">
        <f>'Rocky Point'!AC26</f>
        <v>1456</v>
      </c>
      <c r="AF373">
        <f>'Rocky Point'!AD26</f>
        <v>1541</v>
      </c>
      <c r="AG373">
        <f>'Rocky Point'!AE26</f>
        <v>50</v>
      </c>
      <c r="AH373">
        <f>'Rocky Point'!AF26</f>
        <v>82017</v>
      </c>
      <c r="AI373">
        <f>'Rocky Point'!AG26</f>
        <v>1.3</v>
      </c>
      <c r="AJ373">
        <f>'Rocky Point'!AH26</f>
        <v>1492</v>
      </c>
      <c r="AK373">
        <f>'Rocky Point'!AI26</f>
        <v>2673</v>
      </c>
      <c r="AL373">
        <f>'Rocky Point'!AJ26</f>
        <v>52</v>
      </c>
      <c r="AM373">
        <f>'Rocky Point'!AK26</f>
        <v>147957</v>
      </c>
      <c r="AN373">
        <f>'Rocky Point'!AL26</f>
        <v>2.2999999999999998</v>
      </c>
      <c r="AO373">
        <f>'Rocky Point'!AM26</f>
        <v>1590</v>
      </c>
      <c r="AP373">
        <f>'Rocky Point'!AN26</f>
        <v>923</v>
      </c>
      <c r="AQ373">
        <f>'Rocky Point'!AO26</f>
        <v>50</v>
      </c>
      <c r="AR373">
        <f>'Rocky Point'!AP26</f>
        <v>49125</v>
      </c>
      <c r="AS373">
        <f>'Rocky Point'!AQ26</f>
        <v>0.8</v>
      </c>
      <c r="AT373">
        <f>'Rocky Point'!AR26</f>
        <v>1748</v>
      </c>
      <c r="AU373">
        <f>'Rocky Point'!AS26</f>
        <v>2463</v>
      </c>
      <c r="AV373">
        <f>'Rocky Point'!AT26</f>
        <v>98</v>
      </c>
      <c r="AW373">
        <f>'Rocky Point'!AU26</f>
        <v>256935</v>
      </c>
      <c r="AX373">
        <f>'Rocky Point'!AV26</f>
        <v>4</v>
      </c>
    </row>
    <row r="374" spans="1:50">
      <c r="A374" t="str">
        <f>'Rocky Point'!A27</f>
        <v>/Users/z2134519/Documents/python/data/bushfire Raman/Rocky Point swamp/RP-M 1.5 (1) BL</v>
      </c>
      <c r="B374" t="s">
        <v>855</v>
      </c>
      <c r="C374">
        <v>1.5</v>
      </c>
      <c r="D374" t="str">
        <f>'Rocky Point'!B27</f>
        <v>1.57 counts</v>
      </c>
      <c r="E374">
        <f>'Rocky Point'!C27</f>
        <v>0.94414900000000002</v>
      </c>
      <c r="F374">
        <f>'Rocky Point'!D27</f>
        <v>1349</v>
      </c>
      <c r="G374">
        <f>'Rocky Point'!E27</f>
        <v>403</v>
      </c>
      <c r="H374">
        <f>'Rocky Point'!F27</f>
        <v>110</v>
      </c>
      <c r="I374">
        <f>'Rocky Point'!G27</f>
        <v>47188</v>
      </c>
      <c r="J374">
        <f>'Rocky Point'!H27</f>
        <v>37.9</v>
      </c>
      <c r="K374">
        <f>'Rocky Point'!I27</f>
        <v>1598</v>
      </c>
      <c r="L374">
        <f>'Rocky Point'!J27</f>
        <v>795</v>
      </c>
      <c r="M374">
        <f>'Rocky Point'!K27</f>
        <v>73</v>
      </c>
      <c r="N374">
        <f>'Rocky Point'!L27</f>
        <v>61776</v>
      </c>
      <c r="O374">
        <f>'Rocky Point'!M27</f>
        <v>49.7</v>
      </c>
      <c r="P374">
        <f>'Rocky Point'!N27</f>
        <v>999</v>
      </c>
      <c r="Q374">
        <f>'Rocky Point'!O27</f>
        <v>45</v>
      </c>
      <c r="R374">
        <f>'Rocky Point'!P27</f>
        <v>198</v>
      </c>
      <c r="S374">
        <f>'Rocky Point'!Q27</f>
        <v>9484</v>
      </c>
      <c r="T374">
        <f>'Rocky Point'!R27</f>
        <v>7.6</v>
      </c>
      <c r="U374">
        <f>'Rocky Point'!S27</f>
        <v>1198</v>
      </c>
      <c r="V374">
        <f>'Rocky Point'!T27</f>
        <v>19</v>
      </c>
      <c r="W374">
        <f>'Rocky Point'!U27</f>
        <v>96</v>
      </c>
      <c r="X374">
        <f>'Rocky Point'!V27</f>
        <v>1942</v>
      </c>
      <c r="Y374">
        <f>'Rocky Point'!W27</f>
        <v>1.6</v>
      </c>
      <c r="Z374">
        <f>'Rocky Point'!X27</f>
        <v>1258</v>
      </c>
      <c r="AA374">
        <f>'Rocky Point'!Y27</f>
        <v>19</v>
      </c>
      <c r="AB374">
        <f>'Rocky Point'!Z27</f>
        <v>50</v>
      </c>
      <c r="AC374">
        <f>'Rocky Point'!AA27</f>
        <v>1011</v>
      </c>
      <c r="AD374">
        <f>'Rocky Point'!AB27</f>
        <v>0.8</v>
      </c>
      <c r="AE374">
        <f>'Rocky Point'!AC27</f>
        <v>1400</v>
      </c>
      <c r="AF374">
        <f>'Rocky Point'!AD27</f>
        <v>45</v>
      </c>
      <c r="AG374">
        <f>'Rocky Point'!AE27</f>
        <v>52</v>
      </c>
      <c r="AH374">
        <f>'Rocky Point'!AF27</f>
        <v>2491</v>
      </c>
      <c r="AI374">
        <f>'Rocky Point'!AG27</f>
        <v>2</v>
      </c>
      <c r="AJ374">
        <f>'Rocky Point'!AH27</f>
        <v>1542</v>
      </c>
      <c r="AK374">
        <f>'Rocky Point'!AI27</f>
        <v>7</v>
      </c>
      <c r="AL374">
        <f>'Rocky Point'!AJ27</f>
        <v>50</v>
      </c>
      <c r="AM374">
        <f>'Rocky Point'!AK27</f>
        <v>373</v>
      </c>
      <c r="AN374">
        <f>'Rocky Point'!AL27</f>
        <v>0.3</v>
      </c>
      <c r="AO374">
        <f>'Rocky Point'!AM27</f>
        <v>1598</v>
      </c>
      <c r="AP374">
        <f>'Rocky Point'!AN27</f>
        <v>1</v>
      </c>
      <c r="AQ374">
        <f>'Rocky Point'!AO27</f>
        <v>88</v>
      </c>
      <c r="AR374">
        <f>'Rocky Point'!AP27</f>
        <v>94</v>
      </c>
      <c r="AS374">
        <f>'Rocky Point'!AQ27</f>
        <v>0.1</v>
      </c>
      <c r="AT374">
        <f>'Rocky Point'!AR27</f>
        <v>1700</v>
      </c>
      <c r="AU374">
        <f>'Rocky Point'!AS27</f>
        <v>1</v>
      </c>
      <c r="AV374">
        <f>'Rocky Point'!AT27</f>
        <v>50</v>
      </c>
      <c r="AW374">
        <f>'Rocky Point'!AU27</f>
        <v>53</v>
      </c>
      <c r="AX374">
        <f>'Rocky Point'!AV27</f>
        <v>0</v>
      </c>
    </row>
    <row r="375" spans="1:50">
      <c r="A375" t="str">
        <f>'Rocky Point'!A28</f>
        <v>/Users/z2134519/Documents/python/data/bushfire Raman/Rocky Point swamp/RP-M 1.5 (2)</v>
      </c>
      <c r="B375" t="s">
        <v>855</v>
      </c>
      <c r="C375">
        <v>1.5</v>
      </c>
      <c r="D375" t="str">
        <f>'Rocky Point'!B28</f>
        <v>4.09 counts</v>
      </c>
      <c r="E375">
        <f>'Rocky Point'!C28</f>
        <v>0.98710299999999995</v>
      </c>
      <c r="F375">
        <f>'Rocky Point'!D28</f>
        <v>1365</v>
      </c>
      <c r="G375">
        <f>'Rocky Point'!E28</f>
        <v>3003</v>
      </c>
      <c r="H375">
        <f>'Rocky Point'!F28</f>
        <v>198</v>
      </c>
      <c r="I375">
        <f>'Rocky Point'!G28</f>
        <v>632926</v>
      </c>
      <c r="J375">
        <f>'Rocky Point'!H28</f>
        <v>52</v>
      </c>
      <c r="K375">
        <f>'Rocky Point'!I28</f>
        <v>1592</v>
      </c>
      <c r="L375">
        <f>'Rocky Point'!J28</f>
        <v>3201</v>
      </c>
      <c r="M375">
        <f>'Rocky Point'!K28</f>
        <v>111</v>
      </c>
      <c r="N375">
        <f>'Rocky Point'!L28</f>
        <v>378217</v>
      </c>
      <c r="O375">
        <f>'Rocky Point'!M28</f>
        <v>31.1</v>
      </c>
      <c r="P375">
        <f>'Rocky Point'!N28</f>
        <v>1073</v>
      </c>
      <c r="Q375">
        <f>'Rocky Point'!O28</f>
        <v>345</v>
      </c>
      <c r="R375">
        <f>'Rocky Point'!P28</f>
        <v>168</v>
      </c>
      <c r="S375">
        <f>'Rocky Point'!Q28</f>
        <v>61697</v>
      </c>
      <c r="T375">
        <f>'Rocky Point'!R28</f>
        <v>5.0999999999999996</v>
      </c>
      <c r="U375">
        <f>'Rocky Point'!S28</f>
        <v>1188</v>
      </c>
      <c r="V375">
        <f>'Rocky Point'!T28</f>
        <v>503</v>
      </c>
      <c r="W375">
        <f>'Rocky Point'!U28</f>
        <v>116</v>
      </c>
      <c r="X375">
        <f>'Rocky Point'!V28</f>
        <v>62110</v>
      </c>
      <c r="Y375">
        <f>'Rocky Point'!W28</f>
        <v>5.0999999999999996</v>
      </c>
      <c r="Z375">
        <f>'Rocky Point'!X28</f>
        <v>1298</v>
      </c>
      <c r="AA375">
        <f>'Rocky Point'!Y28</f>
        <v>43</v>
      </c>
      <c r="AB375">
        <f>'Rocky Point'!Z28</f>
        <v>50</v>
      </c>
      <c r="AC375">
        <f>'Rocky Point'!AA28</f>
        <v>2289</v>
      </c>
      <c r="AD375">
        <f>'Rocky Point'!AB28</f>
        <v>0.2</v>
      </c>
      <c r="AE375">
        <f>'Rocky Point'!AC28</f>
        <v>1458</v>
      </c>
      <c r="AF375">
        <f>'Rocky Point'!AD28</f>
        <v>33</v>
      </c>
      <c r="AG375">
        <f>'Rocky Point'!AE28</f>
        <v>50</v>
      </c>
      <c r="AH375">
        <f>'Rocky Point'!AF28</f>
        <v>1756</v>
      </c>
      <c r="AI375">
        <f>'Rocky Point'!AG28</f>
        <v>0.1</v>
      </c>
      <c r="AJ375">
        <f>'Rocky Point'!AH28</f>
        <v>1500</v>
      </c>
      <c r="AK375">
        <f>'Rocky Point'!AI28</f>
        <v>643</v>
      </c>
      <c r="AL375">
        <f>'Rocky Point'!AJ28</f>
        <v>52</v>
      </c>
      <c r="AM375">
        <f>'Rocky Point'!AK28</f>
        <v>35592</v>
      </c>
      <c r="AN375">
        <f>'Rocky Point'!AL28</f>
        <v>2.9</v>
      </c>
      <c r="AO375">
        <f>'Rocky Point'!AM28</f>
        <v>1598</v>
      </c>
      <c r="AP375">
        <f>'Rocky Point'!AN28</f>
        <v>103</v>
      </c>
      <c r="AQ375">
        <f>'Rocky Point'!AO28</f>
        <v>50</v>
      </c>
      <c r="AR375">
        <f>'Rocky Point'!AP28</f>
        <v>5482</v>
      </c>
      <c r="AS375">
        <f>'Rocky Point'!AQ28</f>
        <v>0.5</v>
      </c>
      <c r="AT375">
        <f>'Rocky Point'!AR28</f>
        <v>1734</v>
      </c>
      <c r="AU375">
        <f>'Rocky Point'!AS28</f>
        <v>327</v>
      </c>
      <c r="AV375">
        <f>'Rocky Point'!AT28</f>
        <v>108</v>
      </c>
      <c r="AW375">
        <f>'Rocky Point'!AU28</f>
        <v>37593</v>
      </c>
      <c r="AX375">
        <f>'Rocky Point'!AV28</f>
        <v>3.1</v>
      </c>
    </row>
    <row r="376" spans="1:50">
      <c r="A376" t="str">
        <f>'Rocky Point'!A29</f>
        <v xml:space="preserve">/Users/z2134519/Documents/python/data/bushfire Raman/Rocky Point swamp/RP-M 1.5 (3) BL </v>
      </c>
      <c r="B376" t="s">
        <v>855</v>
      </c>
      <c r="C376">
        <v>1.5</v>
      </c>
      <c r="D376" t="str">
        <f>'Rocky Point'!B29</f>
        <v>3.64 counts</v>
      </c>
      <c r="E376">
        <f>'Rocky Point'!C29</f>
        <v>0.95974800000000005</v>
      </c>
      <c r="F376">
        <f>'Rocky Point'!D29</f>
        <v>1351</v>
      </c>
      <c r="G376">
        <f>'Rocky Point'!E29</f>
        <v>1221</v>
      </c>
      <c r="H376">
        <f>'Rocky Point'!F29</f>
        <v>106</v>
      </c>
      <c r="I376">
        <f>'Rocky Point'!G29</f>
        <v>137770</v>
      </c>
      <c r="J376">
        <f>'Rocky Point'!H29</f>
        <v>44.7</v>
      </c>
      <c r="K376">
        <f>'Rocky Point'!I29</f>
        <v>1594</v>
      </c>
      <c r="L376">
        <f>'Rocky Point'!J29</f>
        <v>2109</v>
      </c>
      <c r="M376">
        <f>'Rocky Point'!K29</f>
        <v>63</v>
      </c>
      <c r="N376">
        <f>'Rocky Point'!L29</f>
        <v>141433</v>
      </c>
      <c r="O376">
        <f>'Rocky Point'!M29</f>
        <v>45.9</v>
      </c>
      <c r="P376">
        <f>'Rocky Point'!N29</f>
        <v>1073</v>
      </c>
      <c r="Q376">
        <f>'Rocky Point'!O29</f>
        <v>35</v>
      </c>
      <c r="R376">
        <f>'Rocky Point'!P29</f>
        <v>50</v>
      </c>
      <c r="S376">
        <f>'Rocky Point'!Q29</f>
        <v>1863</v>
      </c>
      <c r="T376">
        <f>'Rocky Point'!R29</f>
        <v>0.6</v>
      </c>
      <c r="U376">
        <f>'Rocky Point'!S29</f>
        <v>1150</v>
      </c>
      <c r="V376">
        <f>'Rocky Point'!T29</f>
        <v>1</v>
      </c>
      <c r="W376">
        <f>'Rocky Point'!U29</f>
        <v>50</v>
      </c>
      <c r="X376">
        <f>'Rocky Point'!V29</f>
        <v>53</v>
      </c>
      <c r="Y376">
        <f>'Rocky Point'!W29</f>
        <v>0</v>
      </c>
      <c r="Z376">
        <f>'Rocky Point'!X29</f>
        <v>1294</v>
      </c>
      <c r="AA376">
        <f>'Rocky Point'!Y29</f>
        <v>241</v>
      </c>
      <c r="AB376">
        <f>'Rocky Point'!Z29</f>
        <v>60</v>
      </c>
      <c r="AC376">
        <f>'Rocky Point'!AA29</f>
        <v>15392</v>
      </c>
      <c r="AD376">
        <f>'Rocky Point'!AB29</f>
        <v>5</v>
      </c>
      <c r="AE376">
        <f>'Rocky Point'!AC29</f>
        <v>1404</v>
      </c>
      <c r="AF376">
        <f>'Rocky Point'!AD29</f>
        <v>9</v>
      </c>
      <c r="AG376">
        <f>'Rocky Point'!AE29</f>
        <v>50</v>
      </c>
      <c r="AH376">
        <f>'Rocky Point'!AF29</f>
        <v>479</v>
      </c>
      <c r="AI376">
        <f>'Rocky Point'!AG29</f>
        <v>0.2</v>
      </c>
      <c r="AJ376">
        <f>'Rocky Point'!AH29</f>
        <v>1534</v>
      </c>
      <c r="AK376">
        <f>'Rocky Point'!AI29</f>
        <v>205</v>
      </c>
      <c r="AL376">
        <f>'Rocky Point'!AJ29</f>
        <v>50</v>
      </c>
      <c r="AM376">
        <f>'Rocky Point'!AK29</f>
        <v>10911</v>
      </c>
      <c r="AN376">
        <f>'Rocky Point'!AL29</f>
        <v>3.5</v>
      </c>
      <c r="AO376">
        <f>'Rocky Point'!AM29</f>
        <v>1598</v>
      </c>
      <c r="AP376">
        <f>'Rocky Point'!AN29</f>
        <v>1</v>
      </c>
      <c r="AQ376">
        <f>'Rocky Point'!AO29</f>
        <v>50</v>
      </c>
      <c r="AR376">
        <f>'Rocky Point'!AP29</f>
        <v>53</v>
      </c>
      <c r="AS376">
        <f>'Rocky Point'!AQ29</f>
        <v>0</v>
      </c>
      <c r="AT376">
        <f>'Rocky Point'!AR29</f>
        <v>1700</v>
      </c>
      <c r="AU376">
        <f>'Rocky Point'!AS29</f>
        <v>1</v>
      </c>
      <c r="AV376">
        <f>'Rocky Point'!AT29</f>
        <v>50</v>
      </c>
      <c r="AW376">
        <f>'Rocky Point'!AU29</f>
        <v>53</v>
      </c>
      <c r="AX376">
        <f>'Rocky Point'!AV29</f>
        <v>0</v>
      </c>
    </row>
    <row r="377" spans="1:50">
      <c r="A377" t="str">
        <f>'Rocky Point'!A30</f>
        <v>/Users/z2134519/Documents/python/data/bushfire Raman/Rocky Point swamp/RP-M 1.5 (4)</v>
      </c>
      <c r="B377" t="s">
        <v>855</v>
      </c>
      <c r="C377">
        <v>1.5</v>
      </c>
      <c r="D377" t="str">
        <f>'Rocky Point'!B30</f>
        <v>1.64 counts</v>
      </c>
      <c r="E377">
        <f>'Rocky Point'!C30</f>
        <v>0.98283200000000004</v>
      </c>
      <c r="F377">
        <f>'Rocky Point'!D30</f>
        <v>1365</v>
      </c>
      <c r="G377">
        <f>'Rocky Point'!E30</f>
        <v>977</v>
      </c>
      <c r="H377">
        <f>'Rocky Point'!F30</f>
        <v>196</v>
      </c>
      <c r="I377">
        <f>'Rocky Point'!G30</f>
        <v>203837</v>
      </c>
      <c r="J377">
        <f>'Rocky Point'!H30</f>
        <v>50.7</v>
      </c>
      <c r="K377">
        <f>'Rocky Point'!I30</f>
        <v>1594</v>
      </c>
      <c r="L377">
        <f>'Rocky Point'!J30</f>
        <v>1167</v>
      </c>
      <c r="M377">
        <f>'Rocky Point'!K30</f>
        <v>113</v>
      </c>
      <c r="N377">
        <f>'Rocky Point'!L30</f>
        <v>140372</v>
      </c>
      <c r="O377">
        <f>'Rocky Point'!M30</f>
        <v>34.9</v>
      </c>
      <c r="P377">
        <f>'Rocky Point'!N30</f>
        <v>1069</v>
      </c>
      <c r="Q377">
        <f>'Rocky Point'!O30</f>
        <v>97</v>
      </c>
      <c r="R377">
        <f>'Rocky Point'!P30</f>
        <v>198</v>
      </c>
      <c r="S377">
        <f>'Rocky Point'!Q30</f>
        <v>20444</v>
      </c>
      <c r="T377">
        <f>'Rocky Point'!R30</f>
        <v>5.0999999999999996</v>
      </c>
      <c r="U377">
        <f>'Rocky Point'!S30</f>
        <v>1190</v>
      </c>
      <c r="V377">
        <f>'Rocky Point'!T30</f>
        <v>131</v>
      </c>
      <c r="W377">
        <f>'Rocky Point'!U30</f>
        <v>94</v>
      </c>
      <c r="X377">
        <f>'Rocky Point'!V30</f>
        <v>13108</v>
      </c>
      <c r="Y377">
        <f>'Rocky Point'!W30</f>
        <v>3.3</v>
      </c>
      <c r="Z377">
        <f>'Rocky Point'!X30</f>
        <v>1250</v>
      </c>
      <c r="AA377">
        <f>'Rocky Point'!Y30</f>
        <v>1</v>
      </c>
      <c r="AB377">
        <f>'Rocky Point'!Z30</f>
        <v>50</v>
      </c>
      <c r="AC377">
        <f>'Rocky Point'!AA30</f>
        <v>53</v>
      </c>
      <c r="AD377">
        <f>'Rocky Point'!AB30</f>
        <v>0</v>
      </c>
      <c r="AE377">
        <f>'Rocky Point'!AC30</f>
        <v>1458</v>
      </c>
      <c r="AF377">
        <f>'Rocky Point'!AD30</f>
        <v>33</v>
      </c>
      <c r="AG377">
        <f>'Rocky Point'!AE30</f>
        <v>58</v>
      </c>
      <c r="AH377">
        <f>'Rocky Point'!AF30</f>
        <v>2037</v>
      </c>
      <c r="AI377">
        <f>'Rocky Point'!AG30</f>
        <v>0.5</v>
      </c>
      <c r="AJ377">
        <f>'Rocky Point'!AH30</f>
        <v>1494</v>
      </c>
      <c r="AK377">
        <f>'Rocky Point'!AI30</f>
        <v>145</v>
      </c>
      <c r="AL377">
        <f>'Rocky Point'!AJ30</f>
        <v>50</v>
      </c>
      <c r="AM377">
        <f>'Rocky Point'!AK30</f>
        <v>7717</v>
      </c>
      <c r="AN377">
        <f>'Rocky Point'!AL30</f>
        <v>1.9</v>
      </c>
      <c r="AO377">
        <f>'Rocky Point'!AM30</f>
        <v>1598</v>
      </c>
      <c r="AP377">
        <f>'Rocky Point'!AN30</f>
        <v>21</v>
      </c>
      <c r="AQ377">
        <f>'Rocky Point'!AO30</f>
        <v>50</v>
      </c>
      <c r="AR377">
        <f>'Rocky Point'!AP30</f>
        <v>1118</v>
      </c>
      <c r="AS377">
        <f>'Rocky Point'!AQ30</f>
        <v>0.3</v>
      </c>
      <c r="AT377">
        <f>'Rocky Point'!AR30</f>
        <v>1728</v>
      </c>
      <c r="AU377">
        <f>'Rocky Point'!AS30</f>
        <v>131</v>
      </c>
      <c r="AV377">
        <f>'Rocky Point'!AT30</f>
        <v>94</v>
      </c>
      <c r="AW377">
        <f>'Rocky Point'!AU30</f>
        <v>13108</v>
      </c>
      <c r="AX377">
        <f>'Rocky Point'!AV30</f>
        <v>3.3</v>
      </c>
    </row>
    <row r="378" spans="1:50">
      <c r="A378" t="str">
        <f>'Rocky Point'!A31</f>
        <v>/Users/z2134519/Documents/python/data/bushfire Raman/Rocky Point swamp/RP-M 1.5 BL</v>
      </c>
      <c r="B378" t="s">
        <v>855</v>
      </c>
      <c r="C378">
        <v>1.5</v>
      </c>
      <c r="D378" t="str">
        <f>'Rocky Point'!B31</f>
        <v>3.09 counts</v>
      </c>
      <c r="E378">
        <f>'Rocky Point'!C31</f>
        <v>0.91106600000000004</v>
      </c>
      <c r="F378">
        <f>'Rocky Point'!D31</f>
        <v>1365</v>
      </c>
      <c r="G378">
        <f>'Rocky Point'!E31</f>
        <v>685</v>
      </c>
      <c r="H378">
        <f>'Rocky Point'!F31</f>
        <v>190</v>
      </c>
      <c r="I378">
        <f>'Rocky Point'!G31</f>
        <v>138540</v>
      </c>
      <c r="J378">
        <f>'Rocky Point'!H31</f>
        <v>59.6</v>
      </c>
      <c r="K378">
        <f>'Rocky Point'!I31</f>
        <v>1594</v>
      </c>
      <c r="L378">
        <f>'Rocky Point'!J31</f>
        <v>877</v>
      </c>
      <c r="M378">
        <f>'Rocky Point'!K31</f>
        <v>83</v>
      </c>
      <c r="N378">
        <f>'Rocky Point'!L31</f>
        <v>77484</v>
      </c>
      <c r="O378">
        <f>'Rocky Point'!M31</f>
        <v>33.4</v>
      </c>
      <c r="P378">
        <f>'Rocky Point'!N31</f>
        <v>975</v>
      </c>
      <c r="Q378">
        <f>'Rocky Point'!O31</f>
        <v>21</v>
      </c>
      <c r="R378">
        <f>'Rocky Point'!P31</f>
        <v>198</v>
      </c>
      <c r="S378">
        <f>'Rocky Point'!Q31</f>
        <v>4426</v>
      </c>
      <c r="T378">
        <f>'Rocky Point'!R31</f>
        <v>1.9</v>
      </c>
      <c r="U378">
        <f>'Rocky Point'!S31</f>
        <v>1182</v>
      </c>
      <c r="V378">
        <f>'Rocky Point'!T31</f>
        <v>65</v>
      </c>
      <c r="W378">
        <f>'Rocky Point'!U31</f>
        <v>100</v>
      </c>
      <c r="X378">
        <f>'Rocky Point'!V31</f>
        <v>6919</v>
      </c>
      <c r="Y378">
        <f>'Rocky Point'!W31</f>
        <v>3</v>
      </c>
      <c r="Z378">
        <f>'Rocky Point'!X31</f>
        <v>1250</v>
      </c>
      <c r="AA378">
        <f>'Rocky Point'!Y31</f>
        <v>1</v>
      </c>
      <c r="AB378">
        <f>'Rocky Point'!Z31</f>
        <v>50</v>
      </c>
      <c r="AC378">
        <f>'Rocky Point'!AA31</f>
        <v>53</v>
      </c>
      <c r="AD378">
        <f>'Rocky Point'!AB31</f>
        <v>0</v>
      </c>
      <c r="AE378">
        <f>'Rocky Point'!AC31</f>
        <v>1400</v>
      </c>
      <c r="AF378">
        <f>'Rocky Point'!AD31</f>
        <v>1</v>
      </c>
      <c r="AG378">
        <f>'Rocky Point'!AE31</f>
        <v>198</v>
      </c>
      <c r="AH378">
        <f>'Rocky Point'!AF31</f>
        <v>211</v>
      </c>
      <c r="AI378">
        <f>'Rocky Point'!AG31</f>
        <v>0.1</v>
      </c>
      <c r="AJ378">
        <f>'Rocky Point'!AH31</f>
        <v>1508</v>
      </c>
      <c r="AK378">
        <f>'Rocky Point'!AI31</f>
        <v>85</v>
      </c>
      <c r="AL378">
        <f>'Rocky Point'!AJ31</f>
        <v>50</v>
      </c>
      <c r="AM378">
        <f>'Rocky Point'!AK31</f>
        <v>4524</v>
      </c>
      <c r="AN378">
        <f>'Rocky Point'!AL31</f>
        <v>1.9</v>
      </c>
      <c r="AO378">
        <f>'Rocky Point'!AM31</f>
        <v>1598</v>
      </c>
      <c r="AP378">
        <f>'Rocky Point'!AN31</f>
        <v>1</v>
      </c>
      <c r="AQ378">
        <f>'Rocky Point'!AO31</f>
        <v>50</v>
      </c>
      <c r="AR378">
        <f>'Rocky Point'!AP31</f>
        <v>53</v>
      </c>
      <c r="AS378">
        <f>'Rocky Point'!AQ31</f>
        <v>0</v>
      </c>
      <c r="AT378">
        <f>'Rocky Point'!AR31</f>
        <v>1700</v>
      </c>
      <c r="AU378">
        <f>'Rocky Point'!AS31</f>
        <v>1</v>
      </c>
      <c r="AV378">
        <f>'Rocky Point'!AT31</f>
        <v>50</v>
      </c>
      <c r="AW378">
        <f>'Rocky Point'!AU31</f>
        <v>53</v>
      </c>
      <c r="AX378">
        <f>'Rocky Point'!AV31</f>
        <v>0</v>
      </c>
    </row>
    <row r="379" spans="1:50">
      <c r="A379" t="str">
        <f>'Rocky Point'!A32</f>
        <v>/Users/z2134519/Documents/python/data/bushfire Raman/Rocky Point swamp/RP-M 1(2)</v>
      </c>
      <c r="B379" t="s">
        <v>855</v>
      </c>
      <c r="C379">
        <v>1</v>
      </c>
      <c r="D379" t="str">
        <f>'Rocky Point'!B32</f>
        <v>14.69 counts</v>
      </c>
      <c r="E379">
        <f>'Rocky Point'!C32</f>
        <v>0.99655800000000005</v>
      </c>
      <c r="F379">
        <f>'Rocky Point'!D32</f>
        <v>1365</v>
      </c>
      <c r="G379">
        <f>'Rocky Point'!E32</f>
        <v>18997</v>
      </c>
      <c r="H379">
        <f>'Rocky Point'!F32</f>
        <v>198</v>
      </c>
      <c r="I379">
        <f>'Rocky Point'!G32</f>
        <v>4003893</v>
      </c>
      <c r="J379">
        <f>'Rocky Point'!H32</f>
        <v>48.4</v>
      </c>
      <c r="K379">
        <f>'Rocky Point'!I32</f>
        <v>1586</v>
      </c>
      <c r="L379">
        <f>'Rocky Point'!J32</f>
        <v>20949</v>
      </c>
      <c r="M379">
        <f>'Rocky Point'!K32</f>
        <v>127</v>
      </c>
      <c r="N379">
        <f>'Rocky Point'!L32</f>
        <v>2832039</v>
      </c>
      <c r="O379">
        <f>'Rocky Point'!M32</f>
        <v>34.200000000000003</v>
      </c>
      <c r="P379">
        <f>'Rocky Point'!N32</f>
        <v>1073</v>
      </c>
      <c r="Q379">
        <f>'Rocky Point'!O32</f>
        <v>1653</v>
      </c>
      <c r="R379">
        <f>'Rocky Point'!P32</f>
        <v>128</v>
      </c>
      <c r="S379">
        <f>'Rocky Point'!Q32</f>
        <v>225224</v>
      </c>
      <c r="T379">
        <f>'Rocky Point'!R32</f>
        <v>2.7</v>
      </c>
      <c r="U379">
        <f>'Rocky Point'!S32</f>
        <v>1182</v>
      </c>
      <c r="V379">
        <f>'Rocky Point'!T32</f>
        <v>4447</v>
      </c>
      <c r="W379">
        <f>'Rocky Point'!U32</f>
        <v>118</v>
      </c>
      <c r="X379">
        <f>'Rocky Point'!V32</f>
        <v>558575</v>
      </c>
      <c r="Y379">
        <f>'Rocky Point'!W32</f>
        <v>6.8</v>
      </c>
      <c r="Z379">
        <f>'Rocky Point'!X32</f>
        <v>1262</v>
      </c>
      <c r="AA379">
        <f>'Rocky Point'!Y32</f>
        <v>539</v>
      </c>
      <c r="AB379">
        <f>'Rocky Point'!Z32</f>
        <v>50</v>
      </c>
      <c r="AC379">
        <f>'Rocky Point'!AA32</f>
        <v>28687</v>
      </c>
      <c r="AD379">
        <f>'Rocky Point'!AB32</f>
        <v>0.3</v>
      </c>
      <c r="AE379">
        <f>'Rocky Point'!AC32</f>
        <v>1458</v>
      </c>
      <c r="AF379">
        <f>'Rocky Point'!AD32</f>
        <v>2005</v>
      </c>
      <c r="AG379">
        <f>'Rocky Point'!AE32</f>
        <v>50</v>
      </c>
      <c r="AH379">
        <f>'Rocky Point'!AF32</f>
        <v>106713</v>
      </c>
      <c r="AI379">
        <f>'Rocky Point'!AG32</f>
        <v>1.3</v>
      </c>
      <c r="AJ379">
        <f>'Rocky Point'!AH32</f>
        <v>1496</v>
      </c>
      <c r="AK379">
        <f>'Rocky Point'!AI32</f>
        <v>3047</v>
      </c>
      <c r="AL379">
        <f>'Rocky Point'!AJ32</f>
        <v>52</v>
      </c>
      <c r="AM379">
        <f>'Rocky Point'!AK32</f>
        <v>168658</v>
      </c>
      <c r="AN379">
        <f>'Rocky Point'!AL32</f>
        <v>2</v>
      </c>
      <c r="AO379">
        <f>'Rocky Point'!AM32</f>
        <v>1594</v>
      </c>
      <c r="AP379">
        <f>'Rocky Point'!AN32</f>
        <v>2051</v>
      </c>
      <c r="AQ379">
        <f>'Rocky Point'!AO32</f>
        <v>50</v>
      </c>
      <c r="AR379">
        <f>'Rocky Point'!AP32</f>
        <v>109161</v>
      </c>
      <c r="AS379">
        <f>'Rocky Point'!AQ32</f>
        <v>1.3</v>
      </c>
      <c r="AT379">
        <f>'Rocky Point'!AR32</f>
        <v>1748</v>
      </c>
      <c r="AU379">
        <f>'Rocky Point'!AS32</f>
        <v>1789</v>
      </c>
      <c r="AV379">
        <f>'Rocky Point'!AT32</f>
        <v>124</v>
      </c>
      <c r="AW379">
        <f>'Rocky Point'!AU32</f>
        <v>236137</v>
      </c>
      <c r="AX379">
        <f>'Rocky Point'!AV32</f>
        <v>2.9</v>
      </c>
    </row>
    <row r="380" spans="1:50">
      <c r="A380" t="str">
        <f>'Rocky Point'!A33</f>
        <v xml:space="preserve">/Users/z2134519/Documents/python/data/bushfire Raman/Rocky Point swamp/RP-M 2 (3) </v>
      </c>
      <c r="B380" t="s">
        <v>855</v>
      </c>
      <c r="C380">
        <v>2</v>
      </c>
      <c r="D380" t="str">
        <f>'Rocky Point'!B33</f>
        <v>10.54 counts</v>
      </c>
      <c r="E380">
        <f>'Rocky Point'!C33</f>
        <v>0.99322699999999997</v>
      </c>
      <c r="F380">
        <f>'Rocky Point'!D33</f>
        <v>1365</v>
      </c>
      <c r="G380">
        <f>'Rocky Point'!E33</f>
        <v>9369</v>
      </c>
      <c r="H380">
        <f>'Rocky Point'!F33</f>
        <v>198</v>
      </c>
      <c r="I380">
        <f>'Rocky Point'!G33</f>
        <v>1974652</v>
      </c>
      <c r="J380">
        <f>'Rocky Point'!H33</f>
        <v>44.9</v>
      </c>
      <c r="K380">
        <f>'Rocky Point'!I33</f>
        <v>1586</v>
      </c>
      <c r="L380">
        <f>'Rocky Point'!J33</f>
        <v>11221</v>
      </c>
      <c r="M380">
        <f>'Rocky Point'!K33</f>
        <v>139</v>
      </c>
      <c r="N380">
        <f>'Rocky Point'!L33</f>
        <v>1660269</v>
      </c>
      <c r="O380">
        <f>'Rocky Point'!M33</f>
        <v>37.700000000000003</v>
      </c>
      <c r="P380">
        <f>'Rocky Point'!N33</f>
        <v>1073</v>
      </c>
      <c r="Q380">
        <f>'Rocky Point'!O33</f>
        <v>1051</v>
      </c>
      <c r="R380">
        <f>'Rocky Point'!P33</f>
        <v>158</v>
      </c>
      <c r="S380">
        <f>'Rocky Point'!Q33</f>
        <v>176763</v>
      </c>
      <c r="T380">
        <f>'Rocky Point'!R33</f>
        <v>4</v>
      </c>
      <c r="U380">
        <f>'Rocky Point'!S33</f>
        <v>1190</v>
      </c>
      <c r="V380">
        <f>'Rocky Point'!T33</f>
        <v>2249</v>
      </c>
      <c r="W380">
        <f>'Rocky Point'!U33</f>
        <v>118</v>
      </c>
      <c r="X380">
        <f>'Rocky Point'!V33</f>
        <v>282490</v>
      </c>
      <c r="Y380">
        <f>'Rocky Point'!W33</f>
        <v>6.4</v>
      </c>
      <c r="Z380">
        <f>'Rocky Point'!X33</f>
        <v>1256</v>
      </c>
      <c r="AA380">
        <f>'Rocky Point'!Y33</f>
        <v>119</v>
      </c>
      <c r="AB380">
        <f>'Rocky Point'!Z33</f>
        <v>50</v>
      </c>
      <c r="AC380">
        <f>'Rocky Point'!AA33</f>
        <v>6334</v>
      </c>
      <c r="AD380">
        <f>'Rocky Point'!AB33</f>
        <v>0.1</v>
      </c>
      <c r="AE380">
        <f>'Rocky Point'!AC33</f>
        <v>1450</v>
      </c>
      <c r="AF380">
        <f>'Rocky Point'!AD33</f>
        <v>993</v>
      </c>
      <c r="AG380">
        <f>'Rocky Point'!AE33</f>
        <v>50</v>
      </c>
      <c r="AH380">
        <f>'Rocky Point'!AF33</f>
        <v>52851</v>
      </c>
      <c r="AI380">
        <f>'Rocky Point'!AG33</f>
        <v>1.2</v>
      </c>
      <c r="AJ380">
        <f>'Rocky Point'!AH33</f>
        <v>1488</v>
      </c>
      <c r="AK380">
        <f>'Rocky Point'!AI33</f>
        <v>1093</v>
      </c>
      <c r="AL380">
        <f>'Rocky Point'!AJ33</f>
        <v>50</v>
      </c>
      <c r="AM380">
        <f>'Rocky Point'!AK33</f>
        <v>58173</v>
      </c>
      <c r="AN380">
        <f>'Rocky Point'!AL33</f>
        <v>1.3</v>
      </c>
      <c r="AO380">
        <f>'Rocky Point'!AM33</f>
        <v>1588</v>
      </c>
      <c r="AP380">
        <f>'Rocky Point'!AN33</f>
        <v>841</v>
      </c>
      <c r="AQ380">
        <f>'Rocky Point'!AO33</f>
        <v>50</v>
      </c>
      <c r="AR380">
        <f>'Rocky Point'!AP33</f>
        <v>44761</v>
      </c>
      <c r="AS380">
        <f>'Rocky Point'!AQ33</f>
        <v>1</v>
      </c>
      <c r="AT380">
        <f>'Rocky Point'!AR33</f>
        <v>1748</v>
      </c>
      <c r="AU380">
        <f>'Rocky Point'!AS33</f>
        <v>1105</v>
      </c>
      <c r="AV380">
        <f>'Rocky Point'!AT33</f>
        <v>124</v>
      </c>
      <c r="AW380">
        <f>'Rocky Point'!AU33</f>
        <v>145853</v>
      </c>
      <c r="AX380">
        <f>'Rocky Point'!AV33</f>
        <v>3.3</v>
      </c>
    </row>
    <row r="381" spans="1:50">
      <c r="A381" t="str">
        <f>'Rocky Point'!A34</f>
        <v>/Users/z2134519/Documents/python/data/bushfire Raman/Rocky Point swamp/RP-M 2 (3) BL</v>
      </c>
      <c r="B381" t="s">
        <v>855</v>
      </c>
      <c r="C381">
        <v>2</v>
      </c>
      <c r="D381" t="str">
        <f>'Rocky Point'!B34</f>
        <v>7.85 counts</v>
      </c>
      <c r="E381">
        <f>'Rocky Point'!C34</f>
        <v>0.99385999999999997</v>
      </c>
      <c r="F381">
        <f>'Rocky Point'!D34</f>
        <v>1367</v>
      </c>
      <c r="G381">
        <f>'Rocky Point'!E34</f>
        <v>5807</v>
      </c>
      <c r="H381">
        <f>'Rocky Point'!F34</f>
        <v>184</v>
      </c>
      <c r="I381">
        <f>'Rocky Point'!G34</f>
        <v>1137370</v>
      </c>
      <c r="J381">
        <f>'Rocky Point'!H34</f>
        <v>46.6</v>
      </c>
      <c r="K381">
        <f>'Rocky Point'!I34</f>
        <v>1586</v>
      </c>
      <c r="L381">
        <f>'Rocky Point'!J34</f>
        <v>9345</v>
      </c>
      <c r="M381">
        <f>'Rocky Point'!K34</f>
        <v>103</v>
      </c>
      <c r="N381">
        <f>'Rocky Point'!L34</f>
        <v>1024587</v>
      </c>
      <c r="O381">
        <f>'Rocky Point'!M34</f>
        <v>41.9</v>
      </c>
      <c r="P381">
        <f>'Rocky Point'!N34</f>
        <v>1051</v>
      </c>
      <c r="Q381">
        <f>'Rocky Point'!O34</f>
        <v>143</v>
      </c>
      <c r="R381">
        <f>'Rocky Point'!P34</f>
        <v>198</v>
      </c>
      <c r="S381">
        <f>'Rocky Point'!Q34</f>
        <v>30139</v>
      </c>
      <c r="T381">
        <f>'Rocky Point'!R34</f>
        <v>1.2</v>
      </c>
      <c r="U381">
        <f>'Rocky Point'!S34</f>
        <v>1198</v>
      </c>
      <c r="V381">
        <f>'Rocky Point'!T34</f>
        <v>53</v>
      </c>
      <c r="W381">
        <f>'Rocky Point'!U34</f>
        <v>60</v>
      </c>
      <c r="X381">
        <f>'Rocky Point'!V34</f>
        <v>3385</v>
      </c>
      <c r="Y381">
        <f>'Rocky Point'!W34</f>
        <v>0.1</v>
      </c>
      <c r="Z381">
        <f>'Rocky Point'!X34</f>
        <v>1250</v>
      </c>
      <c r="AA381">
        <f>'Rocky Point'!Y34</f>
        <v>41</v>
      </c>
      <c r="AB381">
        <f>'Rocky Point'!Z34</f>
        <v>50</v>
      </c>
      <c r="AC381">
        <f>'Rocky Point'!AA34</f>
        <v>2182</v>
      </c>
      <c r="AD381">
        <f>'Rocky Point'!AB34</f>
        <v>0.1</v>
      </c>
      <c r="AE381">
        <f>'Rocky Point'!AC34</f>
        <v>1456</v>
      </c>
      <c r="AF381">
        <f>'Rocky Point'!AD34</f>
        <v>1025</v>
      </c>
      <c r="AG381">
        <f>'Rocky Point'!AE34</f>
        <v>68</v>
      </c>
      <c r="AH381">
        <f>'Rocky Point'!AF34</f>
        <v>74193</v>
      </c>
      <c r="AI381">
        <f>'Rocky Point'!AG34</f>
        <v>3</v>
      </c>
      <c r="AJ381">
        <f>'Rocky Point'!AH34</f>
        <v>1506</v>
      </c>
      <c r="AK381">
        <f>'Rocky Point'!AI34</f>
        <v>1757</v>
      </c>
      <c r="AL381">
        <f>'Rocky Point'!AJ34</f>
        <v>64</v>
      </c>
      <c r="AM381">
        <f>'Rocky Point'!AK34</f>
        <v>119697</v>
      </c>
      <c r="AN381">
        <f>'Rocky Point'!AL34</f>
        <v>4.9000000000000004</v>
      </c>
      <c r="AO381">
        <f>'Rocky Point'!AM34</f>
        <v>1598</v>
      </c>
      <c r="AP381">
        <f>'Rocky Point'!AN34</f>
        <v>705</v>
      </c>
      <c r="AQ381">
        <f>'Rocky Point'!AO34</f>
        <v>50</v>
      </c>
      <c r="AR381">
        <f>'Rocky Point'!AP34</f>
        <v>37522</v>
      </c>
      <c r="AS381">
        <f>'Rocky Point'!AQ34</f>
        <v>1.5</v>
      </c>
      <c r="AT381">
        <f>'Rocky Point'!AR34</f>
        <v>1700</v>
      </c>
      <c r="AU381">
        <f>'Rocky Point'!AS34</f>
        <v>263</v>
      </c>
      <c r="AV381">
        <f>'Rocky Point'!AT34</f>
        <v>50</v>
      </c>
      <c r="AW381">
        <f>'Rocky Point'!AU34</f>
        <v>13998</v>
      </c>
      <c r="AX381">
        <f>'Rocky Point'!AV34</f>
        <v>0.6</v>
      </c>
    </row>
    <row r="382" spans="1:50">
      <c r="A382" t="str">
        <f>'Rocky Point'!A35</f>
        <v>/Users/z2134519/Documents/python/data/bushfire Raman/Rocky Point swamp/RP-M 2_BL</v>
      </c>
      <c r="B382" t="s">
        <v>855</v>
      </c>
      <c r="C382">
        <v>2</v>
      </c>
      <c r="D382" t="str">
        <f>'Rocky Point'!B35</f>
        <v>2.77 counts</v>
      </c>
      <c r="E382">
        <f>'Rocky Point'!C35</f>
        <v>0.99020399999999997</v>
      </c>
      <c r="F382">
        <f>'Rocky Point'!D35</f>
        <v>1367</v>
      </c>
      <c r="G382">
        <f>'Rocky Point'!E35</f>
        <v>1997</v>
      </c>
      <c r="H382">
        <f>'Rocky Point'!F35</f>
        <v>156</v>
      </c>
      <c r="I382">
        <f>'Rocky Point'!G35</f>
        <v>331616</v>
      </c>
      <c r="J382">
        <f>'Rocky Point'!H35</f>
        <v>48.1</v>
      </c>
      <c r="K382">
        <f>'Rocky Point'!I35</f>
        <v>1594</v>
      </c>
      <c r="L382">
        <f>'Rocky Point'!J35</f>
        <v>2871</v>
      </c>
      <c r="M382">
        <f>'Rocky Point'!K35</f>
        <v>99</v>
      </c>
      <c r="N382">
        <f>'Rocky Point'!L35</f>
        <v>302552</v>
      </c>
      <c r="O382">
        <f>'Rocky Point'!M35</f>
        <v>43.9</v>
      </c>
      <c r="P382">
        <f>'Rocky Point'!N35</f>
        <v>975</v>
      </c>
      <c r="Q382">
        <f>'Rocky Point'!O35</f>
        <v>15</v>
      </c>
      <c r="R382">
        <f>'Rocky Point'!P35</f>
        <v>50</v>
      </c>
      <c r="S382">
        <f>'Rocky Point'!Q35</f>
        <v>798</v>
      </c>
      <c r="T382">
        <f>'Rocky Point'!R35</f>
        <v>0.1</v>
      </c>
      <c r="U382">
        <f>'Rocky Point'!S35</f>
        <v>1166</v>
      </c>
      <c r="V382">
        <f>'Rocky Point'!T35</f>
        <v>51</v>
      </c>
      <c r="W382">
        <f>'Rocky Point'!U35</f>
        <v>118</v>
      </c>
      <c r="X382">
        <f>'Rocky Point'!V35</f>
        <v>6406</v>
      </c>
      <c r="Y382">
        <f>'Rocky Point'!W35</f>
        <v>0.9</v>
      </c>
      <c r="Z382">
        <f>'Rocky Point'!X35</f>
        <v>1256</v>
      </c>
      <c r="AA382">
        <f>'Rocky Point'!Y35</f>
        <v>65</v>
      </c>
      <c r="AB382">
        <f>'Rocky Point'!Z35</f>
        <v>50</v>
      </c>
      <c r="AC382">
        <f>'Rocky Point'!AA35</f>
        <v>3460</v>
      </c>
      <c r="AD382">
        <f>'Rocky Point'!AB35</f>
        <v>0.5</v>
      </c>
      <c r="AE382">
        <f>'Rocky Point'!AC35</f>
        <v>1458</v>
      </c>
      <c r="AF382">
        <f>'Rocky Point'!AD35</f>
        <v>95</v>
      </c>
      <c r="AG382">
        <f>'Rocky Point'!AE35</f>
        <v>50</v>
      </c>
      <c r="AH382">
        <f>'Rocky Point'!AF35</f>
        <v>5056</v>
      </c>
      <c r="AI382">
        <f>'Rocky Point'!AG35</f>
        <v>0.7</v>
      </c>
      <c r="AJ382">
        <f>'Rocky Point'!AH35</f>
        <v>1502</v>
      </c>
      <c r="AK382">
        <f>'Rocky Point'!AI35</f>
        <v>487</v>
      </c>
      <c r="AL382">
        <f>'Rocky Point'!AJ35</f>
        <v>54</v>
      </c>
      <c r="AM382">
        <f>'Rocky Point'!AK35</f>
        <v>27993</v>
      </c>
      <c r="AN382">
        <f>'Rocky Point'!AL35</f>
        <v>4.0999999999999996</v>
      </c>
      <c r="AO382">
        <f>'Rocky Point'!AM35</f>
        <v>1598</v>
      </c>
      <c r="AP382">
        <f>'Rocky Point'!AN35</f>
        <v>73</v>
      </c>
      <c r="AQ382">
        <f>'Rocky Point'!AO35</f>
        <v>50</v>
      </c>
      <c r="AR382">
        <f>'Rocky Point'!AP35</f>
        <v>3885</v>
      </c>
      <c r="AS382">
        <f>'Rocky Point'!AQ35</f>
        <v>0.6</v>
      </c>
      <c r="AT382">
        <f>'Rocky Point'!AR35</f>
        <v>1714</v>
      </c>
      <c r="AU382">
        <f>'Rocky Point'!AS35</f>
        <v>147</v>
      </c>
      <c r="AV382">
        <f>'Rocky Point'!AT35</f>
        <v>50</v>
      </c>
      <c r="AW382">
        <f>'Rocky Point'!AU35</f>
        <v>7824</v>
      </c>
      <c r="AX382">
        <f>'Rocky Point'!AV35</f>
        <v>1.1000000000000001</v>
      </c>
    </row>
    <row r="383" spans="1:50">
      <c r="A383" t="str">
        <f>'Rocky Point'!A36</f>
        <v>/Users/z2134519/Documents/python/data/bushfire Raman/Rocky Point swamp/RP-M 2. 5 BL</v>
      </c>
      <c r="B383" t="s">
        <v>855</v>
      </c>
      <c r="C383">
        <v>2.5</v>
      </c>
      <c r="D383" t="str">
        <f>'Rocky Point'!B36</f>
        <v>6.26 counts</v>
      </c>
      <c r="E383">
        <f>'Rocky Point'!C36</f>
        <v>0.95896199999999998</v>
      </c>
      <c r="F383">
        <f>'Rocky Point'!D36</f>
        <v>1363</v>
      </c>
      <c r="G383">
        <f>'Rocky Point'!E36</f>
        <v>1753</v>
      </c>
      <c r="H383">
        <f>'Rocky Point'!F36</f>
        <v>150</v>
      </c>
      <c r="I383">
        <f>'Rocky Point'!G36</f>
        <v>279902</v>
      </c>
      <c r="J383">
        <f>'Rocky Point'!H36</f>
        <v>41.9</v>
      </c>
      <c r="K383">
        <f>'Rocky Point'!I36</f>
        <v>1592</v>
      </c>
      <c r="L383">
        <f>'Rocky Point'!J36</f>
        <v>3853</v>
      </c>
      <c r="M383">
        <f>'Rocky Point'!K36</f>
        <v>75</v>
      </c>
      <c r="N383">
        <f>'Rocky Point'!L36</f>
        <v>307604</v>
      </c>
      <c r="O383">
        <f>'Rocky Point'!M36</f>
        <v>46</v>
      </c>
      <c r="P383">
        <f>'Rocky Point'!N36</f>
        <v>975</v>
      </c>
      <c r="Q383">
        <f>'Rocky Point'!O36</f>
        <v>1</v>
      </c>
      <c r="R383">
        <f>'Rocky Point'!P36</f>
        <v>50</v>
      </c>
      <c r="S383">
        <f>'Rocky Point'!Q36</f>
        <v>53</v>
      </c>
      <c r="T383">
        <f>'Rocky Point'!R36</f>
        <v>0</v>
      </c>
      <c r="U383">
        <f>'Rocky Point'!S36</f>
        <v>1150</v>
      </c>
      <c r="V383">
        <f>'Rocky Point'!T36</f>
        <v>39</v>
      </c>
      <c r="W383">
        <f>'Rocky Point'!U36</f>
        <v>50</v>
      </c>
      <c r="X383">
        <f>'Rocky Point'!V36</f>
        <v>2076</v>
      </c>
      <c r="Y383">
        <f>'Rocky Point'!W36</f>
        <v>0.3</v>
      </c>
      <c r="Z383">
        <f>'Rocky Point'!X36</f>
        <v>1298</v>
      </c>
      <c r="AA383">
        <f>'Rocky Point'!Y36</f>
        <v>87</v>
      </c>
      <c r="AB383">
        <f>'Rocky Point'!Z36</f>
        <v>66</v>
      </c>
      <c r="AC383">
        <f>'Rocky Point'!AA36</f>
        <v>6112</v>
      </c>
      <c r="AD383">
        <f>'Rocky Point'!AB36</f>
        <v>0.9</v>
      </c>
      <c r="AE383">
        <f>'Rocky Point'!AC36</f>
        <v>1458</v>
      </c>
      <c r="AF383">
        <f>'Rocky Point'!AD36</f>
        <v>71</v>
      </c>
      <c r="AG383">
        <f>'Rocky Point'!AE36</f>
        <v>50</v>
      </c>
      <c r="AH383">
        <f>'Rocky Point'!AF36</f>
        <v>3779</v>
      </c>
      <c r="AI383">
        <f>'Rocky Point'!AG36</f>
        <v>0.6</v>
      </c>
      <c r="AJ383">
        <f>'Rocky Point'!AH36</f>
        <v>1510</v>
      </c>
      <c r="AK383">
        <f>'Rocky Point'!AI36</f>
        <v>893</v>
      </c>
      <c r="AL383">
        <f>'Rocky Point'!AJ36</f>
        <v>62</v>
      </c>
      <c r="AM383">
        <f>'Rocky Point'!AK36</f>
        <v>58935</v>
      </c>
      <c r="AN383">
        <f>'Rocky Point'!AL36</f>
        <v>8.8000000000000007</v>
      </c>
      <c r="AO383">
        <f>'Rocky Point'!AM36</f>
        <v>1598</v>
      </c>
      <c r="AP383">
        <f>'Rocky Point'!AN36</f>
        <v>1</v>
      </c>
      <c r="AQ383">
        <f>'Rocky Point'!AO36</f>
        <v>162</v>
      </c>
      <c r="AR383">
        <f>'Rocky Point'!AP36</f>
        <v>172</v>
      </c>
      <c r="AS383">
        <f>'Rocky Point'!AQ36</f>
        <v>0</v>
      </c>
      <c r="AT383">
        <f>'Rocky Point'!AR36</f>
        <v>1700</v>
      </c>
      <c r="AU383">
        <f>'Rocky Point'!AS36</f>
        <v>131</v>
      </c>
      <c r="AV383">
        <f>'Rocky Point'!AT36</f>
        <v>68</v>
      </c>
      <c r="AW383">
        <f>'Rocky Point'!AU36</f>
        <v>9482</v>
      </c>
      <c r="AX383">
        <f>'Rocky Point'!AV36</f>
        <v>1.4</v>
      </c>
    </row>
    <row r="384" spans="1:50">
      <c r="A384" t="str">
        <f>'Rocky Point'!A37</f>
        <v>/Users/z2134519/Documents/python/data/bushfire Raman/Rocky Point swamp/RP-M 2.5 (1)</v>
      </c>
      <c r="B384" t="s">
        <v>855</v>
      </c>
      <c r="C384">
        <v>2.5</v>
      </c>
      <c r="D384" t="str">
        <f>'Rocky Point'!B37</f>
        <v>7.18 counts</v>
      </c>
      <c r="E384">
        <f>'Rocky Point'!C37</f>
        <v>0.973472</v>
      </c>
      <c r="F384">
        <f>'Rocky Point'!D37</f>
        <v>1365</v>
      </c>
      <c r="G384">
        <f>'Rocky Point'!E37</f>
        <v>3421</v>
      </c>
      <c r="H384">
        <f>'Rocky Point'!F37</f>
        <v>198</v>
      </c>
      <c r="I384">
        <f>'Rocky Point'!G37</f>
        <v>721025</v>
      </c>
      <c r="J384">
        <f>'Rocky Point'!H37</f>
        <v>50.4</v>
      </c>
      <c r="K384">
        <f>'Rocky Point'!I37</f>
        <v>1590</v>
      </c>
      <c r="L384">
        <f>'Rocky Point'!J37</f>
        <v>4083</v>
      </c>
      <c r="M384">
        <f>'Rocky Point'!K37</f>
        <v>111</v>
      </c>
      <c r="N384">
        <f>'Rocky Point'!L37</f>
        <v>482430</v>
      </c>
      <c r="O384">
        <f>'Rocky Point'!M37</f>
        <v>33.700000000000003</v>
      </c>
      <c r="P384">
        <f>'Rocky Point'!N37</f>
        <v>1073</v>
      </c>
      <c r="Q384">
        <f>'Rocky Point'!O37</f>
        <v>257</v>
      </c>
      <c r="R384">
        <f>'Rocky Point'!P37</f>
        <v>140</v>
      </c>
      <c r="S384">
        <f>'Rocky Point'!Q37</f>
        <v>38300</v>
      </c>
      <c r="T384">
        <f>'Rocky Point'!R37</f>
        <v>2.7</v>
      </c>
      <c r="U384">
        <f>'Rocky Point'!S37</f>
        <v>1184</v>
      </c>
      <c r="V384">
        <f>'Rocky Point'!T37</f>
        <v>709</v>
      </c>
      <c r="W384">
        <f>'Rocky Point'!U37</f>
        <v>112</v>
      </c>
      <c r="X384">
        <f>'Rocky Point'!V37</f>
        <v>84527</v>
      </c>
      <c r="Y384">
        <f>'Rocky Point'!W37</f>
        <v>5.9</v>
      </c>
      <c r="Z384">
        <f>'Rocky Point'!X37</f>
        <v>1270</v>
      </c>
      <c r="AA384">
        <f>'Rocky Point'!Y37</f>
        <v>103</v>
      </c>
      <c r="AB384">
        <f>'Rocky Point'!Z37</f>
        <v>58</v>
      </c>
      <c r="AC384">
        <f>'Rocky Point'!AA37</f>
        <v>6359</v>
      </c>
      <c r="AD384">
        <f>'Rocky Point'!AB37</f>
        <v>0.4</v>
      </c>
      <c r="AE384">
        <f>'Rocky Point'!AC37</f>
        <v>1458</v>
      </c>
      <c r="AF384">
        <f>'Rocky Point'!AD37</f>
        <v>45</v>
      </c>
      <c r="AG384">
        <f>'Rocky Point'!AE37</f>
        <v>50</v>
      </c>
      <c r="AH384">
        <f>'Rocky Point'!AF37</f>
        <v>2395</v>
      </c>
      <c r="AI384">
        <f>'Rocky Point'!AG37</f>
        <v>0.2</v>
      </c>
      <c r="AJ384">
        <f>'Rocky Point'!AH37</f>
        <v>1492</v>
      </c>
      <c r="AK384">
        <f>'Rocky Point'!AI37</f>
        <v>651</v>
      </c>
      <c r="AL384">
        <f>'Rocky Point'!AJ37</f>
        <v>54</v>
      </c>
      <c r="AM384">
        <f>'Rocky Point'!AK37</f>
        <v>37420</v>
      </c>
      <c r="AN384">
        <f>'Rocky Point'!AL37</f>
        <v>2.6</v>
      </c>
      <c r="AO384">
        <f>'Rocky Point'!AM37</f>
        <v>1598</v>
      </c>
      <c r="AP384">
        <f>'Rocky Point'!AN37</f>
        <v>269</v>
      </c>
      <c r="AQ384">
        <f>'Rocky Point'!AO37</f>
        <v>50</v>
      </c>
      <c r="AR384">
        <f>'Rocky Point'!AP37</f>
        <v>14317</v>
      </c>
      <c r="AS384">
        <f>'Rocky Point'!AQ37</f>
        <v>1</v>
      </c>
      <c r="AT384">
        <f>'Rocky Point'!AR37</f>
        <v>1738</v>
      </c>
      <c r="AU384">
        <f>'Rocky Point'!AS37</f>
        <v>401</v>
      </c>
      <c r="AV384">
        <f>'Rocky Point'!AT37</f>
        <v>102</v>
      </c>
      <c r="AW384">
        <f>'Rocky Point'!AU37</f>
        <v>43539</v>
      </c>
      <c r="AX384">
        <f>'Rocky Point'!AV37</f>
        <v>3</v>
      </c>
    </row>
    <row r="385" spans="1:50">
      <c r="A385" t="str">
        <f>'Rocky Point'!A38</f>
        <v>/Users/z2134519/Documents/python/data/bushfire Raman/Rocky Point swamp/RP-M 2.5 (2) BL</v>
      </c>
      <c r="B385" t="s">
        <v>855</v>
      </c>
      <c r="C385">
        <v>2.5</v>
      </c>
      <c r="D385" t="str">
        <f>'Rocky Point'!B38</f>
        <v>8.79 counts</v>
      </c>
      <c r="E385">
        <f>'Rocky Point'!C38</f>
        <v>0.83045000000000002</v>
      </c>
      <c r="F385">
        <f>'Rocky Point'!D38</f>
        <v>1357</v>
      </c>
      <c r="G385">
        <f>'Rocky Point'!E38</f>
        <v>1197</v>
      </c>
      <c r="H385">
        <f>'Rocky Point'!F38</f>
        <v>164</v>
      </c>
      <c r="I385">
        <f>'Rocky Point'!G38</f>
        <v>208963</v>
      </c>
      <c r="J385">
        <f>'Rocky Point'!H38</f>
        <v>51.7</v>
      </c>
      <c r="K385">
        <f>'Rocky Point'!I38</f>
        <v>1592</v>
      </c>
      <c r="L385">
        <f>'Rocky Point'!J38</f>
        <v>2071</v>
      </c>
      <c r="M385">
        <f>'Rocky Point'!K38</f>
        <v>61</v>
      </c>
      <c r="N385">
        <f>'Rocky Point'!L38</f>
        <v>134475</v>
      </c>
      <c r="O385">
        <f>'Rocky Point'!M38</f>
        <v>33.299999999999997</v>
      </c>
      <c r="P385">
        <f>'Rocky Point'!N38</f>
        <v>1013</v>
      </c>
      <c r="Q385">
        <f>'Rocky Point'!O38</f>
        <v>97</v>
      </c>
      <c r="R385">
        <f>'Rocky Point'!P38</f>
        <v>190</v>
      </c>
      <c r="S385">
        <f>'Rocky Point'!Q38</f>
        <v>19618</v>
      </c>
      <c r="T385">
        <f>'Rocky Point'!R38</f>
        <v>4.9000000000000004</v>
      </c>
      <c r="U385">
        <f>'Rocky Point'!S38</f>
        <v>1164</v>
      </c>
      <c r="V385">
        <f>'Rocky Point'!T38</f>
        <v>81</v>
      </c>
      <c r="W385">
        <f>'Rocky Point'!U38</f>
        <v>92</v>
      </c>
      <c r="X385">
        <f>'Rocky Point'!V38</f>
        <v>7932</v>
      </c>
      <c r="Y385">
        <f>'Rocky Point'!W38</f>
        <v>2</v>
      </c>
      <c r="Z385">
        <f>'Rocky Point'!X38</f>
        <v>1298</v>
      </c>
      <c r="AA385">
        <f>'Rocky Point'!Y38</f>
        <v>75</v>
      </c>
      <c r="AB385">
        <f>'Rocky Point'!Z38</f>
        <v>88</v>
      </c>
      <c r="AC385">
        <f>'Rocky Point'!AA38</f>
        <v>7025</v>
      </c>
      <c r="AD385">
        <f>'Rocky Point'!AB38</f>
        <v>1.7</v>
      </c>
      <c r="AE385">
        <f>'Rocky Point'!AC38</f>
        <v>1458</v>
      </c>
      <c r="AF385">
        <f>'Rocky Point'!AD38</f>
        <v>1</v>
      </c>
      <c r="AG385">
        <f>'Rocky Point'!AE38</f>
        <v>50</v>
      </c>
      <c r="AH385">
        <f>'Rocky Point'!AF38</f>
        <v>53</v>
      </c>
      <c r="AI385">
        <f>'Rocky Point'!AG38</f>
        <v>0</v>
      </c>
      <c r="AJ385">
        <f>'Rocky Point'!AH38</f>
        <v>1528</v>
      </c>
      <c r="AK385">
        <f>'Rocky Point'!AI38</f>
        <v>395</v>
      </c>
      <c r="AL385">
        <f>'Rocky Point'!AJ38</f>
        <v>56</v>
      </c>
      <c r="AM385">
        <f>'Rocky Point'!AK38</f>
        <v>23546</v>
      </c>
      <c r="AN385">
        <f>'Rocky Point'!AL38</f>
        <v>5.8</v>
      </c>
      <c r="AO385">
        <f>'Rocky Point'!AM38</f>
        <v>1598</v>
      </c>
      <c r="AP385">
        <f>'Rocky Point'!AN38</f>
        <v>45</v>
      </c>
      <c r="AQ385">
        <f>'Rocky Point'!AO38</f>
        <v>50</v>
      </c>
      <c r="AR385">
        <f>'Rocky Point'!AP38</f>
        <v>2395</v>
      </c>
      <c r="AS385">
        <f>'Rocky Point'!AQ38</f>
        <v>0.6</v>
      </c>
      <c r="AT385">
        <f>'Rocky Point'!AR38</f>
        <v>1700</v>
      </c>
      <c r="AU385">
        <f>'Rocky Point'!AS38</f>
        <v>1</v>
      </c>
      <c r="AV385">
        <f>'Rocky Point'!AT38</f>
        <v>50</v>
      </c>
      <c r="AW385">
        <f>'Rocky Point'!AU38</f>
        <v>53</v>
      </c>
      <c r="AX385">
        <f>'Rocky Point'!AV38</f>
        <v>0</v>
      </c>
    </row>
    <row r="386" spans="1:50">
      <c r="A386" t="str">
        <f>'Rocky Point'!A39</f>
        <v xml:space="preserve">/Users/z2134519/Documents/python/data/bushfire Raman/Rocky Point swamp/RP-M 2.5 (3) </v>
      </c>
      <c r="B386" t="s">
        <v>855</v>
      </c>
      <c r="C386">
        <v>2.5</v>
      </c>
      <c r="D386" t="str">
        <f>'Rocky Point'!B39</f>
        <v>11.80 counts</v>
      </c>
      <c r="E386">
        <f>'Rocky Point'!C39</f>
        <v>0.99371799999999999</v>
      </c>
      <c r="F386">
        <f>'Rocky Point'!D39</f>
        <v>1365</v>
      </c>
      <c r="G386">
        <f>'Rocky Point'!E39</f>
        <v>10737</v>
      </c>
      <c r="H386">
        <f>'Rocky Point'!F39</f>
        <v>198</v>
      </c>
      <c r="I386">
        <f>'Rocky Point'!G39</f>
        <v>2262978</v>
      </c>
      <c r="J386">
        <f>'Rocky Point'!H39</f>
        <v>45.3</v>
      </c>
      <c r="K386">
        <f>'Rocky Point'!I39</f>
        <v>1584</v>
      </c>
      <c r="L386">
        <f>'Rocky Point'!J39</f>
        <v>12885</v>
      </c>
      <c r="M386">
        <f>'Rocky Point'!K39</f>
        <v>137</v>
      </c>
      <c r="N386">
        <f>'Rocky Point'!L39</f>
        <v>1879045</v>
      </c>
      <c r="O386">
        <f>'Rocky Point'!M39</f>
        <v>37.6</v>
      </c>
      <c r="P386">
        <f>'Rocky Point'!N39</f>
        <v>1073</v>
      </c>
      <c r="Q386">
        <f>'Rocky Point'!O39</f>
        <v>1031</v>
      </c>
      <c r="R386">
        <f>'Rocky Point'!P39</f>
        <v>144</v>
      </c>
      <c r="S386">
        <f>'Rocky Point'!Q39</f>
        <v>158035</v>
      </c>
      <c r="T386">
        <f>'Rocky Point'!R39</f>
        <v>3.2</v>
      </c>
      <c r="U386">
        <f>'Rocky Point'!S39</f>
        <v>1186</v>
      </c>
      <c r="V386">
        <f>'Rocky Point'!T39</f>
        <v>2453</v>
      </c>
      <c r="W386">
        <f>'Rocky Point'!U39</f>
        <v>118</v>
      </c>
      <c r="X386">
        <f>'Rocky Point'!V39</f>
        <v>308114</v>
      </c>
      <c r="Y386">
        <f>'Rocky Point'!W39</f>
        <v>6.2</v>
      </c>
      <c r="Z386">
        <f>'Rocky Point'!X39</f>
        <v>1252</v>
      </c>
      <c r="AA386">
        <f>'Rocky Point'!Y39</f>
        <v>243</v>
      </c>
      <c r="AB386">
        <f>'Rocky Point'!Z39</f>
        <v>50</v>
      </c>
      <c r="AC386">
        <f>'Rocky Point'!AA39</f>
        <v>12933</v>
      </c>
      <c r="AD386">
        <f>'Rocky Point'!AB39</f>
        <v>0.3</v>
      </c>
      <c r="AE386">
        <f>'Rocky Point'!AC39</f>
        <v>1452</v>
      </c>
      <c r="AF386">
        <f>'Rocky Point'!AD39</f>
        <v>1001</v>
      </c>
      <c r="AG386">
        <f>'Rocky Point'!AE39</f>
        <v>50</v>
      </c>
      <c r="AH386">
        <f>'Rocky Point'!AF39</f>
        <v>53277</v>
      </c>
      <c r="AI386">
        <f>'Rocky Point'!AG39</f>
        <v>1.1000000000000001</v>
      </c>
      <c r="AJ386">
        <f>'Rocky Point'!AH39</f>
        <v>1488</v>
      </c>
      <c r="AK386">
        <f>'Rocky Point'!AI39</f>
        <v>903</v>
      </c>
      <c r="AL386">
        <f>'Rocky Point'!AJ39</f>
        <v>50</v>
      </c>
      <c r="AM386">
        <f>'Rocky Point'!AK39</f>
        <v>48061</v>
      </c>
      <c r="AN386">
        <f>'Rocky Point'!AL39</f>
        <v>1</v>
      </c>
      <c r="AO386">
        <f>'Rocky Point'!AM39</f>
        <v>1588</v>
      </c>
      <c r="AP386">
        <f>'Rocky Point'!AN39</f>
        <v>1673</v>
      </c>
      <c r="AQ386">
        <f>'Rocky Point'!AO39</f>
        <v>50</v>
      </c>
      <c r="AR386">
        <f>'Rocky Point'!AP39</f>
        <v>89043</v>
      </c>
      <c r="AS386">
        <f>'Rocky Point'!AQ39</f>
        <v>1.8</v>
      </c>
      <c r="AT386">
        <f>'Rocky Point'!AR39</f>
        <v>1748</v>
      </c>
      <c r="AU386">
        <f>'Rocky Point'!AS39</f>
        <v>1143</v>
      </c>
      <c r="AV386">
        <f>'Rocky Point'!AT39</f>
        <v>150</v>
      </c>
      <c r="AW386">
        <f>'Rocky Point'!AU39</f>
        <v>182503</v>
      </c>
      <c r="AX386">
        <f>'Rocky Point'!AV39</f>
        <v>3.7</v>
      </c>
    </row>
    <row r="387" spans="1:50">
      <c r="A387" t="str">
        <f>'Rocky Point'!A40</f>
        <v>/Users/z2134519/Documents/python/data/bushfire Raman/Rocky Point swamp/RP-M 2.5 (3) BL</v>
      </c>
      <c r="B387" t="s">
        <v>855</v>
      </c>
      <c r="C387">
        <v>2.5</v>
      </c>
      <c r="D387" t="str">
        <f>'Rocky Point'!B40</f>
        <v>6.25 counts</v>
      </c>
      <c r="E387">
        <f>'Rocky Point'!C40</f>
        <v>0.99641900000000005</v>
      </c>
      <c r="F387">
        <f>'Rocky Point'!D40</f>
        <v>1369</v>
      </c>
      <c r="G387">
        <f>'Rocky Point'!E40</f>
        <v>5219</v>
      </c>
      <c r="H387">
        <f>'Rocky Point'!F40</f>
        <v>164</v>
      </c>
      <c r="I387">
        <f>'Rocky Point'!G40</f>
        <v>911094</v>
      </c>
      <c r="J387">
        <f>'Rocky Point'!H40</f>
        <v>39.1</v>
      </c>
      <c r="K387">
        <f>'Rocky Point'!I40</f>
        <v>1588</v>
      </c>
      <c r="L387">
        <f>'Rocky Point'!J40</f>
        <v>10851</v>
      </c>
      <c r="M387">
        <f>'Rocky Point'!K40</f>
        <v>95</v>
      </c>
      <c r="N387">
        <f>'Rocky Point'!L40</f>
        <v>1097301</v>
      </c>
      <c r="O387">
        <f>'Rocky Point'!M40</f>
        <v>47.1</v>
      </c>
      <c r="P387">
        <f>'Rocky Point'!N40</f>
        <v>1023</v>
      </c>
      <c r="Q387">
        <f>'Rocky Point'!O40</f>
        <v>147</v>
      </c>
      <c r="R387">
        <f>'Rocky Point'!P40</f>
        <v>78</v>
      </c>
      <c r="S387">
        <f>'Rocky Point'!Q40</f>
        <v>12205</v>
      </c>
      <c r="T387">
        <f>'Rocky Point'!R40</f>
        <v>0.5</v>
      </c>
      <c r="U387">
        <f>'Rocky Point'!S40</f>
        <v>1150</v>
      </c>
      <c r="V387">
        <f>'Rocky Point'!T40</f>
        <v>143</v>
      </c>
      <c r="W387">
        <f>'Rocky Point'!U40</f>
        <v>60</v>
      </c>
      <c r="X387">
        <f>'Rocky Point'!V40</f>
        <v>9133</v>
      </c>
      <c r="Y387">
        <f>'Rocky Point'!W40</f>
        <v>0.4</v>
      </c>
      <c r="Z387">
        <f>'Rocky Point'!X40</f>
        <v>1252</v>
      </c>
      <c r="AA387">
        <f>'Rocky Point'!Y40</f>
        <v>57</v>
      </c>
      <c r="AB387">
        <f>'Rocky Point'!Z40</f>
        <v>50</v>
      </c>
      <c r="AC387">
        <f>'Rocky Point'!AA40</f>
        <v>3034</v>
      </c>
      <c r="AD387">
        <f>'Rocky Point'!AB40</f>
        <v>0.1</v>
      </c>
      <c r="AE387">
        <f>'Rocky Point'!AC40</f>
        <v>1458</v>
      </c>
      <c r="AF387">
        <f>'Rocky Point'!AD40</f>
        <v>1129</v>
      </c>
      <c r="AG387">
        <f>'Rocky Point'!AE40</f>
        <v>78</v>
      </c>
      <c r="AH387">
        <f>'Rocky Point'!AF40</f>
        <v>93739</v>
      </c>
      <c r="AI387">
        <f>'Rocky Point'!AG40</f>
        <v>4</v>
      </c>
      <c r="AJ387">
        <f>'Rocky Point'!AH40</f>
        <v>1512</v>
      </c>
      <c r="AK387">
        <f>'Rocky Point'!AI40</f>
        <v>2045</v>
      </c>
      <c r="AL387">
        <f>'Rocky Point'!AJ40</f>
        <v>66</v>
      </c>
      <c r="AM387">
        <f>'Rocky Point'!AK40</f>
        <v>143671</v>
      </c>
      <c r="AN387">
        <f>'Rocky Point'!AL40</f>
        <v>6.2</v>
      </c>
      <c r="AO387">
        <f>'Rocky Point'!AM40</f>
        <v>1594</v>
      </c>
      <c r="AP387">
        <f>'Rocky Point'!AN40</f>
        <v>831</v>
      </c>
      <c r="AQ387">
        <f>'Rocky Point'!AO40</f>
        <v>50</v>
      </c>
      <c r="AR387">
        <f>'Rocky Point'!AP40</f>
        <v>44229</v>
      </c>
      <c r="AS387">
        <f>'Rocky Point'!AQ40</f>
        <v>1.9</v>
      </c>
      <c r="AT387">
        <f>'Rocky Point'!AR40</f>
        <v>1700</v>
      </c>
      <c r="AU387">
        <f>'Rocky Point'!AS40</f>
        <v>325</v>
      </c>
      <c r="AV387">
        <f>'Rocky Point'!AT40</f>
        <v>50</v>
      </c>
      <c r="AW387">
        <f>'Rocky Point'!AU40</f>
        <v>17298</v>
      </c>
      <c r="AX387">
        <f>'Rocky Point'!AV40</f>
        <v>0.7</v>
      </c>
    </row>
    <row r="388" spans="1:50">
      <c r="A388" t="str">
        <f>'Rocky Point'!A41</f>
        <v>/Users/z2134519/Documents/python/data/bushfire Raman/Rocky Point swamp/RP-M 2.5(2)</v>
      </c>
      <c r="B388" t="s">
        <v>855</v>
      </c>
      <c r="C388">
        <v>2.5</v>
      </c>
      <c r="D388" t="str">
        <f>'Rocky Point'!B41</f>
        <v>3.42 counts</v>
      </c>
      <c r="E388">
        <f>'Rocky Point'!C41</f>
        <v>0.98813099999999998</v>
      </c>
      <c r="F388">
        <f>'Rocky Point'!D41</f>
        <v>1365</v>
      </c>
      <c r="G388">
        <f>'Rocky Point'!E41</f>
        <v>2523</v>
      </c>
      <c r="H388">
        <f>'Rocky Point'!F41</f>
        <v>198</v>
      </c>
      <c r="I388">
        <f>'Rocky Point'!G41</f>
        <v>531759</v>
      </c>
      <c r="J388">
        <f>'Rocky Point'!H41</f>
        <v>50.8</v>
      </c>
      <c r="K388">
        <f>'Rocky Point'!I41</f>
        <v>1592</v>
      </c>
      <c r="L388">
        <f>'Rocky Point'!J41</f>
        <v>3013</v>
      </c>
      <c r="M388">
        <f>'Rocky Point'!K41</f>
        <v>101</v>
      </c>
      <c r="N388">
        <f>'Rocky Point'!L41</f>
        <v>323931</v>
      </c>
      <c r="O388">
        <f>'Rocky Point'!M41</f>
        <v>30.9</v>
      </c>
      <c r="P388">
        <f>'Rocky Point'!N41</f>
        <v>1071</v>
      </c>
      <c r="Q388">
        <f>'Rocky Point'!O41</f>
        <v>245</v>
      </c>
      <c r="R388">
        <f>'Rocky Point'!P41</f>
        <v>178</v>
      </c>
      <c r="S388">
        <f>'Rocky Point'!Q41</f>
        <v>46421</v>
      </c>
      <c r="T388">
        <f>'Rocky Point'!R41</f>
        <v>4.4000000000000004</v>
      </c>
      <c r="U388">
        <f>'Rocky Point'!S41</f>
        <v>1190</v>
      </c>
      <c r="V388">
        <f>'Rocky Point'!T41</f>
        <v>521</v>
      </c>
      <c r="W388">
        <f>'Rocky Point'!U41</f>
        <v>116</v>
      </c>
      <c r="X388">
        <f>'Rocky Point'!V41</f>
        <v>64332</v>
      </c>
      <c r="Y388">
        <f>'Rocky Point'!W41</f>
        <v>6.1</v>
      </c>
      <c r="Z388">
        <f>'Rocky Point'!X41</f>
        <v>1274</v>
      </c>
      <c r="AA388">
        <f>'Rocky Point'!Y41</f>
        <v>57</v>
      </c>
      <c r="AB388">
        <f>'Rocky Point'!Z41</f>
        <v>52</v>
      </c>
      <c r="AC388">
        <f>'Rocky Point'!AA41</f>
        <v>3155</v>
      </c>
      <c r="AD388">
        <f>'Rocky Point'!AB41</f>
        <v>0.3</v>
      </c>
      <c r="AE388">
        <f>'Rocky Point'!AC41</f>
        <v>1458</v>
      </c>
      <c r="AF388">
        <f>'Rocky Point'!AD41</f>
        <v>39</v>
      </c>
      <c r="AG388">
        <f>'Rocky Point'!AE41</f>
        <v>50</v>
      </c>
      <c r="AH388">
        <f>'Rocky Point'!AF41</f>
        <v>2076</v>
      </c>
      <c r="AI388">
        <f>'Rocky Point'!AG41</f>
        <v>0.2</v>
      </c>
      <c r="AJ388">
        <f>'Rocky Point'!AH41</f>
        <v>1500</v>
      </c>
      <c r="AK388">
        <f>'Rocky Point'!AI41</f>
        <v>657</v>
      </c>
      <c r="AL388">
        <f>'Rocky Point'!AJ41</f>
        <v>54</v>
      </c>
      <c r="AM388">
        <f>'Rocky Point'!AK41</f>
        <v>37765</v>
      </c>
      <c r="AN388">
        <f>'Rocky Point'!AL41</f>
        <v>3.6</v>
      </c>
      <c r="AO388">
        <f>'Rocky Point'!AM41</f>
        <v>1596</v>
      </c>
      <c r="AP388">
        <f>'Rocky Point'!AN41</f>
        <v>67</v>
      </c>
      <c r="AQ388">
        <f>'Rocky Point'!AO41</f>
        <v>50</v>
      </c>
      <c r="AR388">
        <f>'Rocky Point'!AP41</f>
        <v>3566</v>
      </c>
      <c r="AS388">
        <f>'Rocky Point'!AQ41</f>
        <v>0.3</v>
      </c>
      <c r="AT388">
        <f>'Rocky Point'!AR41</f>
        <v>1734</v>
      </c>
      <c r="AU388">
        <f>'Rocky Point'!AS41</f>
        <v>275</v>
      </c>
      <c r="AV388">
        <f>'Rocky Point'!AT41</f>
        <v>116</v>
      </c>
      <c r="AW388">
        <f>'Rocky Point'!AU41</f>
        <v>33956</v>
      </c>
      <c r="AX388">
        <f>'Rocky Point'!AV41</f>
        <v>3.2</v>
      </c>
    </row>
    <row r="389" spans="1:50">
      <c r="A389" t="str">
        <f>'Rocky Point'!A42</f>
        <v>/Users/z2134519/Documents/python/data/bushfire Raman/Rocky Point swamp/RP-M 2</v>
      </c>
      <c r="B389" t="s">
        <v>855</v>
      </c>
      <c r="C389">
        <v>2</v>
      </c>
      <c r="D389" t="str">
        <f>'Rocky Point'!B42</f>
        <v>3.93 counts</v>
      </c>
      <c r="E389">
        <f>'Rocky Point'!C42</f>
        <v>0.989402</v>
      </c>
      <c r="F389">
        <f>'Rocky Point'!D42</f>
        <v>1365</v>
      </c>
      <c r="G389">
        <f>'Rocky Point'!E42</f>
        <v>3109</v>
      </c>
      <c r="H389">
        <f>'Rocky Point'!F42</f>
        <v>196</v>
      </c>
      <c r="I389">
        <f>'Rocky Point'!G42</f>
        <v>648648</v>
      </c>
      <c r="J389">
        <f>'Rocky Point'!H42</f>
        <v>50.6</v>
      </c>
      <c r="K389">
        <f>'Rocky Point'!I42</f>
        <v>1590</v>
      </c>
      <c r="L389">
        <f>'Rocky Point'!J42</f>
        <v>3425</v>
      </c>
      <c r="M389">
        <f>'Rocky Point'!K42</f>
        <v>121</v>
      </c>
      <c r="N389">
        <f>'Rocky Point'!L42</f>
        <v>441142</v>
      </c>
      <c r="O389">
        <f>'Rocky Point'!M42</f>
        <v>34.4</v>
      </c>
      <c r="P389">
        <f>'Rocky Point'!N42</f>
        <v>1073</v>
      </c>
      <c r="Q389">
        <f>'Rocky Point'!O42</f>
        <v>249</v>
      </c>
      <c r="R389">
        <f>'Rocky Point'!P42</f>
        <v>152</v>
      </c>
      <c r="S389">
        <f>'Rocky Point'!Q42</f>
        <v>40288</v>
      </c>
      <c r="T389">
        <f>'Rocky Point'!R42</f>
        <v>3.1</v>
      </c>
      <c r="U389">
        <f>'Rocky Point'!S42</f>
        <v>1186</v>
      </c>
      <c r="V389">
        <f>'Rocky Point'!T42</f>
        <v>517</v>
      </c>
      <c r="W389">
        <f>'Rocky Point'!U42</f>
        <v>114</v>
      </c>
      <c r="X389">
        <f>'Rocky Point'!V42</f>
        <v>62738</v>
      </c>
      <c r="Y389">
        <f>'Rocky Point'!W42</f>
        <v>4.9000000000000004</v>
      </c>
      <c r="Z389">
        <f>'Rocky Point'!X42</f>
        <v>1252</v>
      </c>
      <c r="AA389">
        <f>'Rocky Point'!Y42</f>
        <v>7</v>
      </c>
      <c r="AB389">
        <f>'Rocky Point'!Z42</f>
        <v>50</v>
      </c>
      <c r="AC389">
        <f>'Rocky Point'!AA42</f>
        <v>373</v>
      </c>
      <c r="AD389">
        <f>'Rocky Point'!AB42</f>
        <v>0</v>
      </c>
      <c r="AE389">
        <f>'Rocky Point'!AC42</f>
        <v>1458</v>
      </c>
      <c r="AF389">
        <f>'Rocky Point'!AD42</f>
        <v>97</v>
      </c>
      <c r="AG389">
        <f>'Rocky Point'!AE42</f>
        <v>50</v>
      </c>
      <c r="AH389">
        <f>'Rocky Point'!AF42</f>
        <v>5163</v>
      </c>
      <c r="AI389">
        <f>'Rocky Point'!AG42</f>
        <v>0.4</v>
      </c>
      <c r="AJ389">
        <f>'Rocky Point'!AH42</f>
        <v>1490</v>
      </c>
      <c r="AK389">
        <f>'Rocky Point'!AI42</f>
        <v>339</v>
      </c>
      <c r="AL389">
        <f>'Rocky Point'!AJ42</f>
        <v>50</v>
      </c>
      <c r="AM389">
        <f>'Rocky Point'!AK42</f>
        <v>18043</v>
      </c>
      <c r="AN389">
        <f>'Rocky Point'!AL42</f>
        <v>1.4</v>
      </c>
      <c r="AO389">
        <f>'Rocky Point'!AM42</f>
        <v>1598</v>
      </c>
      <c r="AP389">
        <f>'Rocky Point'!AN42</f>
        <v>195</v>
      </c>
      <c r="AQ389">
        <f>'Rocky Point'!AO42</f>
        <v>50</v>
      </c>
      <c r="AR389">
        <f>'Rocky Point'!AP42</f>
        <v>10379</v>
      </c>
      <c r="AS389">
        <f>'Rocky Point'!AQ42</f>
        <v>0.8</v>
      </c>
      <c r="AT389">
        <f>'Rocky Point'!AR42</f>
        <v>1736</v>
      </c>
      <c r="AU389">
        <f>'Rocky Point'!AS42</f>
        <v>483</v>
      </c>
      <c r="AV389">
        <f>'Rocky Point'!AT42</f>
        <v>106</v>
      </c>
      <c r="AW389">
        <f>'Rocky Point'!AU42</f>
        <v>54499</v>
      </c>
      <c r="AX389">
        <f>'Rocky Point'!AV42</f>
        <v>4.3</v>
      </c>
    </row>
    <row r="390" spans="1:50">
      <c r="A390" t="str">
        <f>'Rocky Point'!A43</f>
        <v>/Users/z2134519/Documents/python/data/bushfire Raman/Rocky Point swamp/RP-M 3 (1)</v>
      </c>
      <c r="B390" t="s">
        <v>855</v>
      </c>
      <c r="C390">
        <v>3</v>
      </c>
      <c r="D390" t="str">
        <f>'Rocky Point'!B43</f>
        <v>11.86 counts</v>
      </c>
      <c r="E390">
        <f>'Rocky Point'!C43</f>
        <v>0.99268900000000004</v>
      </c>
      <c r="F390">
        <f>'Rocky Point'!D43</f>
        <v>1365</v>
      </c>
      <c r="G390">
        <f>'Rocky Point'!E43</f>
        <v>9685</v>
      </c>
      <c r="H390">
        <f>'Rocky Point'!F43</f>
        <v>198</v>
      </c>
      <c r="I390">
        <f>'Rocky Point'!G43</f>
        <v>2041254</v>
      </c>
      <c r="J390">
        <f>'Rocky Point'!H43</f>
        <v>45.2</v>
      </c>
      <c r="K390">
        <f>'Rocky Point'!I43</f>
        <v>1586</v>
      </c>
      <c r="L390">
        <f>'Rocky Point'!J43</f>
        <v>12119</v>
      </c>
      <c r="M390">
        <f>'Rocky Point'!K43</f>
        <v>139</v>
      </c>
      <c r="N390">
        <f>'Rocky Point'!L43</f>
        <v>1793138</v>
      </c>
      <c r="O390">
        <f>'Rocky Point'!M43</f>
        <v>39.700000000000003</v>
      </c>
      <c r="P390">
        <f>'Rocky Point'!N43</f>
        <v>1073</v>
      </c>
      <c r="Q390">
        <f>'Rocky Point'!O43</f>
        <v>879</v>
      </c>
      <c r="R390">
        <f>'Rocky Point'!P43</f>
        <v>136</v>
      </c>
      <c r="S390">
        <f>'Rocky Point'!Q43</f>
        <v>127251</v>
      </c>
      <c r="T390">
        <f>'Rocky Point'!R43</f>
        <v>2.8</v>
      </c>
      <c r="U390">
        <f>'Rocky Point'!S43</f>
        <v>1182</v>
      </c>
      <c r="V390">
        <f>'Rocky Point'!T43</f>
        <v>2249</v>
      </c>
      <c r="W390">
        <f>'Rocky Point'!U43</f>
        <v>114</v>
      </c>
      <c r="X390">
        <f>'Rocky Point'!V43</f>
        <v>272914</v>
      </c>
      <c r="Y390">
        <f>'Rocky Point'!W43</f>
        <v>6</v>
      </c>
      <c r="Z390">
        <f>'Rocky Point'!X43</f>
        <v>1254</v>
      </c>
      <c r="AA390">
        <f>'Rocky Point'!Y43</f>
        <v>373</v>
      </c>
      <c r="AB390">
        <f>'Rocky Point'!Z43</f>
        <v>50</v>
      </c>
      <c r="AC390">
        <f>'Rocky Point'!AA43</f>
        <v>19852</v>
      </c>
      <c r="AD390">
        <f>'Rocky Point'!AB43</f>
        <v>0.4</v>
      </c>
      <c r="AE390">
        <f>'Rocky Point'!AC43</f>
        <v>1450</v>
      </c>
      <c r="AF390">
        <f>'Rocky Point'!AD43</f>
        <v>1003</v>
      </c>
      <c r="AG390">
        <f>'Rocky Point'!AE43</f>
        <v>50</v>
      </c>
      <c r="AH390">
        <f>'Rocky Point'!AF43</f>
        <v>53383</v>
      </c>
      <c r="AI390">
        <f>'Rocky Point'!AG43</f>
        <v>1.2</v>
      </c>
      <c r="AJ390">
        <f>'Rocky Point'!AH43</f>
        <v>1486</v>
      </c>
      <c r="AK390">
        <f>'Rocky Point'!AI43</f>
        <v>889</v>
      </c>
      <c r="AL390">
        <f>'Rocky Point'!AJ43</f>
        <v>50</v>
      </c>
      <c r="AM390">
        <f>'Rocky Point'!AK43</f>
        <v>47316</v>
      </c>
      <c r="AN390">
        <f>'Rocky Point'!AL43</f>
        <v>1</v>
      </c>
      <c r="AO390">
        <f>'Rocky Point'!AM43</f>
        <v>1584</v>
      </c>
      <c r="AP390">
        <f>'Rocky Point'!AN43</f>
        <v>1171</v>
      </c>
      <c r="AQ390">
        <f>'Rocky Point'!AO43</f>
        <v>50</v>
      </c>
      <c r="AR390">
        <f>'Rocky Point'!AP43</f>
        <v>62325</v>
      </c>
      <c r="AS390">
        <f>'Rocky Point'!AQ43</f>
        <v>1.4</v>
      </c>
      <c r="AT390">
        <f>'Rocky Point'!AR43</f>
        <v>1748</v>
      </c>
      <c r="AU390">
        <f>'Rocky Point'!AS43</f>
        <v>933</v>
      </c>
      <c r="AV390">
        <f>'Rocky Point'!AT43</f>
        <v>98</v>
      </c>
      <c r="AW390">
        <f>'Rocky Point'!AU43</f>
        <v>97328</v>
      </c>
      <c r="AX390">
        <f>'Rocky Point'!AV43</f>
        <v>2.2000000000000002</v>
      </c>
    </row>
    <row r="391" spans="1:50">
      <c r="A391" t="str">
        <f>'Rocky Point'!A44</f>
        <v>/Users/z2134519/Documents/python/data/bushfire Raman/Rocky Point swamp/RP-M 3 (3)</v>
      </c>
      <c r="B391" t="s">
        <v>855</v>
      </c>
      <c r="C391">
        <v>3</v>
      </c>
      <c r="D391" t="str">
        <f>'Rocky Point'!B44</f>
        <v>11.78 counts</v>
      </c>
      <c r="E391">
        <f>'Rocky Point'!C44</f>
        <v>0.99276200000000003</v>
      </c>
      <c r="F391">
        <f>'Rocky Point'!D44</f>
        <v>1365</v>
      </c>
      <c r="G391">
        <f>'Rocky Point'!E44</f>
        <v>9963</v>
      </c>
      <c r="H391">
        <f>'Rocky Point'!F44</f>
        <v>198</v>
      </c>
      <c r="I391">
        <f>'Rocky Point'!G44</f>
        <v>2099846</v>
      </c>
      <c r="J391">
        <f>'Rocky Point'!H44</f>
        <v>46</v>
      </c>
      <c r="K391">
        <f>'Rocky Point'!I44</f>
        <v>1586</v>
      </c>
      <c r="L391">
        <f>'Rocky Point'!J44</f>
        <v>12351</v>
      </c>
      <c r="M391">
        <f>'Rocky Point'!K44</f>
        <v>129</v>
      </c>
      <c r="N391">
        <f>'Rocky Point'!L44</f>
        <v>1695993</v>
      </c>
      <c r="O391">
        <f>'Rocky Point'!M44</f>
        <v>37.200000000000003</v>
      </c>
      <c r="P391">
        <f>'Rocky Point'!N44</f>
        <v>1073</v>
      </c>
      <c r="Q391">
        <f>'Rocky Point'!O44</f>
        <v>817</v>
      </c>
      <c r="R391">
        <f>'Rocky Point'!P44</f>
        <v>140</v>
      </c>
      <c r="S391">
        <f>'Rocky Point'!Q44</f>
        <v>121754</v>
      </c>
      <c r="T391">
        <f>'Rocky Point'!R44</f>
        <v>2.7</v>
      </c>
      <c r="U391">
        <f>'Rocky Point'!S44</f>
        <v>1186</v>
      </c>
      <c r="V391">
        <f>'Rocky Point'!T44</f>
        <v>2397</v>
      </c>
      <c r="W391">
        <f>'Rocky Point'!U44</f>
        <v>114</v>
      </c>
      <c r="X391">
        <f>'Rocky Point'!V44</f>
        <v>290874</v>
      </c>
      <c r="Y391">
        <f>'Rocky Point'!W44</f>
        <v>6.4</v>
      </c>
      <c r="Z391">
        <f>'Rocky Point'!X44</f>
        <v>1256</v>
      </c>
      <c r="AA391">
        <f>'Rocky Point'!Y44</f>
        <v>233</v>
      </c>
      <c r="AB391">
        <f>'Rocky Point'!Z44</f>
        <v>50</v>
      </c>
      <c r="AC391">
        <f>'Rocky Point'!AA44</f>
        <v>12401</v>
      </c>
      <c r="AD391">
        <f>'Rocky Point'!AB44</f>
        <v>0.3</v>
      </c>
      <c r="AE391">
        <f>'Rocky Point'!AC44</f>
        <v>1452</v>
      </c>
      <c r="AF391">
        <f>'Rocky Point'!AD44</f>
        <v>1103</v>
      </c>
      <c r="AG391">
        <f>'Rocky Point'!AE44</f>
        <v>50</v>
      </c>
      <c r="AH391">
        <f>'Rocky Point'!AF44</f>
        <v>58705</v>
      </c>
      <c r="AI391">
        <f>'Rocky Point'!AG44</f>
        <v>1.3</v>
      </c>
      <c r="AJ391">
        <f>'Rocky Point'!AH44</f>
        <v>1490</v>
      </c>
      <c r="AK391">
        <f>'Rocky Point'!AI44</f>
        <v>1481</v>
      </c>
      <c r="AL391">
        <f>'Rocky Point'!AJ44</f>
        <v>50</v>
      </c>
      <c r="AM391">
        <f>'Rocky Point'!AK44</f>
        <v>78824</v>
      </c>
      <c r="AN391">
        <f>'Rocky Point'!AL44</f>
        <v>1.7</v>
      </c>
      <c r="AO391">
        <f>'Rocky Point'!AM44</f>
        <v>1592</v>
      </c>
      <c r="AP391">
        <f>'Rocky Point'!AN44</f>
        <v>1069</v>
      </c>
      <c r="AQ391">
        <f>'Rocky Point'!AO44</f>
        <v>50</v>
      </c>
      <c r="AR391">
        <f>'Rocky Point'!AP44</f>
        <v>56896</v>
      </c>
      <c r="AS391">
        <f>'Rocky Point'!AQ44</f>
        <v>1.2</v>
      </c>
      <c r="AT391">
        <f>'Rocky Point'!AR44</f>
        <v>1748</v>
      </c>
      <c r="AU391">
        <f>'Rocky Point'!AS44</f>
        <v>1271</v>
      </c>
      <c r="AV391">
        <f>'Rocky Point'!AT44</f>
        <v>110</v>
      </c>
      <c r="AW391">
        <f>'Rocky Point'!AU44</f>
        <v>148823</v>
      </c>
      <c r="AX391">
        <f>'Rocky Point'!AV44</f>
        <v>3.3</v>
      </c>
    </row>
    <row r="392" spans="1:50">
      <c r="A392" t="str">
        <f>'Rocky Point'!A45</f>
        <v>/Users/z2134519/Documents/python/data/bushfire Raman/Rocky Point swamp/RP-M 3 BL</v>
      </c>
      <c r="B392" t="s">
        <v>855</v>
      </c>
      <c r="C392">
        <v>3</v>
      </c>
      <c r="D392" t="str">
        <f>'Rocky Point'!B45</f>
        <v>10.98 counts</v>
      </c>
      <c r="E392">
        <f>'Rocky Point'!C45</f>
        <v>0.98802599999999996</v>
      </c>
      <c r="F392">
        <f>'Rocky Point'!D45</f>
        <v>1369</v>
      </c>
      <c r="G392">
        <f>'Rocky Point'!E45</f>
        <v>4931</v>
      </c>
      <c r="H392">
        <f>'Rocky Point'!F45</f>
        <v>164</v>
      </c>
      <c r="I392">
        <f>'Rocky Point'!G45</f>
        <v>860817</v>
      </c>
      <c r="J392">
        <f>'Rocky Point'!H45</f>
        <v>40.4</v>
      </c>
      <c r="K392">
        <f>'Rocky Point'!I45</f>
        <v>1586</v>
      </c>
      <c r="L392">
        <f>'Rocky Point'!J45</f>
        <v>9709</v>
      </c>
      <c r="M392">
        <f>'Rocky Point'!K45</f>
        <v>95</v>
      </c>
      <c r="N392">
        <f>'Rocky Point'!L45</f>
        <v>981816</v>
      </c>
      <c r="O392">
        <f>'Rocky Point'!M45</f>
        <v>46.1</v>
      </c>
      <c r="P392">
        <f>'Rocky Point'!N45</f>
        <v>1053</v>
      </c>
      <c r="Q392">
        <f>'Rocky Point'!O45</f>
        <v>1</v>
      </c>
      <c r="R392">
        <f>'Rocky Point'!P45</f>
        <v>50</v>
      </c>
      <c r="S392">
        <f>'Rocky Point'!Q45</f>
        <v>53</v>
      </c>
      <c r="T392">
        <f>'Rocky Point'!R45</f>
        <v>0</v>
      </c>
      <c r="U392">
        <f>'Rocky Point'!S45</f>
        <v>1198</v>
      </c>
      <c r="V392">
        <f>'Rocky Point'!T45</f>
        <v>1</v>
      </c>
      <c r="W392">
        <f>'Rocky Point'!U45</f>
        <v>50</v>
      </c>
      <c r="X392">
        <f>'Rocky Point'!V45</f>
        <v>53</v>
      </c>
      <c r="Y392">
        <f>'Rocky Point'!W45</f>
        <v>0</v>
      </c>
      <c r="Z392">
        <f>'Rocky Point'!X45</f>
        <v>1264</v>
      </c>
      <c r="AA392">
        <f>'Rocky Point'!Y45</f>
        <v>101</v>
      </c>
      <c r="AB392">
        <f>'Rocky Point'!Z45</f>
        <v>50</v>
      </c>
      <c r="AC392">
        <f>'Rocky Point'!AA45</f>
        <v>5376</v>
      </c>
      <c r="AD392">
        <f>'Rocky Point'!AB45</f>
        <v>0.3</v>
      </c>
      <c r="AE392">
        <f>'Rocky Point'!AC45</f>
        <v>1458</v>
      </c>
      <c r="AF392">
        <f>'Rocky Point'!AD45</f>
        <v>957</v>
      </c>
      <c r="AG392">
        <f>'Rocky Point'!AE45</f>
        <v>80</v>
      </c>
      <c r="AH392">
        <f>'Rocky Point'!AF45</f>
        <v>81496</v>
      </c>
      <c r="AI392">
        <f>'Rocky Point'!AG45</f>
        <v>3.8</v>
      </c>
      <c r="AJ392">
        <f>'Rocky Point'!AH45</f>
        <v>1512</v>
      </c>
      <c r="AK392">
        <f>'Rocky Point'!AI45</f>
        <v>1783</v>
      </c>
      <c r="AL392">
        <f>'Rocky Point'!AJ45</f>
        <v>76</v>
      </c>
      <c r="AM392">
        <f>'Rocky Point'!AK45</f>
        <v>144244</v>
      </c>
      <c r="AN392">
        <f>'Rocky Point'!AL45</f>
        <v>6.8</v>
      </c>
      <c r="AO392">
        <f>'Rocky Point'!AM45</f>
        <v>1598</v>
      </c>
      <c r="AP392">
        <f>'Rocky Point'!AN45</f>
        <v>983</v>
      </c>
      <c r="AQ392">
        <f>'Rocky Point'!AO45</f>
        <v>50</v>
      </c>
      <c r="AR392">
        <f>'Rocky Point'!AP45</f>
        <v>52319</v>
      </c>
      <c r="AS392">
        <f>'Rocky Point'!AQ45</f>
        <v>2.5</v>
      </c>
      <c r="AT392">
        <f>'Rocky Point'!AR45</f>
        <v>1700</v>
      </c>
      <c r="AU392">
        <f>'Rocky Point'!AS45</f>
        <v>91</v>
      </c>
      <c r="AV392">
        <f>'Rocky Point'!AT45</f>
        <v>50</v>
      </c>
      <c r="AW392">
        <f>'Rocky Point'!AU45</f>
        <v>4843</v>
      </c>
      <c r="AX392">
        <f>'Rocky Point'!AV45</f>
        <v>0.2</v>
      </c>
    </row>
    <row r="393" spans="1:50">
      <c r="A393" t="str">
        <f>'Rocky Point'!A46</f>
        <v>/Users/z2134519/Documents/python/data/bushfire Raman/Rocky Point swamp/RP-M 3.5 (1)</v>
      </c>
      <c r="B393" t="s">
        <v>855</v>
      </c>
      <c r="C393">
        <v>3.5</v>
      </c>
      <c r="D393" t="str">
        <f>'Rocky Point'!B46</f>
        <v>8.31 counts</v>
      </c>
      <c r="E393">
        <f>'Rocky Point'!C46</f>
        <v>0.991815</v>
      </c>
      <c r="F393">
        <f>'Rocky Point'!D46</f>
        <v>1365</v>
      </c>
      <c r="G393">
        <f>'Rocky Point'!E46</f>
        <v>7453</v>
      </c>
      <c r="H393">
        <f>'Rocky Point'!F46</f>
        <v>196</v>
      </c>
      <c r="I393">
        <f>'Rocky Point'!G46</f>
        <v>1554961</v>
      </c>
      <c r="J393">
        <f>'Rocky Point'!H46</f>
        <v>49.5</v>
      </c>
      <c r="K393">
        <f>'Rocky Point'!I46</f>
        <v>1586</v>
      </c>
      <c r="L393">
        <f>'Rocky Point'!J46</f>
        <v>7589</v>
      </c>
      <c r="M393">
        <f>'Rocky Point'!K46</f>
        <v>127</v>
      </c>
      <c r="N393">
        <f>'Rocky Point'!L46</f>
        <v>1025937</v>
      </c>
      <c r="O393">
        <f>'Rocky Point'!M46</f>
        <v>32.700000000000003</v>
      </c>
      <c r="P393">
        <f>'Rocky Point'!N46</f>
        <v>1073</v>
      </c>
      <c r="Q393">
        <f>'Rocky Point'!O46</f>
        <v>825</v>
      </c>
      <c r="R393">
        <f>'Rocky Point'!P46</f>
        <v>164</v>
      </c>
      <c r="S393">
        <f>'Rocky Point'!Q46</f>
        <v>144022</v>
      </c>
      <c r="T393">
        <f>'Rocky Point'!R46</f>
        <v>4.5999999999999996</v>
      </c>
      <c r="U393">
        <f>'Rocky Point'!S46</f>
        <v>1190</v>
      </c>
      <c r="V393">
        <f>'Rocky Point'!T46</f>
        <v>1637</v>
      </c>
      <c r="W393">
        <f>'Rocky Point'!U46</f>
        <v>122</v>
      </c>
      <c r="X393">
        <f>'Rocky Point'!V46</f>
        <v>212589</v>
      </c>
      <c r="Y393">
        <f>'Rocky Point'!W46</f>
        <v>6.8</v>
      </c>
      <c r="Z393">
        <f>'Rocky Point'!X46</f>
        <v>1282</v>
      </c>
      <c r="AA393">
        <f>'Rocky Point'!Y46</f>
        <v>227</v>
      </c>
      <c r="AB393">
        <f>'Rocky Point'!Z46</f>
        <v>52</v>
      </c>
      <c r="AC393">
        <f>'Rocky Point'!AA46</f>
        <v>12565</v>
      </c>
      <c r="AD393">
        <f>'Rocky Point'!AB46</f>
        <v>0.4</v>
      </c>
      <c r="AE393">
        <f>'Rocky Point'!AC46</f>
        <v>1458</v>
      </c>
      <c r="AF393">
        <f>'Rocky Point'!AD46</f>
        <v>375</v>
      </c>
      <c r="AG393">
        <f>'Rocky Point'!AE46</f>
        <v>50</v>
      </c>
      <c r="AH393">
        <f>'Rocky Point'!AF46</f>
        <v>19959</v>
      </c>
      <c r="AI393">
        <f>'Rocky Point'!AG46</f>
        <v>0.6</v>
      </c>
      <c r="AJ393">
        <f>'Rocky Point'!AH46</f>
        <v>1494</v>
      </c>
      <c r="AK393">
        <f>'Rocky Point'!AI46</f>
        <v>1129</v>
      </c>
      <c r="AL393">
        <f>'Rocky Point'!AJ46</f>
        <v>52</v>
      </c>
      <c r="AM393">
        <f>'Rocky Point'!AK46</f>
        <v>62493</v>
      </c>
      <c r="AN393">
        <f>'Rocky Point'!AL46</f>
        <v>2</v>
      </c>
      <c r="AO393">
        <f>'Rocky Point'!AM46</f>
        <v>1584</v>
      </c>
      <c r="AP393">
        <f>'Rocky Point'!AN46</f>
        <v>573</v>
      </c>
      <c r="AQ393">
        <f>'Rocky Point'!AO46</f>
        <v>50</v>
      </c>
      <c r="AR393">
        <f>'Rocky Point'!AP46</f>
        <v>30497</v>
      </c>
      <c r="AS393">
        <f>'Rocky Point'!AQ46</f>
        <v>1</v>
      </c>
      <c r="AT393">
        <f>'Rocky Point'!AR46</f>
        <v>1748</v>
      </c>
      <c r="AU393">
        <f>'Rocky Point'!AS46</f>
        <v>629</v>
      </c>
      <c r="AV393">
        <f>'Rocky Point'!AT46</f>
        <v>116</v>
      </c>
      <c r="AW393">
        <f>'Rocky Point'!AU46</f>
        <v>77668</v>
      </c>
      <c r="AX393">
        <f>'Rocky Point'!AV46</f>
        <v>2.5</v>
      </c>
    </row>
    <row r="394" spans="1:50">
      <c r="A394" t="str">
        <f>'Rocky Point'!A47</f>
        <v>/Users/z2134519/Documents/python/data/bushfire Raman/Rocky Point swamp/RP-M 3.5 (2)</v>
      </c>
      <c r="B394" t="s">
        <v>855</v>
      </c>
      <c r="C394">
        <v>3.5</v>
      </c>
      <c r="D394" t="str">
        <f>'Rocky Point'!B47</f>
        <v>8.70 counts</v>
      </c>
      <c r="E394">
        <f>'Rocky Point'!C47</f>
        <v>0.99271100000000001</v>
      </c>
      <c r="F394">
        <f>'Rocky Point'!D47</f>
        <v>1365</v>
      </c>
      <c r="G394">
        <f>'Rocky Point'!E47</f>
        <v>8185</v>
      </c>
      <c r="H394">
        <f>'Rocky Point'!F47</f>
        <v>196</v>
      </c>
      <c r="I394">
        <f>'Rocky Point'!G47</f>
        <v>1707682</v>
      </c>
      <c r="J394">
        <f>'Rocky Point'!H47</f>
        <v>49.6</v>
      </c>
      <c r="K394">
        <f>'Rocky Point'!I47</f>
        <v>1586</v>
      </c>
      <c r="L394">
        <f>'Rocky Point'!J47</f>
        <v>8277</v>
      </c>
      <c r="M394">
        <f>'Rocky Point'!K47</f>
        <v>129</v>
      </c>
      <c r="N394">
        <f>'Rocky Point'!L47</f>
        <v>1136567</v>
      </c>
      <c r="O394">
        <f>'Rocky Point'!M47</f>
        <v>33</v>
      </c>
      <c r="P394">
        <f>'Rocky Point'!N47</f>
        <v>1073</v>
      </c>
      <c r="Q394">
        <f>'Rocky Point'!O47</f>
        <v>859</v>
      </c>
      <c r="R394">
        <f>'Rocky Point'!P47</f>
        <v>156</v>
      </c>
      <c r="S394">
        <f>'Rocky Point'!Q47</f>
        <v>142643</v>
      </c>
      <c r="T394">
        <f>'Rocky Point'!R47</f>
        <v>4.0999999999999996</v>
      </c>
      <c r="U394">
        <f>'Rocky Point'!S47</f>
        <v>1184</v>
      </c>
      <c r="V394">
        <f>'Rocky Point'!T47</f>
        <v>1737</v>
      </c>
      <c r="W394">
        <f>'Rocky Point'!U47</f>
        <v>126</v>
      </c>
      <c r="X394">
        <f>'Rocky Point'!V47</f>
        <v>232971</v>
      </c>
      <c r="Y394">
        <f>'Rocky Point'!W47</f>
        <v>6.8</v>
      </c>
      <c r="Z394">
        <f>'Rocky Point'!X47</f>
        <v>1272</v>
      </c>
      <c r="AA394">
        <f>'Rocky Point'!Y47</f>
        <v>193</v>
      </c>
      <c r="AB394">
        <f>'Rocky Point'!Z47</f>
        <v>60</v>
      </c>
      <c r="AC394">
        <f>'Rocky Point'!AA47</f>
        <v>12327</v>
      </c>
      <c r="AD394">
        <f>'Rocky Point'!AB47</f>
        <v>0.4</v>
      </c>
      <c r="AE394">
        <f>'Rocky Point'!AC47</f>
        <v>1458</v>
      </c>
      <c r="AF394">
        <f>'Rocky Point'!AD47</f>
        <v>365</v>
      </c>
      <c r="AG394">
        <f>'Rocky Point'!AE47</f>
        <v>50</v>
      </c>
      <c r="AH394">
        <f>'Rocky Point'!AF47</f>
        <v>19427</v>
      </c>
      <c r="AI394">
        <f>'Rocky Point'!AG47</f>
        <v>0.6</v>
      </c>
      <c r="AJ394">
        <f>'Rocky Point'!AH47</f>
        <v>1494</v>
      </c>
      <c r="AK394">
        <f>'Rocky Point'!AI47</f>
        <v>1281</v>
      </c>
      <c r="AL394">
        <f>'Rocky Point'!AJ47</f>
        <v>56</v>
      </c>
      <c r="AM394">
        <f>'Rocky Point'!AK47</f>
        <v>76361</v>
      </c>
      <c r="AN394">
        <f>'Rocky Point'!AL47</f>
        <v>2.2000000000000002</v>
      </c>
      <c r="AO394">
        <f>'Rocky Point'!AM47</f>
        <v>1588</v>
      </c>
      <c r="AP394">
        <f>'Rocky Point'!AN47</f>
        <v>823</v>
      </c>
      <c r="AQ394">
        <f>'Rocky Point'!AO47</f>
        <v>50</v>
      </c>
      <c r="AR394">
        <f>'Rocky Point'!AP47</f>
        <v>43803</v>
      </c>
      <c r="AS394">
        <f>'Rocky Point'!AQ47</f>
        <v>1.3</v>
      </c>
      <c r="AT394">
        <f>'Rocky Point'!AR47</f>
        <v>1748</v>
      </c>
      <c r="AU394">
        <f>'Rocky Point'!AS47</f>
        <v>613</v>
      </c>
      <c r="AV394">
        <f>'Rocky Point'!AT47</f>
        <v>112</v>
      </c>
      <c r="AW394">
        <f>'Rocky Point'!AU47</f>
        <v>73082</v>
      </c>
      <c r="AX394">
        <f>'Rocky Point'!AV47</f>
        <v>2.1</v>
      </c>
    </row>
    <row r="395" spans="1:50">
      <c r="A395" t="str">
        <f>'Rocky Point'!A48</f>
        <v>/Users/z2134519/Documents/python/data/bushfire Raman/Rocky Point swamp/RP-M 3.5 (3)</v>
      </c>
      <c r="B395" t="s">
        <v>855</v>
      </c>
      <c r="C395">
        <v>3.5</v>
      </c>
      <c r="D395" t="str">
        <f>'Rocky Point'!B48</f>
        <v>10.69 counts</v>
      </c>
      <c r="E395">
        <f>'Rocky Point'!C48</f>
        <v>0.98696899999999999</v>
      </c>
      <c r="F395">
        <f>'Rocky Point'!D48</f>
        <v>1365</v>
      </c>
      <c r="G395">
        <f>'Rocky Point'!E48</f>
        <v>7485</v>
      </c>
      <c r="H395">
        <f>'Rocky Point'!F48</f>
        <v>198</v>
      </c>
      <c r="I395">
        <f>'Rocky Point'!G48</f>
        <v>1577572</v>
      </c>
      <c r="J395">
        <f>'Rocky Point'!H48</f>
        <v>49.8</v>
      </c>
      <c r="K395">
        <f>'Rocky Point'!I48</f>
        <v>1588</v>
      </c>
      <c r="L395">
        <f>'Rocky Point'!J48</f>
        <v>7689</v>
      </c>
      <c r="M395">
        <f>'Rocky Point'!K48</f>
        <v>139</v>
      </c>
      <c r="N395">
        <f>'Rocky Point'!L48</f>
        <v>1137672</v>
      </c>
      <c r="O395">
        <f>'Rocky Point'!M48</f>
        <v>35.9</v>
      </c>
      <c r="P395">
        <f>'Rocky Point'!N48</f>
        <v>1073</v>
      </c>
      <c r="Q395">
        <f>'Rocky Point'!O48</f>
        <v>727</v>
      </c>
      <c r="R395">
        <f>'Rocky Point'!P48</f>
        <v>144</v>
      </c>
      <c r="S395">
        <f>'Rocky Point'!Q48</f>
        <v>111437</v>
      </c>
      <c r="T395">
        <f>'Rocky Point'!R48</f>
        <v>3.5</v>
      </c>
      <c r="U395">
        <f>'Rocky Point'!S48</f>
        <v>1186</v>
      </c>
      <c r="V395">
        <f>'Rocky Point'!T48</f>
        <v>1611</v>
      </c>
      <c r="W395">
        <f>'Rocky Point'!U48</f>
        <v>122</v>
      </c>
      <c r="X395">
        <f>'Rocky Point'!V48</f>
        <v>209212</v>
      </c>
      <c r="Y395">
        <f>'Rocky Point'!W48</f>
        <v>6.6</v>
      </c>
      <c r="Z395">
        <f>'Rocky Point'!X48</f>
        <v>1284</v>
      </c>
      <c r="AA395">
        <f>'Rocky Point'!Y48</f>
        <v>151</v>
      </c>
      <c r="AB395">
        <f>'Rocky Point'!Z48</f>
        <v>50</v>
      </c>
      <c r="AC395">
        <f>'Rocky Point'!AA48</f>
        <v>8037</v>
      </c>
      <c r="AD395">
        <f>'Rocky Point'!AB48</f>
        <v>0.3</v>
      </c>
      <c r="AE395">
        <f>'Rocky Point'!AC48</f>
        <v>1458</v>
      </c>
      <c r="AF395">
        <f>'Rocky Point'!AD48</f>
        <v>191</v>
      </c>
      <c r="AG395">
        <f>'Rocky Point'!AE48</f>
        <v>50</v>
      </c>
      <c r="AH395">
        <f>'Rocky Point'!AF48</f>
        <v>10166</v>
      </c>
      <c r="AI395">
        <f>'Rocky Point'!AG48</f>
        <v>0.3</v>
      </c>
      <c r="AJ395">
        <f>'Rocky Point'!AH48</f>
        <v>1490</v>
      </c>
      <c r="AK395">
        <f>'Rocky Point'!AI48</f>
        <v>891</v>
      </c>
      <c r="AL395">
        <f>'Rocky Point'!AJ48</f>
        <v>54</v>
      </c>
      <c r="AM395">
        <f>'Rocky Point'!AK48</f>
        <v>51216</v>
      </c>
      <c r="AN395">
        <f>'Rocky Point'!AL48</f>
        <v>1.6</v>
      </c>
      <c r="AO395">
        <f>'Rocky Point'!AM48</f>
        <v>1582</v>
      </c>
      <c r="AP395">
        <f>'Rocky Point'!AN48</f>
        <v>381</v>
      </c>
      <c r="AQ395">
        <f>'Rocky Point'!AO48</f>
        <v>50</v>
      </c>
      <c r="AR395">
        <f>'Rocky Point'!AP48</f>
        <v>20278</v>
      </c>
      <c r="AS395">
        <f>'Rocky Point'!AQ48</f>
        <v>0.6</v>
      </c>
      <c r="AT395">
        <f>'Rocky Point'!AR48</f>
        <v>1748</v>
      </c>
      <c r="AU395">
        <f>'Rocky Point'!AS48</f>
        <v>519</v>
      </c>
      <c r="AV395">
        <f>'Rocky Point'!AT48</f>
        <v>80</v>
      </c>
      <c r="AW395">
        <f>'Rocky Point'!AU48</f>
        <v>44197</v>
      </c>
      <c r="AX395">
        <f>'Rocky Point'!AV48</f>
        <v>1.4</v>
      </c>
    </row>
    <row r="396" spans="1:50">
      <c r="A396" t="str">
        <f>'Rocky Point'!A49</f>
        <v>/Users/z2134519/Documents/python/data/bushfire Raman/Rocky Point swamp/RP-M 3.5 (4)</v>
      </c>
      <c r="B396" t="s">
        <v>855</v>
      </c>
      <c r="C396">
        <v>3.5</v>
      </c>
      <c r="D396" t="str">
        <f>'Rocky Point'!B49</f>
        <v>5.58 counts</v>
      </c>
      <c r="E396">
        <f>'Rocky Point'!C49</f>
        <v>0.99475599999999997</v>
      </c>
      <c r="F396">
        <f>'Rocky Point'!D49</f>
        <v>1365</v>
      </c>
      <c r="G396">
        <f>'Rocky Point'!E49</f>
        <v>6159</v>
      </c>
      <c r="H396">
        <f>'Rocky Point'!F49</f>
        <v>198</v>
      </c>
      <c r="I396">
        <f>'Rocky Point'!G49</f>
        <v>1298098</v>
      </c>
      <c r="J396">
        <f>'Rocky Point'!H49</f>
        <v>50.6</v>
      </c>
      <c r="K396">
        <f>'Rocky Point'!I49</f>
        <v>1584</v>
      </c>
      <c r="L396">
        <f>'Rocky Point'!J49</f>
        <v>6143</v>
      </c>
      <c r="M396">
        <f>'Rocky Point'!K49</f>
        <v>125</v>
      </c>
      <c r="N396">
        <f>'Rocky Point'!L49</f>
        <v>817378</v>
      </c>
      <c r="O396">
        <f>'Rocky Point'!M49</f>
        <v>31.8</v>
      </c>
      <c r="P396">
        <f>'Rocky Point'!N49</f>
        <v>1073</v>
      </c>
      <c r="Q396">
        <f>'Rocky Point'!O49</f>
        <v>645</v>
      </c>
      <c r="R396">
        <f>'Rocky Point'!P49</f>
        <v>150</v>
      </c>
      <c r="S396">
        <f>'Rocky Point'!Q49</f>
        <v>102987</v>
      </c>
      <c r="T396">
        <f>'Rocky Point'!R49</f>
        <v>4</v>
      </c>
      <c r="U396">
        <f>'Rocky Point'!S49</f>
        <v>1186</v>
      </c>
      <c r="V396">
        <f>'Rocky Point'!T49</f>
        <v>1273</v>
      </c>
      <c r="W396">
        <f>'Rocky Point'!U49</f>
        <v>124</v>
      </c>
      <c r="X396">
        <f>'Rocky Point'!V49</f>
        <v>168028</v>
      </c>
      <c r="Y396">
        <f>'Rocky Point'!W49</f>
        <v>6.5</v>
      </c>
      <c r="Z396">
        <f>'Rocky Point'!X49</f>
        <v>1280</v>
      </c>
      <c r="AA396">
        <f>'Rocky Point'!Y49</f>
        <v>183</v>
      </c>
      <c r="AB396">
        <f>'Rocky Point'!Z49</f>
        <v>56</v>
      </c>
      <c r="AC396">
        <f>'Rocky Point'!AA49</f>
        <v>10909</v>
      </c>
      <c r="AD396">
        <f>'Rocky Point'!AB49</f>
        <v>0.4</v>
      </c>
      <c r="AE396">
        <f>'Rocky Point'!AC49</f>
        <v>1458</v>
      </c>
      <c r="AF396">
        <f>'Rocky Point'!AD49</f>
        <v>321</v>
      </c>
      <c r="AG396">
        <f>'Rocky Point'!AE49</f>
        <v>50</v>
      </c>
      <c r="AH396">
        <f>'Rocky Point'!AF49</f>
        <v>17085</v>
      </c>
      <c r="AI396">
        <f>'Rocky Point'!AG49</f>
        <v>0.7</v>
      </c>
      <c r="AJ396">
        <f>'Rocky Point'!AH49</f>
        <v>1494</v>
      </c>
      <c r="AK396">
        <f>'Rocky Point'!AI49</f>
        <v>1055</v>
      </c>
      <c r="AL396">
        <f>'Rocky Point'!AJ49</f>
        <v>54</v>
      </c>
      <c r="AM396">
        <f>'Rocky Point'!AK49</f>
        <v>60643</v>
      </c>
      <c r="AN396">
        <f>'Rocky Point'!AL49</f>
        <v>2.4</v>
      </c>
      <c r="AO396">
        <f>'Rocky Point'!AM49</f>
        <v>1584</v>
      </c>
      <c r="AP396">
        <f>'Rocky Point'!AN49</f>
        <v>575</v>
      </c>
      <c r="AQ396">
        <f>'Rocky Point'!AO49</f>
        <v>50</v>
      </c>
      <c r="AR396">
        <f>'Rocky Point'!AP49</f>
        <v>30603</v>
      </c>
      <c r="AS396">
        <f>'Rocky Point'!AQ49</f>
        <v>1.2</v>
      </c>
      <c r="AT396">
        <f>'Rocky Point'!AR49</f>
        <v>1748</v>
      </c>
      <c r="AU396">
        <f>'Rocky Point'!AS49</f>
        <v>483</v>
      </c>
      <c r="AV396">
        <f>'Rocky Point'!AT49</f>
        <v>120</v>
      </c>
      <c r="AW396">
        <f>'Rocky Point'!AU49</f>
        <v>61697</v>
      </c>
      <c r="AX396">
        <f>'Rocky Point'!AV49</f>
        <v>2.4</v>
      </c>
    </row>
    <row r="397" spans="1:50">
      <c r="A397" t="str">
        <f>'Rocky Point'!A50</f>
        <v>/Users/z2134519/Documents/python/data/bushfire Raman/Rocky Point swamp/RP-M 3.5 (5)</v>
      </c>
      <c r="B397" t="s">
        <v>855</v>
      </c>
      <c r="C397">
        <v>3.5</v>
      </c>
      <c r="D397" t="str">
        <f>'Rocky Point'!B50</f>
        <v>6.79 counts</v>
      </c>
      <c r="E397">
        <f>'Rocky Point'!C50</f>
        <v>0.99379300000000004</v>
      </c>
      <c r="F397">
        <f>'Rocky Point'!D50</f>
        <v>1365</v>
      </c>
      <c r="G397">
        <f>'Rocky Point'!E50</f>
        <v>6911</v>
      </c>
      <c r="H397">
        <f>'Rocky Point'!F50</f>
        <v>196</v>
      </c>
      <c r="I397">
        <f>'Rocky Point'!G50</f>
        <v>1441880</v>
      </c>
      <c r="J397">
        <f>'Rocky Point'!H50</f>
        <v>50.2</v>
      </c>
      <c r="K397">
        <f>'Rocky Point'!I50</f>
        <v>1584</v>
      </c>
      <c r="L397">
        <f>'Rocky Point'!J50</f>
        <v>6969</v>
      </c>
      <c r="M397">
        <f>'Rocky Point'!K50</f>
        <v>125</v>
      </c>
      <c r="N397">
        <f>'Rocky Point'!L50</f>
        <v>927284</v>
      </c>
      <c r="O397">
        <f>'Rocky Point'!M50</f>
        <v>32.299999999999997</v>
      </c>
      <c r="P397">
        <f>'Rocky Point'!N50</f>
        <v>1073</v>
      </c>
      <c r="Q397">
        <f>'Rocky Point'!O50</f>
        <v>641</v>
      </c>
      <c r="R397">
        <f>'Rocky Point'!P50</f>
        <v>142</v>
      </c>
      <c r="S397">
        <f>'Rocky Point'!Q50</f>
        <v>96890</v>
      </c>
      <c r="T397">
        <f>'Rocky Point'!R50</f>
        <v>3.4</v>
      </c>
      <c r="U397">
        <f>'Rocky Point'!S50</f>
        <v>1186</v>
      </c>
      <c r="V397">
        <f>'Rocky Point'!T50</f>
        <v>1485</v>
      </c>
      <c r="W397">
        <f>'Rocky Point'!U50</f>
        <v>124</v>
      </c>
      <c r="X397">
        <f>'Rocky Point'!V50</f>
        <v>196011</v>
      </c>
      <c r="Y397">
        <f>'Rocky Point'!W50</f>
        <v>6.8</v>
      </c>
      <c r="Z397">
        <f>'Rocky Point'!X50</f>
        <v>1274</v>
      </c>
      <c r="AA397">
        <f>'Rocky Point'!Y50</f>
        <v>179</v>
      </c>
      <c r="AB397">
        <f>'Rocky Point'!Z50</f>
        <v>50</v>
      </c>
      <c r="AC397">
        <f>'Rocky Point'!AA50</f>
        <v>9527</v>
      </c>
      <c r="AD397">
        <f>'Rocky Point'!AB50</f>
        <v>0.3</v>
      </c>
      <c r="AE397">
        <f>'Rocky Point'!AC50</f>
        <v>1458</v>
      </c>
      <c r="AF397">
        <f>'Rocky Point'!AD50</f>
        <v>425</v>
      </c>
      <c r="AG397">
        <f>'Rocky Point'!AE50</f>
        <v>50</v>
      </c>
      <c r="AH397">
        <f>'Rocky Point'!AF50</f>
        <v>22620</v>
      </c>
      <c r="AI397">
        <f>'Rocky Point'!AG50</f>
        <v>0.8</v>
      </c>
      <c r="AJ397">
        <f>'Rocky Point'!AH50</f>
        <v>1494</v>
      </c>
      <c r="AK397">
        <f>'Rocky Point'!AI50</f>
        <v>1063</v>
      </c>
      <c r="AL397">
        <f>'Rocky Point'!AJ50</f>
        <v>52</v>
      </c>
      <c r="AM397">
        <f>'Rocky Point'!AK50</f>
        <v>58839</v>
      </c>
      <c r="AN397">
        <f>'Rocky Point'!AL50</f>
        <v>2</v>
      </c>
      <c r="AO397">
        <f>'Rocky Point'!AM50</f>
        <v>1590</v>
      </c>
      <c r="AP397">
        <f>'Rocky Point'!AN50</f>
        <v>671</v>
      </c>
      <c r="AQ397">
        <f>'Rocky Point'!AO50</f>
        <v>50</v>
      </c>
      <c r="AR397">
        <f>'Rocky Point'!AP50</f>
        <v>35713</v>
      </c>
      <c r="AS397">
        <f>'Rocky Point'!AQ50</f>
        <v>1.2</v>
      </c>
      <c r="AT397">
        <f>'Rocky Point'!AR50</f>
        <v>1748</v>
      </c>
      <c r="AU397">
        <f>'Rocky Point'!AS50</f>
        <v>579</v>
      </c>
      <c r="AV397">
        <f>'Rocky Point'!AT50</f>
        <v>134</v>
      </c>
      <c r="AW397">
        <f>'Rocky Point'!AU50</f>
        <v>82588</v>
      </c>
      <c r="AX397">
        <f>'Rocky Point'!AV50</f>
        <v>2.9</v>
      </c>
    </row>
    <row r="398" spans="1:50">
      <c r="A398" t="str">
        <f>'Rocky Point'!A51</f>
        <v>/Users/z2134519/Documents/python/data/bushfire Raman/Rocky Point swamp/RP-M 3(3)_BL</v>
      </c>
      <c r="B398" t="s">
        <v>855</v>
      </c>
      <c r="C398">
        <v>3</v>
      </c>
      <c r="D398" t="str">
        <f>'Rocky Point'!B51</f>
        <v>10.44 counts</v>
      </c>
      <c r="E398">
        <f>'Rocky Point'!C51</f>
        <v>0.98898299999999995</v>
      </c>
      <c r="F398">
        <f>'Rocky Point'!D51</f>
        <v>1369</v>
      </c>
      <c r="G398">
        <f>'Rocky Point'!E51</f>
        <v>5205</v>
      </c>
      <c r="H398">
        <f>'Rocky Point'!F51</f>
        <v>164</v>
      </c>
      <c r="I398">
        <f>'Rocky Point'!G51</f>
        <v>908650</v>
      </c>
      <c r="J398">
        <f>'Rocky Point'!H51</f>
        <v>38.6</v>
      </c>
      <c r="K398">
        <f>'Rocky Point'!I51</f>
        <v>1590</v>
      </c>
      <c r="L398">
        <f>'Rocky Point'!J51</f>
        <v>10489</v>
      </c>
      <c r="M398">
        <f>'Rocky Point'!K51</f>
        <v>107</v>
      </c>
      <c r="N398">
        <f>'Rocky Point'!L51</f>
        <v>1194676</v>
      </c>
      <c r="O398">
        <f>'Rocky Point'!M51</f>
        <v>50.8</v>
      </c>
      <c r="P398">
        <f>'Rocky Point'!N51</f>
        <v>1043</v>
      </c>
      <c r="Q398">
        <f>'Rocky Point'!O51</f>
        <v>493</v>
      </c>
      <c r="R398">
        <f>'Rocky Point'!P51</f>
        <v>62</v>
      </c>
      <c r="S398">
        <f>'Rocky Point'!Q51</f>
        <v>32536</v>
      </c>
      <c r="T398">
        <f>'Rocky Point'!R51</f>
        <v>1.4</v>
      </c>
      <c r="U398">
        <f>'Rocky Point'!S51</f>
        <v>1174</v>
      </c>
      <c r="V398">
        <f>'Rocky Point'!T51</f>
        <v>57</v>
      </c>
      <c r="W398">
        <f>'Rocky Point'!U51</f>
        <v>50</v>
      </c>
      <c r="X398">
        <f>'Rocky Point'!V51</f>
        <v>3034</v>
      </c>
      <c r="Y398">
        <f>'Rocky Point'!W51</f>
        <v>0.1</v>
      </c>
      <c r="Z398">
        <f>'Rocky Point'!X51</f>
        <v>1258</v>
      </c>
      <c r="AA398">
        <f>'Rocky Point'!Y51</f>
        <v>25</v>
      </c>
      <c r="AB398">
        <f>'Rocky Point'!Z51</f>
        <v>50</v>
      </c>
      <c r="AC398">
        <f>'Rocky Point'!AA51</f>
        <v>1331</v>
      </c>
      <c r="AD398">
        <f>'Rocky Point'!AB51</f>
        <v>0.1</v>
      </c>
      <c r="AE398">
        <f>'Rocky Point'!AC51</f>
        <v>1458</v>
      </c>
      <c r="AF398">
        <f>'Rocky Point'!AD51</f>
        <v>1117</v>
      </c>
      <c r="AG398">
        <f>'Rocky Point'!AE51</f>
        <v>64</v>
      </c>
      <c r="AH398">
        <f>'Rocky Point'!AF51</f>
        <v>76097</v>
      </c>
      <c r="AI398">
        <f>'Rocky Point'!AG51</f>
        <v>3.2</v>
      </c>
      <c r="AJ398">
        <f>'Rocky Point'!AH51</f>
        <v>1502</v>
      </c>
      <c r="AK398">
        <f>'Rocky Point'!AI51</f>
        <v>1665</v>
      </c>
      <c r="AL398">
        <f>'Rocky Point'!AJ51</f>
        <v>58</v>
      </c>
      <c r="AM398">
        <f>'Rocky Point'!AK51</f>
        <v>102796</v>
      </c>
      <c r="AN398">
        <f>'Rocky Point'!AL51</f>
        <v>4.4000000000000004</v>
      </c>
      <c r="AO398">
        <f>'Rocky Point'!AM51</f>
        <v>1584</v>
      </c>
      <c r="AP398">
        <f>'Rocky Point'!AN51</f>
        <v>459</v>
      </c>
      <c r="AQ398">
        <f>'Rocky Point'!AO51</f>
        <v>50</v>
      </c>
      <c r="AR398">
        <f>'Rocky Point'!AP51</f>
        <v>24430</v>
      </c>
      <c r="AS398">
        <f>'Rocky Point'!AQ51</f>
        <v>1</v>
      </c>
      <c r="AT398">
        <f>'Rocky Point'!AR51</f>
        <v>1716</v>
      </c>
      <c r="AU398">
        <f>'Rocky Point'!AS51</f>
        <v>151</v>
      </c>
      <c r="AV398">
        <f>'Rocky Point'!AT51</f>
        <v>50</v>
      </c>
      <c r="AW398">
        <f>'Rocky Point'!AU51</f>
        <v>8037</v>
      </c>
      <c r="AX398">
        <f>'Rocky Point'!AV51</f>
        <v>0.3</v>
      </c>
    </row>
    <row r="399" spans="1:50">
      <c r="A399" t="str">
        <f>'Rocky Point'!A52</f>
        <v>/Users/z2134519/Documents/python/data/bushfire Raman/Rocky Point swamp/RP-M 4.5 (1)</v>
      </c>
      <c r="B399" t="s">
        <v>855</v>
      </c>
      <c r="C399">
        <v>4.5</v>
      </c>
      <c r="D399" t="str">
        <f>'Rocky Point'!B52</f>
        <v>3.11 counts</v>
      </c>
      <c r="E399">
        <f>'Rocky Point'!C52</f>
        <v>0.96871200000000002</v>
      </c>
      <c r="F399">
        <f>'Rocky Point'!D52</f>
        <v>1365</v>
      </c>
      <c r="G399">
        <f>'Rocky Point'!E52</f>
        <v>1221</v>
      </c>
      <c r="H399">
        <f>'Rocky Point'!F52</f>
        <v>196</v>
      </c>
      <c r="I399">
        <f>'Rocky Point'!G52</f>
        <v>254744</v>
      </c>
      <c r="J399">
        <f>'Rocky Point'!H52</f>
        <v>46.9</v>
      </c>
      <c r="K399">
        <f>'Rocky Point'!I52</f>
        <v>1594</v>
      </c>
      <c r="L399">
        <f>'Rocky Point'!J52</f>
        <v>1853</v>
      </c>
      <c r="M399">
        <f>'Rocky Point'!K52</f>
        <v>103</v>
      </c>
      <c r="N399">
        <f>'Rocky Point'!L52</f>
        <v>203163</v>
      </c>
      <c r="O399">
        <f>'Rocky Point'!M52</f>
        <v>37.4</v>
      </c>
      <c r="P399">
        <f>'Rocky Point'!N52</f>
        <v>1049</v>
      </c>
      <c r="Q399">
        <f>'Rocky Point'!O52</f>
        <v>99</v>
      </c>
      <c r="R399">
        <f>'Rocky Point'!P52</f>
        <v>198</v>
      </c>
      <c r="S399">
        <f>'Rocky Point'!Q52</f>
        <v>20866</v>
      </c>
      <c r="T399">
        <f>'Rocky Point'!R52</f>
        <v>3.8</v>
      </c>
      <c r="U399">
        <f>'Rocky Point'!S52</f>
        <v>1172</v>
      </c>
      <c r="V399">
        <f>'Rocky Point'!T52</f>
        <v>165</v>
      </c>
      <c r="W399">
        <f>'Rocky Point'!U52</f>
        <v>68</v>
      </c>
      <c r="X399">
        <f>'Rocky Point'!V52</f>
        <v>11943</v>
      </c>
      <c r="Y399">
        <f>'Rocky Point'!W52</f>
        <v>2.2000000000000002</v>
      </c>
      <c r="Z399">
        <f>'Rocky Point'!X52</f>
        <v>1250</v>
      </c>
      <c r="AA399">
        <f>'Rocky Point'!Y52</f>
        <v>1</v>
      </c>
      <c r="AB399">
        <f>'Rocky Point'!Z52</f>
        <v>50</v>
      </c>
      <c r="AC399">
        <f>'Rocky Point'!AA52</f>
        <v>53</v>
      </c>
      <c r="AD399">
        <f>'Rocky Point'!AB52</f>
        <v>0</v>
      </c>
      <c r="AE399">
        <f>'Rocky Point'!AC52</f>
        <v>1458</v>
      </c>
      <c r="AF399">
        <f>'Rocky Point'!AD52</f>
        <v>139</v>
      </c>
      <c r="AG399">
        <f>'Rocky Point'!AE52</f>
        <v>64</v>
      </c>
      <c r="AH399">
        <f>'Rocky Point'!AF52</f>
        <v>9469</v>
      </c>
      <c r="AI399">
        <f>'Rocky Point'!AG52</f>
        <v>1.7</v>
      </c>
      <c r="AJ399">
        <f>'Rocky Point'!AH52</f>
        <v>1494</v>
      </c>
      <c r="AK399">
        <f>'Rocky Point'!AI52</f>
        <v>249</v>
      </c>
      <c r="AL399">
        <f>'Rocky Point'!AJ52</f>
        <v>50</v>
      </c>
      <c r="AM399">
        <f>'Rocky Point'!AK52</f>
        <v>13253</v>
      </c>
      <c r="AN399">
        <f>'Rocky Point'!AL52</f>
        <v>2.4</v>
      </c>
      <c r="AO399">
        <f>'Rocky Point'!AM52</f>
        <v>1598</v>
      </c>
      <c r="AP399">
        <f>'Rocky Point'!AN52</f>
        <v>19</v>
      </c>
      <c r="AQ399">
        <f>'Rocky Point'!AO52</f>
        <v>50</v>
      </c>
      <c r="AR399">
        <f>'Rocky Point'!AP52</f>
        <v>1011</v>
      </c>
      <c r="AS399">
        <f>'Rocky Point'!AQ52</f>
        <v>0.2</v>
      </c>
      <c r="AT399">
        <f>'Rocky Point'!AR52</f>
        <v>1724</v>
      </c>
      <c r="AU399">
        <f>'Rocky Point'!AS52</f>
        <v>283</v>
      </c>
      <c r="AV399">
        <f>'Rocky Point'!AT52</f>
        <v>96</v>
      </c>
      <c r="AW399">
        <f>'Rocky Point'!AU52</f>
        <v>28919</v>
      </c>
      <c r="AX399">
        <f>'Rocky Point'!AV52</f>
        <v>5.3</v>
      </c>
    </row>
    <row r="400" spans="1:50">
      <c r="A400" t="str">
        <f>'Rocky Point'!A53</f>
        <v>/Users/z2134519/Documents/python/data/bushfire Raman/Rocky Point swamp/RP-M 4.5 (2)</v>
      </c>
      <c r="B400" t="s">
        <v>855</v>
      </c>
      <c r="C400">
        <v>4.5</v>
      </c>
      <c r="D400" t="str">
        <f>'Rocky Point'!B53</f>
        <v>19.42 counts</v>
      </c>
      <c r="E400">
        <f>'Rocky Point'!C53</f>
        <v>0.98928000000000005</v>
      </c>
      <c r="F400">
        <f>'Rocky Point'!D53</f>
        <v>1365</v>
      </c>
      <c r="G400">
        <f>'Rocky Point'!E53</f>
        <v>12823</v>
      </c>
      <c r="H400">
        <f>'Rocky Point'!F53</f>
        <v>198</v>
      </c>
      <c r="I400">
        <f>'Rocky Point'!G53</f>
        <v>2702633</v>
      </c>
      <c r="J400">
        <f>'Rocky Point'!H53</f>
        <v>44.1</v>
      </c>
      <c r="K400">
        <f>'Rocky Point'!I53</f>
        <v>1588</v>
      </c>
      <c r="L400">
        <f>'Rocky Point'!J53</f>
        <v>17131</v>
      </c>
      <c r="M400">
        <f>'Rocky Point'!K53</f>
        <v>139</v>
      </c>
      <c r="N400">
        <f>'Rocky Point'!L53</f>
        <v>2534718</v>
      </c>
      <c r="O400">
        <f>'Rocky Point'!M53</f>
        <v>41.3</v>
      </c>
      <c r="P400">
        <f>'Rocky Point'!N53</f>
        <v>1073</v>
      </c>
      <c r="Q400">
        <f>'Rocky Point'!O53</f>
        <v>1195</v>
      </c>
      <c r="R400">
        <f>'Rocky Point'!P53</f>
        <v>144</v>
      </c>
      <c r="S400">
        <f>'Rocky Point'!Q53</f>
        <v>183173</v>
      </c>
      <c r="T400">
        <f>'Rocky Point'!R53</f>
        <v>3</v>
      </c>
      <c r="U400">
        <f>'Rocky Point'!S53</f>
        <v>1184</v>
      </c>
      <c r="V400">
        <f>'Rocky Point'!T53</f>
        <v>2945</v>
      </c>
      <c r="W400">
        <f>'Rocky Point'!U53</f>
        <v>114</v>
      </c>
      <c r="X400">
        <f>'Rocky Point'!V53</f>
        <v>357374</v>
      </c>
      <c r="Y400">
        <f>'Rocky Point'!W53</f>
        <v>5.8</v>
      </c>
      <c r="Z400">
        <f>'Rocky Point'!X53</f>
        <v>1250</v>
      </c>
      <c r="AA400">
        <f>'Rocky Point'!Y53</f>
        <v>345</v>
      </c>
      <c r="AB400">
        <f>'Rocky Point'!Z53</f>
        <v>50</v>
      </c>
      <c r="AC400">
        <f>'Rocky Point'!AA53</f>
        <v>18362</v>
      </c>
      <c r="AD400">
        <f>'Rocky Point'!AB53</f>
        <v>0.3</v>
      </c>
      <c r="AE400">
        <f>'Rocky Point'!AC53</f>
        <v>1450</v>
      </c>
      <c r="AF400">
        <f>'Rocky Point'!AD53</f>
        <v>1475</v>
      </c>
      <c r="AG400">
        <f>'Rocky Point'!AE53</f>
        <v>50</v>
      </c>
      <c r="AH400">
        <f>'Rocky Point'!AF53</f>
        <v>78504</v>
      </c>
      <c r="AI400">
        <f>'Rocky Point'!AG53</f>
        <v>1.3</v>
      </c>
      <c r="AJ400">
        <f>'Rocky Point'!AH53</f>
        <v>1490</v>
      </c>
      <c r="AK400">
        <f>'Rocky Point'!AI53</f>
        <v>1511</v>
      </c>
      <c r="AL400">
        <f>'Rocky Point'!AJ53</f>
        <v>52</v>
      </c>
      <c r="AM400">
        <f>'Rocky Point'!AK53</f>
        <v>83637</v>
      </c>
      <c r="AN400">
        <f>'Rocky Point'!AL53</f>
        <v>1.4</v>
      </c>
      <c r="AO400">
        <f>'Rocky Point'!AM53</f>
        <v>1578</v>
      </c>
      <c r="AP400">
        <f>'Rocky Point'!AN53</f>
        <v>997</v>
      </c>
      <c r="AQ400">
        <f>'Rocky Point'!AO53</f>
        <v>50</v>
      </c>
      <c r="AR400">
        <f>'Rocky Point'!AP53</f>
        <v>53064</v>
      </c>
      <c r="AS400">
        <f>'Rocky Point'!AQ53</f>
        <v>0.9</v>
      </c>
      <c r="AT400">
        <f>'Rocky Point'!AR53</f>
        <v>1748</v>
      </c>
      <c r="AU400">
        <f>'Rocky Point'!AS53</f>
        <v>1163</v>
      </c>
      <c r="AV400">
        <f>'Rocky Point'!AT53</f>
        <v>98</v>
      </c>
      <c r="AW400">
        <f>'Rocky Point'!AU53</f>
        <v>121322</v>
      </c>
      <c r="AX400">
        <f>'Rocky Point'!AV53</f>
        <v>2</v>
      </c>
    </row>
    <row r="401" spans="1:50">
      <c r="A401" t="str">
        <f>'Rocky Point'!A54</f>
        <v>/Users/z2134519/Documents/python/data/bushfire Raman/Rocky Point swamp/RP-M 4.5 (3) BL</v>
      </c>
      <c r="B401" t="s">
        <v>855</v>
      </c>
      <c r="C401">
        <v>4.5</v>
      </c>
      <c r="D401" t="str">
        <f>'Rocky Point'!B54</f>
        <v>10.20 counts</v>
      </c>
      <c r="E401">
        <f>'Rocky Point'!C54</f>
        <v>0.96522200000000002</v>
      </c>
      <c r="F401">
        <f>'Rocky Point'!D54</f>
        <v>1359</v>
      </c>
      <c r="G401">
        <f>'Rocky Point'!E54</f>
        <v>2279</v>
      </c>
      <c r="H401">
        <f>'Rocky Point'!F54</f>
        <v>100</v>
      </c>
      <c r="I401">
        <f>'Rocky Point'!G54</f>
        <v>242592</v>
      </c>
      <c r="J401">
        <f>'Rocky Point'!H54</f>
        <v>28.8</v>
      </c>
      <c r="K401">
        <f>'Rocky Point'!I54</f>
        <v>1592</v>
      </c>
      <c r="L401">
        <f>'Rocky Point'!J54</f>
        <v>6827</v>
      </c>
      <c r="M401">
        <f>'Rocky Point'!K54</f>
        <v>69</v>
      </c>
      <c r="N401">
        <f>'Rocky Point'!L54</f>
        <v>501431</v>
      </c>
      <c r="O401">
        <f>'Rocky Point'!M54</f>
        <v>59.6</v>
      </c>
      <c r="P401">
        <f>'Rocky Point'!N54</f>
        <v>975</v>
      </c>
      <c r="Q401">
        <f>'Rocky Point'!O54</f>
        <v>1</v>
      </c>
      <c r="R401">
        <f>'Rocky Point'!P54</f>
        <v>50</v>
      </c>
      <c r="S401">
        <f>'Rocky Point'!Q54</f>
        <v>53</v>
      </c>
      <c r="T401">
        <f>'Rocky Point'!R54</f>
        <v>0</v>
      </c>
      <c r="U401">
        <f>'Rocky Point'!S54</f>
        <v>1150</v>
      </c>
      <c r="V401">
        <f>'Rocky Point'!T54</f>
        <v>1</v>
      </c>
      <c r="W401">
        <f>'Rocky Point'!U54</f>
        <v>50</v>
      </c>
      <c r="X401">
        <f>'Rocky Point'!V54</f>
        <v>53</v>
      </c>
      <c r="Y401">
        <f>'Rocky Point'!W54</f>
        <v>0</v>
      </c>
      <c r="Z401">
        <f>'Rocky Point'!X54</f>
        <v>1298</v>
      </c>
      <c r="AA401">
        <f>'Rocky Point'!Y54</f>
        <v>65</v>
      </c>
      <c r="AB401">
        <f>'Rocky Point'!Z54</f>
        <v>50</v>
      </c>
      <c r="AC401">
        <f>'Rocky Point'!AA54</f>
        <v>3460</v>
      </c>
      <c r="AD401">
        <f>'Rocky Point'!AB54</f>
        <v>0.4</v>
      </c>
      <c r="AE401">
        <f>'Rocky Point'!AC54</f>
        <v>1458</v>
      </c>
      <c r="AF401">
        <f>'Rocky Point'!AD54</f>
        <v>87</v>
      </c>
      <c r="AG401">
        <f>'Rocky Point'!AE54</f>
        <v>174</v>
      </c>
      <c r="AH401">
        <f>'Rocky Point'!AF54</f>
        <v>16114</v>
      </c>
      <c r="AI401">
        <f>'Rocky Point'!AG54</f>
        <v>1.9</v>
      </c>
      <c r="AJ401">
        <f>'Rocky Point'!AH54</f>
        <v>1532</v>
      </c>
      <c r="AK401">
        <f>'Rocky Point'!AI54</f>
        <v>1213</v>
      </c>
      <c r="AL401">
        <f>'Rocky Point'!AJ54</f>
        <v>54</v>
      </c>
      <c r="AM401">
        <f>'Rocky Point'!AK54</f>
        <v>69725</v>
      </c>
      <c r="AN401">
        <f>'Rocky Point'!AL54</f>
        <v>8.3000000000000007</v>
      </c>
      <c r="AO401">
        <f>'Rocky Point'!AM54</f>
        <v>1598</v>
      </c>
      <c r="AP401">
        <f>'Rocky Point'!AN54</f>
        <v>141</v>
      </c>
      <c r="AQ401">
        <f>'Rocky Point'!AO54</f>
        <v>50</v>
      </c>
      <c r="AR401">
        <f>'Rocky Point'!AP54</f>
        <v>7504</v>
      </c>
      <c r="AS401">
        <f>'Rocky Point'!AQ54</f>
        <v>0.9</v>
      </c>
      <c r="AT401">
        <f>'Rocky Point'!AR54</f>
        <v>1748</v>
      </c>
      <c r="AU401">
        <f>'Rocky Point'!AS54</f>
        <v>1</v>
      </c>
      <c r="AV401">
        <f>'Rocky Point'!AT54</f>
        <v>198</v>
      </c>
      <c r="AW401">
        <f>'Rocky Point'!AU54</f>
        <v>211</v>
      </c>
      <c r="AX401">
        <f>'Rocky Point'!AV54</f>
        <v>0</v>
      </c>
    </row>
    <row r="402" spans="1:50">
      <c r="A402" t="str">
        <f>'Rocky Point'!A55</f>
        <v>/Users/z2134519/Documents/python/data/bushfire Raman/Rocky Point swamp/RP-M 4.5 BL</v>
      </c>
      <c r="B402" t="s">
        <v>855</v>
      </c>
      <c r="C402">
        <v>4.5</v>
      </c>
      <c r="D402" t="str">
        <f>'Rocky Point'!B55</f>
        <v>2.85 counts</v>
      </c>
      <c r="E402">
        <f>'Rocky Point'!C55</f>
        <v>0.96090200000000003</v>
      </c>
      <c r="F402">
        <f>'Rocky Point'!D55</f>
        <v>1365</v>
      </c>
      <c r="G402">
        <f>'Rocky Point'!E55</f>
        <v>949</v>
      </c>
      <c r="H402">
        <f>'Rocky Point'!F55</f>
        <v>192</v>
      </c>
      <c r="I402">
        <f>'Rocky Point'!G55</f>
        <v>193954</v>
      </c>
      <c r="J402">
        <f>'Rocky Point'!H55</f>
        <v>44.2</v>
      </c>
      <c r="K402">
        <f>'Rocky Point'!I55</f>
        <v>1594</v>
      </c>
      <c r="L402">
        <f>'Rocky Point'!J55</f>
        <v>1625</v>
      </c>
      <c r="M402">
        <f>'Rocky Point'!K55</f>
        <v>91</v>
      </c>
      <c r="N402">
        <f>'Rocky Point'!L55</f>
        <v>157408</v>
      </c>
      <c r="O402">
        <f>'Rocky Point'!M55</f>
        <v>35.9</v>
      </c>
      <c r="P402">
        <f>'Rocky Point'!N55</f>
        <v>1029</v>
      </c>
      <c r="Q402">
        <f>'Rocky Point'!O55</f>
        <v>221</v>
      </c>
      <c r="R402">
        <f>'Rocky Point'!P55</f>
        <v>198</v>
      </c>
      <c r="S402">
        <f>'Rocky Point'!Q55</f>
        <v>46579</v>
      </c>
      <c r="T402">
        <f>'Rocky Point'!R55</f>
        <v>10.6</v>
      </c>
      <c r="U402">
        <f>'Rocky Point'!S55</f>
        <v>1172</v>
      </c>
      <c r="V402">
        <f>'Rocky Point'!T55</f>
        <v>227</v>
      </c>
      <c r="W402">
        <f>'Rocky Point'!U55</f>
        <v>70</v>
      </c>
      <c r="X402">
        <f>'Rocky Point'!V55</f>
        <v>16914</v>
      </c>
      <c r="Y402">
        <f>'Rocky Point'!W55</f>
        <v>3.9</v>
      </c>
      <c r="Z402">
        <f>'Rocky Point'!X55</f>
        <v>1250</v>
      </c>
      <c r="AA402">
        <f>'Rocky Point'!Y55</f>
        <v>5</v>
      </c>
      <c r="AB402">
        <f>'Rocky Point'!Z55</f>
        <v>50</v>
      </c>
      <c r="AC402">
        <f>'Rocky Point'!AA55</f>
        <v>266</v>
      </c>
      <c r="AD402">
        <f>'Rocky Point'!AB55</f>
        <v>0.1</v>
      </c>
      <c r="AE402">
        <f>'Rocky Point'!AC55</f>
        <v>1458</v>
      </c>
      <c r="AF402">
        <f>'Rocky Point'!AD55</f>
        <v>61</v>
      </c>
      <c r="AG402">
        <f>'Rocky Point'!AE55</f>
        <v>58</v>
      </c>
      <c r="AH402">
        <f>'Rocky Point'!AF55</f>
        <v>3766</v>
      </c>
      <c r="AI402">
        <f>'Rocky Point'!AG55</f>
        <v>0.9</v>
      </c>
      <c r="AJ402">
        <f>'Rocky Point'!AH55</f>
        <v>1496</v>
      </c>
      <c r="AK402">
        <f>'Rocky Point'!AI55</f>
        <v>173</v>
      </c>
      <c r="AL402">
        <f>'Rocky Point'!AJ55</f>
        <v>52</v>
      </c>
      <c r="AM402">
        <f>'Rocky Point'!AK55</f>
        <v>9576</v>
      </c>
      <c r="AN402">
        <f>'Rocky Point'!AL55</f>
        <v>2.2000000000000002</v>
      </c>
      <c r="AO402">
        <f>'Rocky Point'!AM55</f>
        <v>1598</v>
      </c>
      <c r="AP402">
        <f>'Rocky Point'!AN55</f>
        <v>35</v>
      </c>
      <c r="AQ402">
        <f>'Rocky Point'!AO55</f>
        <v>50</v>
      </c>
      <c r="AR402">
        <f>'Rocky Point'!AP55</f>
        <v>1863</v>
      </c>
      <c r="AS402">
        <f>'Rocky Point'!AQ55</f>
        <v>0.4</v>
      </c>
      <c r="AT402">
        <f>'Rocky Point'!AR55</f>
        <v>1700</v>
      </c>
      <c r="AU402">
        <f>'Rocky Point'!AS55</f>
        <v>135</v>
      </c>
      <c r="AV402">
        <f>'Rocky Point'!AT55</f>
        <v>58</v>
      </c>
      <c r="AW402">
        <f>'Rocky Point'!AU55</f>
        <v>8335</v>
      </c>
      <c r="AX402">
        <f>'Rocky Point'!AV55</f>
        <v>1.9</v>
      </c>
    </row>
    <row r="403" spans="1:50">
      <c r="A403" t="str">
        <f>'Rocky Point'!A56</f>
        <v>/Users/z2134519/Documents/python/data/bushfire Raman/Rocky Point swamp/RP-M 4.5(2)</v>
      </c>
      <c r="B403" t="s">
        <v>855</v>
      </c>
      <c r="C403">
        <v>4.5</v>
      </c>
      <c r="D403" t="str">
        <f>'Rocky Point'!B56</f>
        <v>19.42 counts</v>
      </c>
      <c r="E403">
        <f>'Rocky Point'!C56</f>
        <v>0.98928000000000005</v>
      </c>
      <c r="F403">
        <f>'Rocky Point'!D56</f>
        <v>1365</v>
      </c>
      <c r="G403">
        <f>'Rocky Point'!E56</f>
        <v>12823</v>
      </c>
      <c r="H403">
        <f>'Rocky Point'!F56</f>
        <v>198</v>
      </c>
      <c r="I403">
        <f>'Rocky Point'!G56</f>
        <v>2702633</v>
      </c>
      <c r="J403">
        <f>'Rocky Point'!H56</f>
        <v>44.1</v>
      </c>
      <c r="K403">
        <f>'Rocky Point'!I56</f>
        <v>1588</v>
      </c>
      <c r="L403">
        <f>'Rocky Point'!J56</f>
        <v>17131</v>
      </c>
      <c r="M403">
        <f>'Rocky Point'!K56</f>
        <v>139</v>
      </c>
      <c r="N403">
        <f>'Rocky Point'!L56</f>
        <v>2534718</v>
      </c>
      <c r="O403">
        <f>'Rocky Point'!M56</f>
        <v>41.3</v>
      </c>
      <c r="P403">
        <f>'Rocky Point'!N56</f>
        <v>1073</v>
      </c>
      <c r="Q403">
        <f>'Rocky Point'!O56</f>
        <v>1195</v>
      </c>
      <c r="R403">
        <f>'Rocky Point'!P56</f>
        <v>144</v>
      </c>
      <c r="S403">
        <f>'Rocky Point'!Q56</f>
        <v>183173</v>
      </c>
      <c r="T403">
        <f>'Rocky Point'!R56</f>
        <v>3</v>
      </c>
      <c r="U403">
        <f>'Rocky Point'!S56</f>
        <v>1184</v>
      </c>
      <c r="V403">
        <f>'Rocky Point'!T56</f>
        <v>2945</v>
      </c>
      <c r="W403">
        <f>'Rocky Point'!U56</f>
        <v>114</v>
      </c>
      <c r="X403">
        <f>'Rocky Point'!V56</f>
        <v>357374</v>
      </c>
      <c r="Y403">
        <f>'Rocky Point'!W56</f>
        <v>5.8</v>
      </c>
      <c r="Z403">
        <f>'Rocky Point'!X56</f>
        <v>1250</v>
      </c>
      <c r="AA403">
        <f>'Rocky Point'!Y56</f>
        <v>345</v>
      </c>
      <c r="AB403">
        <f>'Rocky Point'!Z56</f>
        <v>50</v>
      </c>
      <c r="AC403">
        <f>'Rocky Point'!AA56</f>
        <v>18362</v>
      </c>
      <c r="AD403">
        <f>'Rocky Point'!AB56</f>
        <v>0.3</v>
      </c>
      <c r="AE403">
        <f>'Rocky Point'!AC56</f>
        <v>1450</v>
      </c>
      <c r="AF403">
        <f>'Rocky Point'!AD56</f>
        <v>1475</v>
      </c>
      <c r="AG403">
        <f>'Rocky Point'!AE56</f>
        <v>50</v>
      </c>
      <c r="AH403">
        <f>'Rocky Point'!AF56</f>
        <v>78504</v>
      </c>
      <c r="AI403">
        <f>'Rocky Point'!AG56</f>
        <v>1.3</v>
      </c>
      <c r="AJ403">
        <f>'Rocky Point'!AH56</f>
        <v>1490</v>
      </c>
      <c r="AK403">
        <f>'Rocky Point'!AI56</f>
        <v>1511</v>
      </c>
      <c r="AL403">
        <f>'Rocky Point'!AJ56</f>
        <v>52</v>
      </c>
      <c r="AM403">
        <f>'Rocky Point'!AK56</f>
        <v>83637</v>
      </c>
      <c r="AN403">
        <f>'Rocky Point'!AL56</f>
        <v>1.4</v>
      </c>
      <c r="AO403">
        <f>'Rocky Point'!AM56</f>
        <v>1578</v>
      </c>
      <c r="AP403">
        <f>'Rocky Point'!AN56</f>
        <v>997</v>
      </c>
      <c r="AQ403">
        <f>'Rocky Point'!AO56</f>
        <v>50</v>
      </c>
      <c r="AR403">
        <f>'Rocky Point'!AP56</f>
        <v>53064</v>
      </c>
      <c r="AS403">
        <f>'Rocky Point'!AQ56</f>
        <v>0.9</v>
      </c>
      <c r="AT403">
        <f>'Rocky Point'!AR56</f>
        <v>1748</v>
      </c>
      <c r="AU403">
        <f>'Rocky Point'!AS56</f>
        <v>1163</v>
      </c>
      <c r="AV403">
        <f>'Rocky Point'!AT56</f>
        <v>98</v>
      </c>
      <c r="AW403">
        <f>'Rocky Point'!AU56</f>
        <v>121322</v>
      </c>
      <c r="AX403">
        <f>'Rocky Point'!AV56</f>
        <v>2</v>
      </c>
    </row>
    <row r="404" spans="1:50">
      <c r="A404" t="str">
        <f>'Rocky Point'!A57</f>
        <v>/Users/z2134519/Documents/python/data/bushfire Raman/Rocky Point swamp/RP-M 4.5(3) BL txt</v>
      </c>
      <c r="B404" t="s">
        <v>855</v>
      </c>
      <c r="C404">
        <v>4.5</v>
      </c>
      <c r="D404" t="str">
        <f>'Rocky Point'!B57</f>
        <v>13.40 counts</v>
      </c>
      <c r="E404">
        <f>'Rocky Point'!C57</f>
        <v>0.99145899999999998</v>
      </c>
      <c r="F404">
        <f>'Rocky Point'!D57</f>
        <v>1369</v>
      </c>
      <c r="G404">
        <f>'Rocky Point'!E57</f>
        <v>7277</v>
      </c>
      <c r="H404">
        <f>'Rocky Point'!F57</f>
        <v>188</v>
      </c>
      <c r="I404">
        <f>'Rocky Point'!G57</f>
        <v>1456272</v>
      </c>
      <c r="J404">
        <f>'Rocky Point'!H57</f>
        <v>43.9</v>
      </c>
      <c r="K404">
        <f>'Rocky Point'!I57</f>
        <v>1588</v>
      </c>
      <c r="L404">
        <f>'Rocky Point'!J57</f>
        <v>14065</v>
      </c>
      <c r="M404">
        <f>'Rocky Point'!K57</f>
        <v>97</v>
      </c>
      <c r="N404">
        <f>'Rocky Point'!L57</f>
        <v>1452258</v>
      </c>
      <c r="O404">
        <f>'Rocky Point'!M57</f>
        <v>43.8</v>
      </c>
      <c r="P404">
        <f>'Rocky Point'!N57</f>
        <v>1069</v>
      </c>
      <c r="Q404">
        <f>'Rocky Point'!O57</f>
        <v>31</v>
      </c>
      <c r="R404">
        <f>'Rocky Point'!P57</f>
        <v>50</v>
      </c>
      <c r="S404">
        <f>'Rocky Point'!Q57</f>
        <v>1650</v>
      </c>
      <c r="T404">
        <f>'Rocky Point'!R57</f>
        <v>0</v>
      </c>
      <c r="U404">
        <f>'Rocky Point'!S57</f>
        <v>1166</v>
      </c>
      <c r="V404">
        <f>'Rocky Point'!T57</f>
        <v>283</v>
      </c>
      <c r="W404">
        <f>'Rocky Point'!U57</f>
        <v>50</v>
      </c>
      <c r="X404">
        <f>'Rocky Point'!V57</f>
        <v>15062</v>
      </c>
      <c r="Y404">
        <f>'Rocky Point'!W57</f>
        <v>0.5</v>
      </c>
      <c r="Z404">
        <f>'Rocky Point'!X57</f>
        <v>1250</v>
      </c>
      <c r="AA404">
        <f>'Rocky Point'!Y57</f>
        <v>1</v>
      </c>
      <c r="AB404">
        <f>'Rocky Point'!Z57</f>
        <v>50</v>
      </c>
      <c r="AC404">
        <f>'Rocky Point'!AA57</f>
        <v>53</v>
      </c>
      <c r="AD404">
        <f>'Rocky Point'!AB57</f>
        <v>0</v>
      </c>
      <c r="AE404">
        <f>'Rocky Point'!AC57</f>
        <v>1452</v>
      </c>
      <c r="AF404">
        <f>'Rocky Point'!AD57</f>
        <v>1247</v>
      </c>
      <c r="AG404">
        <f>'Rocky Point'!AE57</f>
        <v>76</v>
      </c>
      <c r="AH404">
        <f>'Rocky Point'!AF57</f>
        <v>100882</v>
      </c>
      <c r="AI404">
        <f>'Rocky Point'!AG57</f>
        <v>3</v>
      </c>
      <c r="AJ404">
        <f>'Rocky Point'!AH57</f>
        <v>1516</v>
      </c>
      <c r="AK404">
        <f>'Rocky Point'!AI57</f>
        <v>2903</v>
      </c>
      <c r="AL404">
        <f>'Rocky Point'!AJ57</f>
        <v>76</v>
      </c>
      <c r="AM404">
        <f>'Rocky Point'!AK57</f>
        <v>234851</v>
      </c>
      <c r="AN404">
        <f>'Rocky Point'!AL57</f>
        <v>7.1</v>
      </c>
      <c r="AO404">
        <f>'Rocky Point'!AM57</f>
        <v>1596</v>
      </c>
      <c r="AP404">
        <f>'Rocky Point'!AN57</f>
        <v>765</v>
      </c>
      <c r="AQ404">
        <f>'Rocky Point'!AO57</f>
        <v>50</v>
      </c>
      <c r="AR404">
        <f>'Rocky Point'!AP57</f>
        <v>40716</v>
      </c>
      <c r="AS404">
        <f>'Rocky Point'!AQ57</f>
        <v>1.2</v>
      </c>
      <c r="AT404">
        <f>'Rocky Point'!AR57</f>
        <v>1700</v>
      </c>
      <c r="AU404">
        <f>'Rocky Point'!AS57</f>
        <v>323</v>
      </c>
      <c r="AV404">
        <f>'Rocky Point'!AT57</f>
        <v>50</v>
      </c>
      <c r="AW404">
        <f>'Rocky Point'!AU57</f>
        <v>17191</v>
      </c>
      <c r="AX404">
        <f>'Rocky Point'!AV57</f>
        <v>0.5</v>
      </c>
    </row>
    <row r="405" spans="1:50">
      <c r="A405" t="str">
        <f>'Rocky Point'!A58</f>
        <v>/Users/z2134519/Documents/python/data/bushfire Raman/Rocky Point swamp/RP-M 4.5(4)txt</v>
      </c>
      <c r="B405" t="s">
        <v>855</v>
      </c>
      <c r="C405">
        <v>4.5</v>
      </c>
      <c r="D405" t="str">
        <f>'Rocky Point'!B58</f>
        <v>9.32 counts</v>
      </c>
      <c r="E405">
        <f>'Rocky Point'!C58</f>
        <v>0.98568199999999995</v>
      </c>
      <c r="F405">
        <f>'Rocky Point'!D58</f>
        <v>1365</v>
      </c>
      <c r="G405">
        <f>'Rocky Point'!E58</f>
        <v>6349</v>
      </c>
      <c r="H405">
        <f>'Rocky Point'!F58</f>
        <v>196</v>
      </c>
      <c r="I405">
        <f>'Rocky Point'!G58</f>
        <v>1324627</v>
      </c>
      <c r="J405">
        <f>'Rocky Point'!H58</f>
        <v>53.1</v>
      </c>
      <c r="K405">
        <f>'Rocky Point'!I58</f>
        <v>1586</v>
      </c>
      <c r="L405">
        <f>'Rocky Point'!J58</f>
        <v>6349</v>
      </c>
      <c r="M405">
        <f>'Rocky Point'!K58</f>
        <v>125</v>
      </c>
      <c r="N405">
        <f>'Rocky Point'!L58</f>
        <v>844788</v>
      </c>
      <c r="O405">
        <f>'Rocky Point'!M58</f>
        <v>33.799999999999997</v>
      </c>
      <c r="P405">
        <f>'Rocky Point'!N58</f>
        <v>1073</v>
      </c>
      <c r="Q405">
        <f>'Rocky Point'!O58</f>
        <v>481</v>
      </c>
      <c r="R405">
        <f>'Rocky Point'!P58</f>
        <v>130</v>
      </c>
      <c r="S405">
        <f>'Rocky Point'!Q58</f>
        <v>66561</v>
      </c>
      <c r="T405">
        <f>'Rocky Point'!R58</f>
        <v>2.7</v>
      </c>
      <c r="U405">
        <f>'Rocky Point'!S58</f>
        <v>1172</v>
      </c>
      <c r="V405">
        <f>'Rocky Point'!T58</f>
        <v>1105</v>
      </c>
      <c r="W405">
        <f>'Rocky Point'!U58</f>
        <v>102</v>
      </c>
      <c r="X405">
        <f>'Rocky Point'!V58</f>
        <v>119976</v>
      </c>
      <c r="Y405">
        <f>'Rocky Point'!W58</f>
        <v>4.8</v>
      </c>
      <c r="Z405">
        <f>'Rocky Point'!X58</f>
        <v>1250</v>
      </c>
      <c r="AA405">
        <f>'Rocky Point'!Y58</f>
        <v>35</v>
      </c>
      <c r="AB405">
        <f>'Rocky Point'!Z58</f>
        <v>50</v>
      </c>
      <c r="AC405">
        <f>'Rocky Point'!AA58</f>
        <v>1863</v>
      </c>
      <c r="AD405">
        <f>'Rocky Point'!AB58</f>
        <v>0.1</v>
      </c>
      <c r="AE405">
        <f>'Rocky Point'!AC58</f>
        <v>1458</v>
      </c>
      <c r="AF405">
        <f>'Rocky Point'!AD58</f>
        <v>147</v>
      </c>
      <c r="AG405">
        <f>'Rocky Point'!AE58</f>
        <v>50</v>
      </c>
      <c r="AH405">
        <f>'Rocky Point'!AF58</f>
        <v>7824</v>
      </c>
      <c r="AI405">
        <f>'Rocky Point'!AG58</f>
        <v>0.3</v>
      </c>
      <c r="AJ405">
        <f>'Rocky Point'!AH58</f>
        <v>1494</v>
      </c>
      <c r="AK405">
        <f>'Rocky Point'!AI58</f>
        <v>701</v>
      </c>
      <c r="AL405">
        <f>'Rocky Point'!AJ58</f>
        <v>50</v>
      </c>
      <c r="AM405">
        <f>'Rocky Point'!AK58</f>
        <v>37310</v>
      </c>
      <c r="AN405">
        <f>'Rocky Point'!AL58</f>
        <v>1.5</v>
      </c>
      <c r="AO405">
        <f>'Rocky Point'!AM58</f>
        <v>1580</v>
      </c>
      <c r="AP405">
        <f>'Rocky Point'!AN58</f>
        <v>745</v>
      </c>
      <c r="AQ405">
        <f>'Rocky Point'!AO58</f>
        <v>50</v>
      </c>
      <c r="AR405">
        <f>'Rocky Point'!AP58</f>
        <v>39651</v>
      </c>
      <c r="AS405">
        <f>'Rocky Point'!AQ58</f>
        <v>1.6</v>
      </c>
      <c r="AT405">
        <f>'Rocky Point'!AR58</f>
        <v>1746</v>
      </c>
      <c r="AU405">
        <f>'Rocky Point'!AS58</f>
        <v>577</v>
      </c>
      <c r="AV405">
        <f>'Rocky Point'!AT58</f>
        <v>88</v>
      </c>
      <c r="AW405">
        <f>'Rocky Point'!AU58</f>
        <v>54049</v>
      </c>
      <c r="AX405">
        <f>'Rocky Point'!AV58</f>
        <v>2.2000000000000002</v>
      </c>
    </row>
    <row r="406" spans="1:50">
      <c r="A406" t="str">
        <f>'Rocky Point'!A59</f>
        <v>/Users/z2134519/Documents/python/data/bushfire Raman/Rocky Point swamp/RP-M 4.5(5)txt</v>
      </c>
      <c r="B406" t="s">
        <v>855</v>
      </c>
      <c r="C406">
        <v>4.5</v>
      </c>
      <c r="D406" t="str">
        <f>'Rocky Point'!B59</f>
        <v>28.12 counts</v>
      </c>
      <c r="E406">
        <f>'Rocky Point'!C59</f>
        <v>0.99388399999999999</v>
      </c>
      <c r="F406">
        <f>'Rocky Point'!D59</f>
        <v>1365</v>
      </c>
      <c r="G406">
        <f>'Rocky Point'!E59</f>
        <v>24173</v>
      </c>
      <c r="H406">
        <f>'Rocky Point'!F59</f>
        <v>198</v>
      </c>
      <c r="I406">
        <f>'Rocky Point'!G59</f>
        <v>5094810</v>
      </c>
      <c r="J406">
        <f>'Rocky Point'!H59</f>
        <v>45.5</v>
      </c>
      <c r="K406">
        <f>'Rocky Point'!I59</f>
        <v>1584</v>
      </c>
      <c r="L406">
        <f>'Rocky Point'!J59</f>
        <v>31529</v>
      </c>
      <c r="M406">
        <f>'Rocky Point'!K59</f>
        <v>137</v>
      </c>
      <c r="N406">
        <f>'Rocky Point'!L59</f>
        <v>4597937</v>
      </c>
      <c r="O406">
        <f>'Rocky Point'!M59</f>
        <v>41</v>
      </c>
      <c r="P406">
        <f>'Rocky Point'!N59</f>
        <v>1073</v>
      </c>
      <c r="Q406">
        <f>'Rocky Point'!O59</f>
        <v>1565</v>
      </c>
      <c r="R406">
        <f>'Rocky Point'!P59</f>
        <v>130</v>
      </c>
      <c r="S406">
        <f>'Rocky Point'!Q59</f>
        <v>216566</v>
      </c>
      <c r="T406">
        <f>'Rocky Point'!R59</f>
        <v>1.9</v>
      </c>
      <c r="U406">
        <f>'Rocky Point'!S59</f>
        <v>1176</v>
      </c>
      <c r="V406">
        <f>'Rocky Point'!T59</f>
        <v>4545</v>
      </c>
      <c r="W406">
        <f>'Rocky Point'!U59</f>
        <v>104</v>
      </c>
      <c r="X406">
        <f>'Rocky Point'!V59</f>
        <v>503152</v>
      </c>
      <c r="Y406">
        <f>'Rocky Point'!W59</f>
        <v>4.5</v>
      </c>
      <c r="Z406">
        <f>'Rocky Point'!X59</f>
        <v>1250</v>
      </c>
      <c r="AA406">
        <f>'Rocky Point'!Y59</f>
        <v>587</v>
      </c>
      <c r="AB406">
        <f>'Rocky Point'!Z59</f>
        <v>50</v>
      </c>
      <c r="AC406">
        <f>'Rocky Point'!AA59</f>
        <v>31242</v>
      </c>
      <c r="AD406">
        <f>'Rocky Point'!AB59</f>
        <v>0.3</v>
      </c>
      <c r="AE406">
        <f>'Rocky Point'!AC59</f>
        <v>1448</v>
      </c>
      <c r="AF406">
        <f>'Rocky Point'!AD59</f>
        <v>2723</v>
      </c>
      <c r="AG406">
        <f>'Rocky Point'!AE59</f>
        <v>50</v>
      </c>
      <c r="AH406">
        <f>'Rocky Point'!AF59</f>
        <v>144927</v>
      </c>
      <c r="AI406">
        <f>'Rocky Point'!AG59</f>
        <v>1.3</v>
      </c>
      <c r="AJ406">
        <f>'Rocky Point'!AH59</f>
        <v>1486</v>
      </c>
      <c r="AK406">
        <f>'Rocky Point'!AI59</f>
        <v>2769</v>
      </c>
      <c r="AL406">
        <f>'Rocky Point'!AJ59</f>
        <v>50</v>
      </c>
      <c r="AM406">
        <f>'Rocky Point'!AK59</f>
        <v>147375</v>
      </c>
      <c r="AN406">
        <f>'Rocky Point'!AL59</f>
        <v>1.3</v>
      </c>
      <c r="AO406">
        <f>'Rocky Point'!AM59</f>
        <v>1588</v>
      </c>
      <c r="AP406">
        <f>'Rocky Point'!AN59</f>
        <v>3519</v>
      </c>
      <c r="AQ406">
        <f>'Rocky Point'!AO59</f>
        <v>50</v>
      </c>
      <c r="AR406">
        <f>'Rocky Point'!AP59</f>
        <v>187293</v>
      </c>
      <c r="AS406">
        <f>'Rocky Point'!AQ59</f>
        <v>1.7</v>
      </c>
      <c r="AT406">
        <f>'Rocky Point'!AR59</f>
        <v>1748</v>
      </c>
      <c r="AU406">
        <f>'Rocky Point'!AS59</f>
        <v>2705</v>
      </c>
      <c r="AV406">
        <f>'Rocky Point'!AT59</f>
        <v>98</v>
      </c>
      <c r="AW406">
        <f>'Rocky Point'!AU59</f>
        <v>282180</v>
      </c>
      <c r="AX406">
        <f>'Rocky Point'!AV59</f>
        <v>2.5</v>
      </c>
    </row>
    <row r="407" spans="1:50">
      <c r="A407" t="str">
        <f>'Rocky Point'!A60</f>
        <v>/Users/z2134519/Documents/python/data/bushfire Raman/Rocky Point swamp/RP-M 5 (1)</v>
      </c>
      <c r="B407" t="s">
        <v>855</v>
      </c>
      <c r="C407">
        <v>5</v>
      </c>
      <c r="D407" t="str">
        <f>'Rocky Point'!B60</f>
        <v>13.11 counts</v>
      </c>
      <c r="E407">
        <f>'Rocky Point'!C60</f>
        <v>0.98743199999999998</v>
      </c>
      <c r="F407">
        <f>'Rocky Point'!D60</f>
        <v>1365</v>
      </c>
      <c r="G407">
        <f>'Rocky Point'!E60</f>
        <v>9195</v>
      </c>
      <c r="H407">
        <f>'Rocky Point'!F60</f>
        <v>198</v>
      </c>
      <c r="I407">
        <f>'Rocky Point'!G60</f>
        <v>1937979</v>
      </c>
      <c r="J407">
        <f>'Rocky Point'!H60</f>
        <v>48.8</v>
      </c>
      <c r="K407">
        <f>'Rocky Point'!I60</f>
        <v>1588</v>
      </c>
      <c r="L407">
        <f>'Rocky Point'!J60</f>
        <v>10147</v>
      </c>
      <c r="M407">
        <f>'Rocky Point'!K60</f>
        <v>129</v>
      </c>
      <c r="N407">
        <f>'Rocky Point'!L60</f>
        <v>1393348</v>
      </c>
      <c r="O407">
        <f>'Rocky Point'!M60</f>
        <v>35.1</v>
      </c>
      <c r="P407">
        <f>'Rocky Point'!N60</f>
        <v>1073</v>
      </c>
      <c r="Q407">
        <f>'Rocky Point'!O60</f>
        <v>913</v>
      </c>
      <c r="R407">
        <f>'Rocky Point'!P60</f>
        <v>146</v>
      </c>
      <c r="S407">
        <f>'Rocky Point'!Q60</f>
        <v>141891</v>
      </c>
      <c r="T407">
        <f>'Rocky Point'!R60</f>
        <v>3.6</v>
      </c>
      <c r="U407">
        <f>'Rocky Point'!S60</f>
        <v>1186</v>
      </c>
      <c r="V407">
        <f>'Rocky Point'!T60</f>
        <v>1999</v>
      </c>
      <c r="W407">
        <f>'Rocky Point'!U60</f>
        <v>124</v>
      </c>
      <c r="X407">
        <f>'Rocky Point'!V60</f>
        <v>263856</v>
      </c>
      <c r="Y407">
        <f>'Rocky Point'!W60</f>
        <v>6.6</v>
      </c>
      <c r="Z407">
        <f>'Rocky Point'!X60</f>
        <v>1282</v>
      </c>
      <c r="AA407">
        <f>'Rocky Point'!Y60</f>
        <v>205</v>
      </c>
      <c r="AB407">
        <f>'Rocky Point'!Z60</f>
        <v>60</v>
      </c>
      <c r="AC407">
        <f>'Rocky Point'!AA60</f>
        <v>13093</v>
      </c>
      <c r="AD407">
        <f>'Rocky Point'!AB60</f>
        <v>0.3</v>
      </c>
      <c r="AE407">
        <f>'Rocky Point'!AC60</f>
        <v>1458</v>
      </c>
      <c r="AF407">
        <f>'Rocky Point'!AD60</f>
        <v>247</v>
      </c>
      <c r="AG407">
        <f>'Rocky Point'!AE60</f>
        <v>50</v>
      </c>
      <c r="AH407">
        <f>'Rocky Point'!AF60</f>
        <v>13146</v>
      </c>
      <c r="AI407">
        <f>'Rocky Point'!AG60</f>
        <v>0.3</v>
      </c>
      <c r="AJ407">
        <f>'Rocky Point'!AH60</f>
        <v>1490</v>
      </c>
      <c r="AK407">
        <f>'Rocky Point'!AI60</f>
        <v>1431</v>
      </c>
      <c r="AL407">
        <f>'Rocky Point'!AJ60</f>
        <v>56</v>
      </c>
      <c r="AM407">
        <f>'Rocky Point'!AK60</f>
        <v>85302</v>
      </c>
      <c r="AN407">
        <f>'Rocky Point'!AL60</f>
        <v>2.1</v>
      </c>
      <c r="AO407">
        <f>'Rocky Point'!AM60</f>
        <v>1578</v>
      </c>
      <c r="AP407">
        <f>'Rocky Point'!AN60</f>
        <v>467</v>
      </c>
      <c r="AQ407">
        <f>'Rocky Point'!AO60</f>
        <v>50</v>
      </c>
      <c r="AR407">
        <f>'Rocky Point'!AP60</f>
        <v>24855</v>
      </c>
      <c r="AS407">
        <f>'Rocky Point'!AQ60</f>
        <v>0.6</v>
      </c>
      <c r="AT407">
        <f>'Rocky Point'!AR60</f>
        <v>1748</v>
      </c>
      <c r="AU407">
        <f>'Rocky Point'!AS60</f>
        <v>803</v>
      </c>
      <c r="AV407">
        <f>'Rocky Point'!AT60</f>
        <v>112</v>
      </c>
      <c r="AW407">
        <f>'Rocky Point'!AU60</f>
        <v>95734</v>
      </c>
      <c r="AX407">
        <f>'Rocky Point'!AV60</f>
        <v>2.4</v>
      </c>
    </row>
    <row r="408" spans="1:50">
      <c r="A408" t="str">
        <f>'Rocky Point'!A61</f>
        <v>/Users/z2134519/Documents/python/data/bushfire Raman/Rocky Point swamp/RP-M 5 (2)</v>
      </c>
      <c r="B408" t="s">
        <v>855</v>
      </c>
      <c r="C408">
        <v>5</v>
      </c>
      <c r="D408" t="str">
        <f>'Rocky Point'!B61</f>
        <v>16.33 counts</v>
      </c>
      <c r="E408">
        <f>'Rocky Point'!C61</f>
        <v>0.99181200000000003</v>
      </c>
      <c r="F408">
        <f>'Rocky Point'!D61</f>
        <v>1365</v>
      </c>
      <c r="G408">
        <f>'Rocky Point'!E61</f>
        <v>12461</v>
      </c>
      <c r="H408">
        <f>'Rocky Point'!F61</f>
        <v>198</v>
      </c>
      <c r="I408">
        <f>'Rocky Point'!G61</f>
        <v>2626336</v>
      </c>
      <c r="J408">
        <f>'Rocky Point'!H61</f>
        <v>45.2</v>
      </c>
      <c r="K408">
        <f>'Rocky Point'!I61</f>
        <v>1590</v>
      </c>
      <c r="L408">
        <f>'Rocky Point'!J61</f>
        <v>18133</v>
      </c>
      <c r="M408">
        <f>'Rocky Point'!K61</f>
        <v>111</v>
      </c>
      <c r="N408">
        <f>'Rocky Point'!L61</f>
        <v>2142520</v>
      </c>
      <c r="O408">
        <f>'Rocky Point'!M61</f>
        <v>36.9</v>
      </c>
      <c r="P408">
        <f>'Rocky Point'!N61</f>
        <v>1073</v>
      </c>
      <c r="Q408">
        <f>'Rocky Point'!O61</f>
        <v>1049</v>
      </c>
      <c r="R408">
        <f>'Rocky Point'!P61</f>
        <v>144</v>
      </c>
      <c r="S408">
        <f>'Rocky Point'!Q61</f>
        <v>160794</v>
      </c>
      <c r="T408">
        <f>'Rocky Point'!R61</f>
        <v>2.8</v>
      </c>
      <c r="U408">
        <f>'Rocky Point'!S61</f>
        <v>1182</v>
      </c>
      <c r="V408">
        <f>'Rocky Point'!T61</f>
        <v>2725</v>
      </c>
      <c r="W408">
        <f>'Rocky Point'!U61</f>
        <v>110</v>
      </c>
      <c r="X408">
        <f>'Rocky Point'!V61</f>
        <v>319074</v>
      </c>
      <c r="Y408">
        <f>'Rocky Point'!W61</f>
        <v>5.5</v>
      </c>
      <c r="Z408">
        <f>'Rocky Point'!X61</f>
        <v>1250</v>
      </c>
      <c r="AA408">
        <f>'Rocky Point'!Y61</f>
        <v>433</v>
      </c>
      <c r="AB408">
        <f>'Rocky Point'!Z61</f>
        <v>50</v>
      </c>
      <c r="AC408">
        <f>'Rocky Point'!AA61</f>
        <v>23046</v>
      </c>
      <c r="AD408">
        <f>'Rocky Point'!AB61</f>
        <v>0.4</v>
      </c>
      <c r="AE408">
        <f>'Rocky Point'!AC61</f>
        <v>1448</v>
      </c>
      <c r="AF408">
        <f>'Rocky Point'!AD61</f>
        <v>1497</v>
      </c>
      <c r="AG408">
        <f>'Rocky Point'!AE61</f>
        <v>56</v>
      </c>
      <c r="AH408">
        <f>'Rocky Point'!AF61</f>
        <v>89236</v>
      </c>
      <c r="AI408">
        <f>'Rocky Point'!AG61</f>
        <v>1.5</v>
      </c>
      <c r="AJ408">
        <f>'Rocky Point'!AH61</f>
        <v>1492</v>
      </c>
      <c r="AK408">
        <f>'Rocky Point'!AI61</f>
        <v>2603</v>
      </c>
      <c r="AL408">
        <f>'Rocky Point'!AJ61</f>
        <v>52</v>
      </c>
      <c r="AM408">
        <f>'Rocky Point'!AK61</f>
        <v>144082</v>
      </c>
      <c r="AN408">
        <f>'Rocky Point'!AL61</f>
        <v>2.5</v>
      </c>
      <c r="AO408">
        <f>'Rocky Point'!AM61</f>
        <v>1596</v>
      </c>
      <c r="AP408">
        <f>'Rocky Point'!AN61</f>
        <v>965</v>
      </c>
      <c r="AQ408">
        <f>'Rocky Point'!AO61</f>
        <v>50</v>
      </c>
      <c r="AR408">
        <f>'Rocky Point'!AP61</f>
        <v>51361</v>
      </c>
      <c r="AS408">
        <f>'Rocky Point'!AQ61</f>
        <v>0.9</v>
      </c>
      <c r="AT408">
        <f>'Rocky Point'!AR61</f>
        <v>1734</v>
      </c>
      <c r="AU408">
        <f>'Rocky Point'!AS61</f>
        <v>2043</v>
      </c>
      <c r="AV408">
        <f>'Rocky Point'!AT61</f>
        <v>116</v>
      </c>
      <c r="AW408">
        <f>'Rocky Point'!AU61</f>
        <v>252266</v>
      </c>
      <c r="AX408">
        <f>'Rocky Point'!AV61</f>
        <v>4.3</v>
      </c>
    </row>
    <row r="409" spans="1:50">
      <c r="A409" t="str">
        <f>'Rocky Point'!A62</f>
        <v>/Users/z2134519/Documents/python/data/bushfire Raman/Rocky Point swamp/RP-M 5(2)_BL</v>
      </c>
      <c r="B409" t="s">
        <v>855</v>
      </c>
      <c r="C409">
        <v>5</v>
      </c>
      <c r="D409" t="str">
        <f>'Rocky Point'!B62</f>
        <v>10.28 counts</v>
      </c>
      <c r="E409">
        <f>'Rocky Point'!C62</f>
        <v>0.99311199999999999</v>
      </c>
      <c r="F409">
        <f>'Rocky Point'!D62</f>
        <v>1369</v>
      </c>
      <c r="G409">
        <f>'Rocky Point'!E62</f>
        <v>4933</v>
      </c>
      <c r="H409">
        <f>'Rocky Point'!F62</f>
        <v>124</v>
      </c>
      <c r="I409">
        <f>'Rocky Point'!G62</f>
        <v>651126</v>
      </c>
      <c r="J409">
        <f>'Rocky Point'!H62</f>
        <v>26.8</v>
      </c>
      <c r="K409">
        <f>'Rocky Point'!I62</f>
        <v>1592</v>
      </c>
      <c r="L409">
        <f>'Rocky Point'!J62</f>
        <v>15133</v>
      </c>
      <c r="M409">
        <f>'Rocky Point'!K62</f>
        <v>89</v>
      </c>
      <c r="N409">
        <f>'Rocky Point'!L62</f>
        <v>1433664</v>
      </c>
      <c r="O409">
        <f>'Rocky Point'!M62</f>
        <v>59</v>
      </c>
      <c r="P409">
        <f>'Rocky Point'!N62</f>
        <v>1073</v>
      </c>
      <c r="Q409">
        <f>'Rocky Point'!O62</f>
        <v>339</v>
      </c>
      <c r="R409">
        <f>'Rocky Point'!P62</f>
        <v>60</v>
      </c>
      <c r="S409">
        <f>'Rocky Point'!Q62</f>
        <v>21651</v>
      </c>
      <c r="T409">
        <f>'Rocky Point'!R62</f>
        <v>0.9</v>
      </c>
      <c r="U409">
        <f>'Rocky Point'!S62</f>
        <v>1150</v>
      </c>
      <c r="V409">
        <f>'Rocky Point'!T62</f>
        <v>59</v>
      </c>
      <c r="W409">
        <f>'Rocky Point'!U62</f>
        <v>50</v>
      </c>
      <c r="X409">
        <f>'Rocky Point'!V62</f>
        <v>3140</v>
      </c>
      <c r="Y409">
        <f>'Rocky Point'!W62</f>
        <v>0.1</v>
      </c>
      <c r="Z409">
        <f>'Rocky Point'!X62</f>
        <v>1282</v>
      </c>
      <c r="AA409">
        <f>'Rocky Point'!Y62</f>
        <v>93</v>
      </c>
      <c r="AB409">
        <f>'Rocky Point'!Z62</f>
        <v>50</v>
      </c>
      <c r="AC409">
        <f>'Rocky Point'!AA62</f>
        <v>4950</v>
      </c>
      <c r="AD409">
        <f>'Rocky Point'!AB62</f>
        <v>0.2</v>
      </c>
      <c r="AE409">
        <f>'Rocky Point'!AC62</f>
        <v>1450</v>
      </c>
      <c r="AF409">
        <f>'Rocky Point'!AD62</f>
        <v>1735</v>
      </c>
      <c r="AG409">
        <f>'Rocky Point'!AE62</f>
        <v>82</v>
      </c>
      <c r="AH409">
        <f>'Rocky Point'!AF62</f>
        <v>151442</v>
      </c>
      <c r="AI409">
        <f>'Rocky Point'!AG62</f>
        <v>6.2</v>
      </c>
      <c r="AJ409">
        <f>'Rocky Point'!AH62</f>
        <v>1506</v>
      </c>
      <c r="AK409">
        <f>'Rocky Point'!AI62</f>
        <v>1771</v>
      </c>
      <c r="AL409">
        <f>'Rocky Point'!AJ62</f>
        <v>50</v>
      </c>
      <c r="AM409">
        <f>'Rocky Point'!AK62</f>
        <v>94259</v>
      </c>
      <c r="AN409">
        <f>'Rocky Point'!AL62</f>
        <v>3.9</v>
      </c>
      <c r="AO409">
        <f>'Rocky Point'!AM62</f>
        <v>1596</v>
      </c>
      <c r="AP409">
        <f>'Rocky Point'!AN62</f>
        <v>337</v>
      </c>
      <c r="AQ409">
        <f>'Rocky Point'!AO62</f>
        <v>50</v>
      </c>
      <c r="AR409">
        <f>'Rocky Point'!AP62</f>
        <v>17936</v>
      </c>
      <c r="AS409">
        <f>'Rocky Point'!AQ62</f>
        <v>0.7</v>
      </c>
      <c r="AT409">
        <f>'Rocky Point'!AR62</f>
        <v>1708</v>
      </c>
      <c r="AU409">
        <f>'Rocky Point'!AS62</f>
        <v>971</v>
      </c>
      <c r="AV409">
        <f>'Rocky Point'!AT62</f>
        <v>50</v>
      </c>
      <c r="AW409">
        <f>'Rocky Point'!AU62</f>
        <v>51680</v>
      </c>
      <c r="AX409">
        <f>'Rocky Point'!AV62</f>
        <v>2.1</v>
      </c>
    </row>
    <row r="410" spans="1:50">
      <c r="A410" t="str">
        <f>'Rocky Point'!A63</f>
        <v xml:space="preserve">/Users/z2134519/Documents/python/data/bushfire Raman/Rocky Point swamp/RP-M 6 (2) </v>
      </c>
      <c r="B410" t="s">
        <v>855</v>
      </c>
      <c r="C410">
        <v>6</v>
      </c>
      <c r="D410" t="str">
        <f>'Rocky Point'!B63</f>
        <v>15.78 counts</v>
      </c>
      <c r="E410">
        <f>'Rocky Point'!C63</f>
        <v>0.99118799999999996</v>
      </c>
      <c r="F410">
        <f>'Rocky Point'!D63</f>
        <v>1365</v>
      </c>
      <c r="G410">
        <f>'Rocky Point'!E63</f>
        <v>11891</v>
      </c>
      <c r="H410">
        <f>'Rocky Point'!F63</f>
        <v>198</v>
      </c>
      <c r="I410">
        <f>'Rocky Point'!G63</f>
        <v>2506200</v>
      </c>
      <c r="J410">
        <f>'Rocky Point'!H63</f>
        <v>44.1</v>
      </c>
      <c r="K410">
        <f>'Rocky Point'!I63</f>
        <v>1588</v>
      </c>
      <c r="L410">
        <f>'Rocky Point'!J63</f>
        <v>15815</v>
      </c>
      <c r="M410">
        <f>'Rocky Point'!K63</f>
        <v>129</v>
      </c>
      <c r="N410">
        <f>'Rocky Point'!L63</f>
        <v>2171656</v>
      </c>
      <c r="O410">
        <f>'Rocky Point'!M63</f>
        <v>38.200000000000003</v>
      </c>
      <c r="P410">
        <f>'Rocky Point'!N63</f>
        <v>1073</v>
      </c>
      <c r="Q410">
        <f>'Rocky Point'!O63</f>
        <v>1271</v>
      </c>
      <c r="R410">
        <f>'Rocky Point'!P63</f>
        <v>148</v>
      </c>
      <c r="S410">
        <f>'Rocky Point'!Q63</f>
        <v>200235</v>
      </c>
      <c r="T410">
        <f>'Rocky Point'!R63</f>
        <v>3.5</v>
      </c>
      <c r="U410">
        <f>'Rocky Point'!S63</f>
        <v>1186</v>
      </c>
      <c r="V410">
        <f>'Rocky Point'!T63</f>
        <v>2877</v>
      </c>
      <c r="W410">
        <f>'Rocky Point'!U63</f>
        <v>116</v>
      </c>
      <c r="X410">
        <f>'Rocky Point'!V63</f>
        <v>355247</v>
      </c>
      <c r="Y410">
        <f>'Rocky Point'!W63</f>
        <v>6.3</v>
      </c>
      <c r="Z410">
        <f>'Rocky Point'!X63</f>
        <v>1256</v>
      </c>
      <c r="AA410">
        <f>'Rocky Point'!Y63</f>
        <v>253</v>
      </c>
      <c r="AB410">
        <f>'Rocky Point'!Z63</f>
        <v>50</v>
      </c>
      <c r="AC410">
        <f>'Rocky Point'!AA63</f>
        <v>13466</v>
      </c>
      <c r="AD410">
        <f>'Rocky Point'!AB63</f>
        <v>0.2</v>
      </c>
      <c r="AE410">
        <f>'Rocky Point'!AC63</f>
        <v>1452</v>
      </c>
      <c r="AF410">
        <f>'Rocky Point'!AD63</f>
        <v>1387</v>
      </c>
      <c r="AG410">
        <f>'Rocky Point'!AE63</f>
        <v>50</v>
      </c>
      <c r="AH410">
        <f>'Rocky Point'!AF63</f>
        <v>73821</v>
      </c>
      <c r="AI410">
        <f>'Rocky Point'!AG63</f>
        <v>1.3</v>
      </c>
      <c r="AJ410">
        <f>'Rocky Point'!AH63</f>
        <v>1490</v>
      </c>
      <c r="AK410">
        <f>'Rocky Point'!AI63</f>
        <v>1579</v>
      </c>
      <c r="AL410">
        <f>'Rocky Point'!AJ63</f>
        <v>50</v>
      </c>
      <c r="AM410">
        <f>'Rocky Point'!AK63</f>
        <v>84040</v>
      </c>
      <c r="AN410">
        <f>'Rocky Point'!AL63</f>
        <v>1.5</v>
      </c>
      <c r="AO410">
        <f>'Rocky Point'!AM63</f>
        <v>1588</v>
      </c>
      <c r="AP410">
        <f>'Rocky Point'!AN63</f>
        <v>1293</v>
      </c>
      <c r="AQ410">
        <f>'Rocky Point'!AO63</f>
        <v>50</v>
      </c>
      <c r="AR410">
        <f>'Rocky Point'!AP63</f>
        <v>68818</v>
      </c>
      <c r="AS410">
        <f>'Rocky Point'!AQ63</f>
        <v>1.2</v>
      </c>
      <c r="AT410">
        <f>'Rocky Point'!AR63</f>
        <v>1748</v>
      </c>
      <c r="AU410">
        <f>'Rocky Point'!AS63</f>
        <v>1739</v>
      </c>
      <c r="AV410">
        <f>'Rocky Point'!AT63</f>
        <v>112</v>
      </c>
      <c r="AW410">
        <f>'Rocky Point'!AU63</f>
        <v>207324</v>
      </c>
      <c r="AX410">
        <f>'Rocky Point'!AV63</f>
        <v>3.6</v>
      </c>
    </row>
    <row r="411" spans="1:50">
      <c r="A411" t="str">
        <f>'Rocky Point'!A64</f>
        <v>/Users/z2134519/Documents/python/data/bushfire Raman/Rocky Point swamp/RP-M 11(2)</v>
      </c>
      <c r="B411" t="s">
        <v>855</v>
      </c>
      <c r="C411">
        <v>11</v>
      </c>
      <c r="D411" t="str">
        <f>'Rocky Point'!B64</f>
        <v>1.66 counts</v>
      </c>
      <c r="E411">
        <f>'Rocky Point'!C64</f>
        <v>0.98105699999999996</v>
      </c>
      <c r="F411">
        <f>'Rocky Point'!D64</f>
        <v>1363</v>
      </c>
      <c r="G411">
        <f>'Rocky Point'!E64</f>
        <v>885</v>
      </c>
      <c r="H411">
        <f>'Rocky Point'!F64</f>
        <v>198</v>
      </c>
      <c r="I411">
        <f>'Rocky Point'!G64</f>
        <v>186527</v>
      </c>
      <c r="J411">
        <f>'Rocky Point'!H64</f>
        <v>48.1</v>
      </c>
      <c r="K411">
        <f>'Rocky Point'!I64</f>
        <v>1590</v>
      </c>
      <c r="L411">
        <f>'Rocky Point'!J64</f>
        <v>1177</v>
      </c>
      <c r="M411">
        <f>'Rocky Point'!K64</f>
        <v>111</v>
      </c>
      <c r="N411">
        <f>'Rocky Point'!L64</f>
        <v>139069</v>
      </c>
      <c r="O411">
        <f>'Rocky Point'!M64</f>
        <v>35.799999999999997</v>
      </c>
      <c r="P411">
        <f>'Rocky Point'!N64</f>
        <v>1073</v>
      </c>
      <c r="Q411">
        <f>'Rocky Point'!O64</f>
        <v>77</v>
      </c>
      <c r="R411">
        <f>'Rocky Point'!P64</f>
        <v>146</v>
      </c>
      <c r="S411">
        <f>'Rocky Point'!Q64</f>
        <v>11967</v>
      </c>
      <c r="T411">
        <f>'Rocky Point'!R64</f>
        <v>3.1</v>
      </c>
      <c r="U411">
        <f>'Rocky Point'!S64</f>
        <v>1190</v>
      </c>
      <c r="V411">
        <f>'Rocky Point'!T64</f>
        <v>185</v>
      </c>
      <c r="W411">
        <f>'Rocky Point'!U64</f>
        <v>98</v>
      </c>
      <c r="X411">
        <f>'Rocky Point'!V64</f>
        <v>19299</v>
      </c>
      <c r="Y411">
        <f>'Rocky Point'!W64</f>
        <v>5</v>
      </c>
      <c r="Z411">
        <f>'Rocky Point'!X64</f>
        <v>1252</v>
      </c>
      <c r="AA411">
        <f>'Rocky Point'!Y64</f>
        <v>1</v>
      </c>
      <c r="AB411">
        <f>'Rocky Point'!Z64</f>
        <v>50</v>
      </c>
      <c r="AC411">
        <f>'Rocky Point'!AA64</f>
        <v>53</v>
      </c>
      <c r="AD411">
        <f>'Rocky Point'!AB64</f>
        <v>0</v>
      </c>
      <c r="AE411">
        <f>'Rocky Point'!AC64</f>
        <v>1458</v>
      </c>
      <c r="AF411">
        <f>'Rocky Point'!AD64</f>
        <v>67</v>
      </c>
      <c r="AG411">
        <f>'Rocky Point'!AE64</f>
        <v>62</v>
      </c>
      <c r="AH411">
        <f>'Rocky Point'!AF64</f>
        <v>4422</v>
      </c>
      <c r="AI411">
        <f>'Rocky Point'!AG64</f>
        <v>1.1000000000000001</v>
      </c>
      <c r="AJ411">
        <f>'Rocky Point'!AH64</f>
        <v>1492</v>
      </c>
      <c r="AK411">
        <f>'Rocky Point'!AI64</f>
        <v>161</v>
      </c>
      <c r="AL411">
        <f>'Rocky Point'!AJ64</f>
        <v>50</v>
      </c>
      <c r="AM411">
        <f>'Rocky Point'!AK64</f>
        <v>8569</v>
      </c>
      <c r="AN411">
        <f>'Rocky Point'!AL64</f>
        <v>2.2000000000000002</v>
      </c>
      <c r="AO411">
        <f>'Rocky Point'!AM64</f>
        <v>1596</v>
      </c>
      <c r="AP411">
        <f>'Rocky Point'!AN64</f>
        <v>51</v>
      </c>
      <c r="AQ411">
        <f>'Rocky Point'!AO64</f>
        <v>50</v>
      </c>
      <c r="AR411">
        <f>'Rocky Point'!AP64</f>
        <v>2714</v>
      </c>
      <c r="AS411">
        <f>'Rocky Point'!AQ64</f>
        <v>0.7</v>
      </c>
      <c r="AT411">
        <f>'Rocky Point'!AR64</f>
        <v>1730</v>
      </c>
      <c r="AU411">
        <f>'Rocky Point'!AS64</f>
        <v>149</v>
      </c>
      <c r="AV411">
        <f>'Rocky Point'!AT64</f>
        <v>98</v>
      </c>
      <c r="AW411">
        <f>'Rocky Point'!AU64</f>
        <v>15543</v>
      </c>
      <c r="AX411">
        <f>'Rocky Point'!AV64</f>
        <v>4</v>
      </c>
    </row>
    <row r="412" spans="1:50">
      <c r="A412" t="str">
        <f>'Rocky Point'!A65</f>
        <v>/Users/z2134519/Documents/python/data/bushfire Raman/Rocky Point swamp/RP-M 11(3)</v>
      </c>
      <c r="B412" t="s">
        <v>855</v>
      </c>
      <c r="C412">
        <v>11</v>
      </c>
      <c r="D412" t="str">
        <f>'Rocky Point'!B65</f>
        <v>1.66 counts</v>
      </c>
      <c r="E412">
        <f>'Rocky Point'!C65</f>
        <v>0.98105699999999996</v>
      </c>
      <c r="F412">
        <f>'Rocky Point'!D65</f>
        <v>1363</v>
      </c>
      <c r="G412">
        <f>'Rocky Point'!E65</f>
        <v>885</v>
      </c>
      <c r="H412">
        <f>'Rocky Point'!F65</f>
        <v>198</v>
      </c>
      <c r="I412">
        <f>'Rocky Point'!G65</f>
        <v>186527</v>
      </c>
      <c r="J412">
        <f>'Rocky Point'!H65</f>
        <v>48.1</v>
      </c>
      <c r="K412">
        <f>'Rocky Point'!I65</f>
        <v>1590</v>
      </c>
      <c r="L412">
        <f>'Rocky Point'!J65</f>
        <v>1177</v>
      </c>
      <c r="M412">
        <f>'Rocky Point'!K65</f>
        <v>111</v>
      </c>
      <c r="N412">
        <f>'Rocky Point'!L65</f>
        <v>139069</v>
      </c>
      <c r="O412">
        <f>'Rocky Point'!M65</f>
        <v>35.799999999999997</v>
      </c>
      <c r="P412">
        <f>'Rocky Point'!N65</f>
        <v>1073</v>
      </c>
      <c r="Q412">
        <f>'Rocky Point'!O65</f>
        <v>77</v>
      </c>
      <c r="R412">
        <f>'Rocky Point'!P65</f>
        <v>146</v>
      </c>
      <c r="S412">
        <f>'Rocky Point'!Q65</f>
        <v>11967</v>
      </c>
      <c r="T412">
        <f>'Rocky Point'!R65</f>
        <v>3.1</v>
      </c>
      <c r="U412">
        <f>'Rocky Point'!S65</f>
        <v>1190</v>
      </c>
      <c r="V412">
        <f>'Rocky Point'!T65</f>
        <v>185</v>
      </c>
      <c r="W412">
        <f>'Rocky Point'!U65</f>
        <v>98</v>
      </c>
      <c r="X412">
        <f>'Rocky Point'!V65</f>
        <v>19299</v>
      </c>
      <c r="Y412">
        <f>'Rocky Point'!W65</f>
        <v>5</v>
      </c>
      <c r="Z412">
        <f>'Rocky Point'!X65</f>
        <v>1252</v>
      </c>
      <c r="AA412">
        <f>'Rocky Point'!Y65</f>
        <v>1</v>
      </c>
      <c r="AB412">
        <f>'Rocky Point'!Z65</f>
        <v>50</v>
      </c>
      <c r="AC412">
        <f>'Rocky Point'!AA65</f>
        <v>53</v>
      </c>
      <c r="AD412">
        <f>'Rocky Point'!AB65</f>
        <v>0</v>
      </c>
      <c r="AE412">
        <f>'Rocky Point'!AC65</f>
        <v>1458</v>
      </c>
      <c r="AF412">
        <f>'Rocky Point'!AD65</f>
        <v>67</v>
      </c>
      <c r="AG412">
        <f>'Rocky Point'!AE65</f>
        <v>62</v>
      </c>
      <c r="AH412">
        <f>'Rocky Point'!AF65</f>
        <v>4422</v>
      </c>
      <c r="AI412">
        <f>'Rocky Point'!AG65</f>
        <v>1.1000000000000001</v>
      </c>
      <c r="AJ412">
        <f>'Rocky Point'!AH65</f>
        <v>1492</v>
      </c>
      <c r="AK412">
        <f>'Rocky Point'!AI65</f>
        <v>161</v>
      </c>
      <c r="AL412">
        <f>'Rocky Point'!AJ65</f>
        <v>50</v>
      </c>
      <c r="AM412">
        <f>'Rocky Point'!AK65</f>
        <v>8569</v>
      </c>
      <c r="AN412">
        <f>'Rocky Point'!AL65</f>
        <v>2.2000000000000002</v>
      </c>
      <c r="AO412">
        <f>'Rocky Point'!AM65</f>
        <v>1596</v>
      </c>
      <c r="AP412">
        <f>'Rocky Point'!AN65</f>
        <v>51</v>
      </c>
      <c r="AQ412">
        <f>'Rocky Point'!AO65</f>
        <v>50</v>
      </c>
      <c r="AR412">
        <f>'Rocky Point'!AP65</f>
        <v>2714</v>
      </c>
      <c r="AS412">
        <f>'Rocky Point'!AQ65</f>
        <v>0.7</v>
      </c>
      <c r="AT412">
        <f>'Rocky Point'!AR65</f>
        <v>1730</v>
      </c>
      <c r="AU412">
        <f>'Rocky Point'!AS65</f>
        <v>149</v>
      </c>
      <c r="AV412">
        <f>'Rocky Point'!AT65</f>
        <v>98</v>
      </c>
      <c r="AW412">
        <f>'Rocky Point'!AU65</f>
        <v>15543</v>
      </c>
      <c r="AX412">
        <f>'Rocky Point'!AV65</f>
        <v>4</v>
      </c>
    </row>
    <row r="413" spans="1:50">
      <c r="A413" t="str">
        <f>'Rocky Point'!A66</f>
        <v>/Users/z2134519/Documents/python/data/bushfire Raman/Rocky Point swamp/RPM 3 (2)</v>
      </c>
      <c r="B413" t="s">
        <v>855</v>
      </c>
      <c r="C413">
        <v>3</v>
      </c>
      <c r="D413" t="str">
        <f>'Rocky Point'!B66</f>
        <v>14.30 counts</v>
      </c>
      <c r="E413">
        <f>'Rocky Point'!C66</f>
        <v>0.98827299999999996</v>
      </c>
      <c r="F413">
        <f>'Rocky Point'!D66</f>
        <v>1365</v>
      </c>
      <c r="G413">
        <f>'Rocky Point'!E66</f>
        <v>8643</v>
      </c>
      <c r="H413">
        <f>'Rocky Point'!F66</f>
        <v>196</v>
      </c>
      <c r="I413">
        <f>'Rocky Point'!G66</f>
        <v>1803237</v>
      </c>
      <c r="J413">
        <f>'Rocky Point'!H66</f>
        <v>48.3</v>
      </c>
      <c r="K413">
        <f>'Rocky Point'!I66</f>
        <v>1590</v>
      </c>
      <c r="L413">
        <f>'Rocky Point'!J66</f>
        <v>12697</v>
      </c>
      <c r="M413">
        <f>'Rocky Point'!K66</f>
        <v>111</v>
      </c>
      <c r="N413">
        <f>'Rocky Point'!L66</f>
        <v>1500225</v>
      </c>
      <c r="O413">
        <f>'Rocky Point'!M66</f>
        <v>40.200000000000003</v>
      </c>
      <c r="P413">
        <f>'Rocky Point'!N66</f>
        <v>1029</v>
      </c>
      <c r="Q413">
        <f>'Rocky Point'!O66</f>
        <v>1</v>
      </c>
      <c r="R413">
        <f>'Rocky Point'!P66</f>
        <v>50</v>
      </c>
      <c r="S413">
        <f>'Rocky Point'!Q66</f>
        <v>53</v>
      </c>
      <c r="T413">
        <f>'Rocky Point'!R66</f>
        <v>0</v>
      </c>
      <c r="U413">
        <f>'Rocky Point'!S66</f>
        <v>1168</v>
      </c>
      <c r="V413">
        <f>'Rocky Point'!T66</f>
        <v>1321</v>
      </c>
      <c r="W413">
        <f>'Rocky Point'!U66</f>
        <v>74</v>
      </c>
      <c r="X413">
        <f>'Rocky Point'!V66</f>
        <v>104056</v>
      </c>
      <c r="Y413">
        <f>'Rocky Point'!W66</f>
        <v>2.8</v>
      </c>
      <c r="Z413">
        <f>'Rocky Point'!X66</f>
        <v>1250</v>
      </c>
      <c r="AA413">
        <f>'Rocky Point'!Y66</f>
        <v>1</v>
      </c>
      <c r="AB413">
        <f>'Rocky Point'!Z66</f>
        <v>50</v>
      </c>
      <c r="AC413">
        <f>'Rocky Point'!AA66</f>
        <v>53</v>
      </c>
      <c r="AD413">
        <f>'Rocky Point'!AB66</f>
        <v>0</v>
      </c>
      <c r="AE413">
        <f>'Rocky Point'!AC66</f>
        <v>1454</v>
      </c>
      <c r="AF413">
        <f>'Rocky Point'!AD66</f>
        <v>1133</v>
      </c>
      <c r="AG413">
        <f>'Rocky Point'!AE66</f>
        <v>60</v>
      </c>
      <c r="AH413">
        <f>'Rocky Point'!AF66</f>
        <v>72362</v>
      </c>
      <c r="AI413">
        <f>'Rocky Point'!AG66</f>
        <v>1.9</v>
      </c>
      <c r="AJ413">
        <f>'Rocky Point'!AH66</f>
        <v>1492</v>
      </c>
      <c r="AK413">
        <f>'Rocky Point'!AI66</f>
        <v>1723</v>
      </c>
      <c r="AL413">
        <f>'Rocky Point'!AJ66</f>
        <v>50</v>
      </c>
      <c r="AM413">
        <f>'Rocky Point'!AK66</f>
        <v>91704</v>
      </c>
      <c r="AN413">
        <f>'Rocky Point'!AL66</f>
        <v>2.5</v>
      </c>
      <c r="AO413">
        <f>'Rocky Point'!AM66</f>
        <v>1598</v>
      </c>
      <c r="AP413">
        <f>'Rocky Point'!AN66</f>
        <v>749</v>
      </c>
      <c r="AQ413">
        <f>'Rocky Point'!AO66</f>
        <v>50</v>
      </c>
      <c r="AR413">
        <f>'Rocky Point'!AP66</f>
        <v>39864</v>
      </c>
      <c r="AS413">
        <f>'Rocky Point'!AQ66</f>
        <v>1.1000000000000001</v>
      </c>
      <c r="AT413">
        <f>'Rocky Point'!AR66</f>
        <v>1730</v>
      </c>
      <c r="AU413">
        <f>'Rocky Point'!AS66</f>
        <v>1425</v>
      </c>
      <c r="AV413">
        <f>'Rocky Point'!AT66</f>
        <v>82</v>
      </c>
      <c r="AW413">
        <f>'Rocky Point'!AU66</f>
        <v>124383</v>
      </c>
      <c r="AX413">
        <f>'Rocky Point'!AV66</f>
        <v>3.3</v>
      </c>
    </row>
    <row r="414" spans="1:50">
      <c r="A414" t="str">
        <f>'Rocky Point'!A67</f>
        <v>/Users/z2134519/Documents/python/data/bushfire Raman/Rocky Point swamp/RPM-5 (3)_BL</v>
      </c>
      <c r="B414" t="s">
        <v>855</v>
      </c>
      <c r="C414">
        <v>5</v>
      </c>
      <c r="D414" t="str">
        <f>'Rocky Point'!B67</f>
        <v>3.88 counts</v>
      </c>
      <c r="E414">
        <f>'Rocky Point'!C67</f>
        <v>0.95407399999999998</v>
      </c>
      <c r="F414">
        <f>'Rocky Point'!D67</f>
        <v>1367</v>
      </c>
      <c r="G414">
        <f>'Rocky Point'!E67</f>
        <v>1179</v>
      </c>
      <c r="H414">
        <f>'Rocky Point'!F67</f>
        <v>186</v>
      </c>
      <c r="I414">
        <f>'Rocky Point'!G67</f>
        <v>233431</v>
      </c>
      <c r="J414">
        <f>'Rocky Point'!H67</f>
        <v>55.9</v>
      </c>
      <c r="K414">
        <f>'Rocky Point'!I67</f>
        <v>1594</v>
      </c>
      <c r="L414">
        <f>'Rocky Point'!J67</f>
        <v>1769</v>
      </c>
      <c r="M414">
        <f>'Rocky Point'!K67</f>
        <v>81</v>
      </c>
      <c r="N414">
        <f>'Rocky Point'!L67</f>
        <v>152526</v>
      </c>
      <c r="O414">
        <f>'Rocky Point'!M67</f>
        <v>36.5</v>
      </c>
      <c r="P414">
        <f>'Rocky Point'!N67</f>
        <v>1039</v>
      </c>
      <c r="Q414">
        <f>'Rocky Point'!O67</f>
        <v>39</v>
      </c>
      <c r="R414">
        <f>'Rocky Point'!P67</f>
        <v>198</v>
      </c>
      <c r="S414">
        <f>'Rocky Point'!Q67</f>
        <v>8220</v>
      </c>
      <c r="T414">
        <f>'Rocky Point'!R67</f>
        <v>2</v>
      </c>
      <c r="U414">
        <f>'Rocky Point'!S67</f>
        <v>1166</v>
      </c>
      <c r="V414">
        <f>'Rocky Point'!T67</f>
        <v>107</v>
      </c>
      <c r="W414">
        <f>'Rocky Point'!U67</f>
        <v>64</v>
      </c>
      <c r="X414">
        <f>'Rocky Point'!V67</f>
        <v>7289</v>
      </c>
      <c r="Y414">
        <f>'Rocky Point'!W67</f>
        <v>1.7</v>
      </c>
      <c r="Z414">
        <f>'Rocky Point'!X67</f>
        <v>1298</v>
      </c>
      <c r="AA414">
        <f>'Rocky Point'!Y67</f>
        <v>13</v>
      </c>
      <c r="AB414">
        <f>'Rocky Point'!Z67</f>
        <v>62</v>
      </c>
      <c r="AC414">
        <f>'Rocky Point'!AA67</f>
        <v>858</v>
      </c>
      <c r="AD414">
        <f>'Rocky Point'!AB67</f>
        <v>0.2</v>
      </c>
      <c r="AE414">
        <f>'Rocky Point'!AC67</f>
        <v>1458</v>
      </c>
      <c r="AF414">
        <f>'Rocky Point'!AD67</f>
        <v>1</v>
      </c>
      <c r="AG414">
        <f>'Rocky Point'!AE67</f>
        <v>50</v>
      </c>
      <c r="AH414">
        <f>'Rocky Point'!AF67</f>
        <v>53</v>
      </c>
      <c r="AI414">
        <f>'Rocky Point'!AG67</f>
        <v>0</v>
      </c>
      <c r="AJ414">
        <f>'Rocky Point'!AH67</f>
        <v>1510</v>
      </c>
      <c r="AK414">
        <f>'Rocky Point'!AI67</f>
        <v>263</v>
      </c>
      <c r="AL414">
        <f>'Rocky Point'!AJ67</f>
        <v>50</v>
      </c>
      <c r="AM414">
        <f>'Rocky Point'!AK67</f>
        <v>13998</v>
      </c>
      <c r="AN414">
        <f>'Rocky Point'!AL67</f>
        <v>3.4</v>
      </c>
      <c r="AO414">
        <f>'Rocky Point'!AM67</f>
        <v>1598</v>
      </c>
      <c r="AP414">
        <f>'Rocky Point'!AN67</f>
        <v>25</v>
      </c>
      <c r="AQ414">
        <f>'Rocky Point'!AO67</f>
        <v>50</v>
      </c>
      <c r="AR414">
        <f>'Rocky Point'!AP67</f>
        <v>1331</v>
      </c>
      <c r="AS414">
        <f>'Rocky Point'!AQ67</f>
        <v>0.3</v>
      </c>
      <c r="AT414">
        <f>'Rocky Point'!AR67</f>
        <v>1700</v>
      </c>
      <c r="AU414">
        <f>'Rocky Point'!AS67</f>
        <v>1</v>
      </c>
      <c r="AV414">
        <f>'Rocky Point'!AT67</f>
        <v>50</v>
      </c>
      <c r="AW414">
        <f>'Rocky Point'!AU67</f>
        <v>53</v>
      </c>
      <c r="AX414">
        <f>'Rocky Point'!AV67</f>
        <v>0</v>
      </c>
    </row>
    <row r="415" spans="1:50">
      <c r="A415" t="str">
        <f>'Rocky Point'!A68</f>
        <v>/Users/z2134519/Documents/python/data/bushfire Raman/Rocky Point swamp/RPM-5 (3)</v>
      </c>
      <c r="B415" t="s">
        <v>855</v>
      </c>
      <c r="C415">
        <v>5</v>
      </c>
      <c r="D415" t="str">
        <f>'Rocky Point'!B68</f>
        <v>2.87 counts</v>
      </c>
      <c r="E415">
        <f>'Rocky Point'!C68</f>
        <v>0.98311700000000002</v>
      </c>
      <c r="F415">
        <f>'Rocky Point'!D68</f>
        <v>1367</v>
      </c>
      <c r="G415">
        <f>'Rocky Point'!E68</f>
        <v>1677</v>
      </c>
      <c r="H415">
        <f>'Rocky Point'!F68</f>
        <v>198</v>
      </c>
      <c r="I415">
        <f>'Rocky Point'!G68</f>
        <v>353452</v>
      </c>
      <c r="J415">
        <f>'Rocky Point'!H68</f>
        <v>51.2</v>
      </c>
      <c r="K415">
        <f>'Rocky Point'!I68</f>
        <v>1592</v>
      </c>
      <c r="L415">
        <f>'Rocky Point'!J68</f>
        <v>2153</v>
      </c>
      <c r="M415">
        <f>'Rocky Point'!K68</f>
        <v>103</v>
      </c>
      <c r="N415">
        <f>'Rocky Point'!L68</f>
        <v>236055</v>
      </c>
      <c r="O415">
        <f>'Rocky Point'!M68</f>
        <v>34.200000000000003</v>
      </c>
      <c r="P415">
        <f>'Rocky Point'!N68</f>
        <v>1073</v>
      </c>
      <c r="Q415">
        <f>'Rocky Point'!O68</f>
        <v>145</v>
      </c>
      <c r="R415">
        <f>'Rocky Point'!P68</f>
        <v>194</v>
      </c>
      <c r="S415">
        <f>'Rocky Point'!Q68</f>
        <v>29943</v>
      </c>
      <c r="T415">
        <f>'Rocky Point'!R68</f>
        <v>4.3</v>
      </c>
      <c r="U415">
        <f>'Rocky Point'!S68</f>
        <v>1180</v>
      </c>
      <c r="V415">
        <f>'Rocky Point'!T68</f>
        <v>277</v>
      </c>
      <c r="W415">
        <f>'Rocky Point'!U68</f>
        <v>90</v>
      </c>
      <c r="X415">
        <f>'Rocky Point'!V68</f>
        <v>26537</v>
      </c>
      <c r="Y415">
        <f>'Rocky Point'!W68</f>
        <v>3.8</v>
      </c>
      <c r="Z415">
        <f>'Rocky Point'!X68</f>
        <v>1250</v>
      </c>
      <c r="AA415">
        <f>'Rocky Point'!Y68</f>
        <v>13</v>
      </c>
      <c r="AB415">
        <f>'Rocky Point'!Z68</f>
        <v>50</v>
      </c>
      <c r="AC415">
        <f>'Rocky Point'!AA68</f>
        <v>692</v>
      </c>
      <c r="AD415">
        <f>'Rocky Point'!AB68</f>
        <v>0.1</v>
      </c>
      <c r="AE415">
        <f>'Rocky Point'!AC68</f>
        <v>1458</v>
      </c>
      <c r="AF415">
        <f>'Rocky Point'!AD68</f>
        <v>17</v>
      </c>
      <c r="AG415">
        <f>'Rocky Point'!AE68</f>
        <v>50</v>
      </c>
      <c r="AH415">
        <f>'Rocky Point'!AF68</f>
        <v>905</v>
      </c>
      <c r="AI415">
        <f>'Rocky Point'!AG68</f>
        <v>0.1</v>
      </c>
      <c r="AJ415">
        <f>'Rocky Point'!AH68</f>
        <v>1490</v>
      </c>
      <c r="AK415">
        <f>'Rocky Point'!AI68</f>
        <v>301</v>
      </c>
      <c r="AL415">
        <f>'Rocky Point'!AJ68</f>
        <v>54</v>
      </c>
      <c r="AM415">
        <f>'Rocky Point'!AK68</f>
        <v>17302</v>
      </c>
      <c r="AN415">
        <f>'Rocky Point'!AL68</f>
        <v>2.5</v>
      </c>
      <c r="AO415">
        <f>'Rocky Point'!AM68</f>
        <v>1598</v>
      </c>
      <c r="AP415">
        <f>'Rocky Point'!AN68</f>
        <v>49</v>
      </c>
      <c r="AQ415">
        <f>'Rocky Point'!AO68</f>
        <v>50</v>
      </c>
      <c r="AR415">
        <f>'Rocky Point'!AP68</f>
        <v>2608</v>
      </c>
      <c r="AS415">
        <f>'Rocky Point'!AQ68</f>
        <v>0.4</v>
      </c>
      <c r="AT415">
        <f>'Rocky Point'!AR68</f>
        <v>1722</v>
      </c>
      <c r="AU415">
        <f>'Rocky Point'!AS68</f>
        <v>255</v>
      </c>
      <c r="AV415">
        <f>'Rocky Point'!AT68</f>
        <v>86</v>
      </c>
      <c r="AW415">
        <f>'Rocky Point'!AU68</f>
        <v>23344</v>
      </c>
      <c r="AX415">
        <f>'Rocky Point'!AV68</f>
        <v>3.4</v>
      </c>
    </row>
  </sheetData>
  <conditionalFormatting sqref="E2:E415">
    <cfRule type="cellIs" dxfId="0" priority="1" operator="lessThan">
      <formula>0.97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C478-E87D-4539-B338-E7BDEF9DA67A}">
  <dimension ref="A1:D366"/>
  <sheetViews>
    <sheetView tabSelected="1" topLeftCell="A305" workbookViewId="0">
      <selection activeCell="K323" sqref="K323"/>
    </sheetView>
  </sheetViews>
  <sheetFormatPr defaultRowHeight="14.45"/>
  <cols>
    <col min="1" max="1" width="92.42578125" customWidth="1"/>
    <col min="2" max="2" width="14.42578125" customWidth="1"/>
    <col min="3" max="3" width="5.85546875" customWidth="1"/>
    <col min="4" max="4" width="12.140625" customWidth="1"/>
  </cols>
  <sheetData>
    <row r="1" spans="1:4">
      <c r="A1" t="s">
        <v>0</v>
      </c>
      <c r="B1" t="s">
        <v>852</v>
      </c>
      <c r="C1" t="s">
        <v>856</v>
      </c>
      <c r="D1" t="s">
        <v>857</v>
      </c>
    </row>
    <row r="2" spans="1:4">
      <c r="A2" t="s">
        <v>48</v>
      </c>
      <c r="B2" t="s">
        <v>854</v>
      </c>
      <c r="C2">
        <v>0.5</v>
      </c>
      <c r="D2">
        <v>47.149051597912845</v>
      </c>
    </row>
    <row r="3" spans="1:4">
      <c r="A3" t="s">
        <v>858</v>
      </c>
      <c r="B3" t="s">
        <v>854</v>
      </c>
      <c r="C3">
        <v>0.5</v>
      </c>
      <c r="D3">
        <v>44.618602204584029</v>
      </c>
    </row>
    <row r="4" spans="1:4">
      <c r="A4" t="s">
        <v>859</v>
      </c>
      <c r="B4" t="s">
        <v>854</v>
      </c>
      <c r="C4">
        <v>0.5</v>
      </c>
      <c r="D4">
        <v>43.576366763103238</v>
      </c>
    </row>
    <row r="5" spans="1:4">
      <c r="A5" t="s">
        <v>54</v>
      </c>
      <c r="B5" t="s">
        <v>854</v>
      </c>
      <c r="C5">
        <v>0.5</v>
      </c>
      <c r="D5">
        <v>43.900651074473153</v>
      </c>
    </row>
    <row r="6" spans="1:4">
      <c r="A6" t="s">
        <v>860</v>
      </c>
      <c r="B6" t="s">
        <v>854</v>
      </c>
      <c r="C6">
        <v>0.5</v>
      </c>
      <c r="D6">
        <v>53.516685701269168</v>
      </c>
    </row>
    <row r="7" spans="1:4">
      <c r="A7" t="s">
        <v>861</v>
      </c>
      <c r="B7" t="s">
        <v>854</v>
      </c>
      <c r="C7">
        <v>2.5</v>
      </c>
      <c r="D7">
        <v>52.186523928475459</v>
      </c>
    </row>
    <row r="8" spans="1:4">
      <c r="A8" t="s">
        <v>862</v>
      </c>
      <c r="B8" t="s">
        <v>854</v>
      </c>
      <c r="C8">
        <v>2.5</v>
      </c>
      <c r="D8">
        <v>48.30674143480347</v>
      </c>
    </row>
    <row r="9" spans="1:4">
      <c r="A9" t="s">
        <v>62</v>
      </c>
      <c r="B9" t="s">
        <v>854</v>
      </c>
      <c r="C9">
        <v>2.5</v>
      </c>
      <c r="D9">
        <v>46.660891042688647</v>
      </c>
    </row>
    <row r="10" spans="1:4">
      <c r="A10" t="s">
        <v>64</v>
      </c>
      <c r="B10" t="s">
        <v>854</v>
      </c>
      <c r="C10">
        <v>2.5</v>
      </c>
      <c r="D10">
        <v>44.461462368232077</v>
      </c>
    </row>
    <row r="11" spans="1:4">
      <c r="A11" t="s">
        <v>66</v>
      </c>
      <c r="B11" t="s">
        <v>854</v>
      </c>
      <c r="C11">
        <v>2.5</v>
      </c>
      <c r="D11">
        <v>42.774257230589761</v>
      </c>
    </row>
    <row r="12" spans="1:4">
      <c r="A12" t="s">
        <v>68</v>
      </c>
      <c r="B12" t="s">
        <v>854</v>
      </c>
      <c r="C12">
        <v>3.5</v>
      </c>
      <c r="D12">
        <v>41.753738417702941</v>
      </c>
    </row>
    <row r="13" spans="1:4">
      <c r="A13" t="s">
        <v>70</v>
      </c>
      <c r="B13" t="s">
        <v>854</v>
      </c>
      <c r="C13">
        <v>3.5</v>
      </c>
      <c r="D13">
        <v>42.940362108805253</v>
      </c>
    </row>
    <row r="14" spans="1:4">
      <c r="A14" t="s">
        <v>72</v>
      </c>
      <c r="B14" t="s">
        <v>854</v>
      </c>
      <c r="C14">
        <v>3.5</v>
      </c>
      <c r="D14">
        <v>35.438770416171103</v>
      </c>
    </row>
    <row r="15" spans="1:4">
      <c r="A15" t="s">
        <v>74</v>
      </c>
      <c r="B15" t="s">
        <v>854</v>
      </c>
      <c r="C15">
        <v>3.5</v>
      </c>
      <c r="D15">
        <v>45.311814821677437</v>
      </c>
    </row>
    <row r="16" spans="1:4">
      <c r="A16" t="s">
        <v>76</v>
      </c>
      <c r="B16" t="s">
        <v>854</v>
      </c>
      <c r="C16">
        <v>3.5</v>
      </c>
      <c r="D16">
        <v>42.353801850246249</v>
      </c>
    </row>
    <row r="17" spans="1:4">
      <c r="A17" t="s">
        <v>78</v>
      </c>
      <c r="B17" t="s">
        <v>854</v>
      </c>
      <c r="C17">
        <v>7.5</v>
      </c>
      <c r="D17">
        <v>47.938751182032995</v>
      </c>
    </row>
    <row r="18" spans="1:4">
      <c r="A18" t="s">
        <v>80</v>
      </c>
      <c r="B18" t="s">
        <v>854</v>
      </c>
      <c r="C18">
        <v>7.5</v>
      </c>
      <c r="D18">
        <v>48.318333994116216</v>
      </c>
    </row>
    <row r="19" spans="1:4">
      <c r="A19" t="s">
        <v>82</v>
      </c>
      <c r="B19" t="s">
        <v>854</v>
      </c>
      <c r="C19">
        <v>7.5</v>
      </c>
      <c r="D19">
        <v>50.874814140006805</v>
      </c>
    </row>
    <row r="20" spans="1:4">
      <c r="A20" t="s">
        <v>84</v>
      </c>
      <c r="B20" t="s">
        <v>854</v>
      </c>
      <c r="C20">
        <v>7.5</v>
      </c>
      <c r="D20">
        <v>43.743496486504064</v>
      </c>
    </row>
    <row r="21" spans="1:4">
      <c r="A21" t="s">
        <v>86</v>
      </c>
      <c r="B21" t="s">
        <v>854</v>
      </c>
      <c r="C21">
        <v>7.5</v>
      </c>
      <c r="D21">
        <v>42.424304738822315</v>
      </c>
    </row>
    <row r="22" spans="1:4">
      <c r="A22" t="s">
        <v>90</v>
      </c>
      <c r="B22" t="s">
        <v>854</v>
      </c>
      <c r="C22">
        <v>8.5</v>
      </c>
      <c r="D22">
        <v>41.093096928426014</v>
      </c>
    </row>
    <row r="23" spans="1:4">
      <c r="A23" t="s">
        <v>92</v>
      </c>
      <c r="B23" t="s">
        <v>854</v>
      </c>
      <c r="C23">
        <v>8.5</v>
      </c>
      <c r="D23">
        <v>41.688734978331517</v>
      </c>
    </row>
    <row r="24" spans="1:4">
      <c r="A24" t="s">
        <v>94</v>
      </c>
      <c r="B24" t="s">
        <v>854</v>
      </c>
      <c r="C24">
        <v>8.5</v>
      </c>
      <c r="D24">
        <v>45.300498593102148</v>
      </c>
    </row>
    <row r="25" spans="1:4">
      <c r="A25" t="s">
        <v>96</v>
      </c>
      <c r="B25" t="s">
        <v>854</v>
      </c>
      <c r="C25">
        <v>8.5</v>
      </c>
      <c r="D25">
        <v>47.367741294873056</v>
      </c>
    </row>
    <row r="26" spans="1:4">
      <c r="A26" t="s">
        <v>98</v>
      </c>
      <c r="B26" t="s">
        <v>854</v>
      </c>
      <c r="C26">
        <v>9.5</v>
      </c>
      <c r="D26">
        <v>40.474800274242689</v>
      </c>
    </row>
    <row r="27" spans="1:4">
      <c r="A27" t="s">
        <v>863</v>
      </c>
      <c r="B27" t="s">
        <v>854</v>
      </c>
      <c r="C27">
        <v>9.5</v>
      </c>
      <c r="D27">
        <v>40.734897338767468</v>
      </c>
    </row>
    <row r="28" spans="1:4">
      <c r="A28" t="s">
        <v>102</v>
      </c>
      <c r="B28" t="s">
        <v>854</v>
      </c>
      <c r="C28">
        <v>9.5</v>
      </c>
      <c r="D28">
        <v>40.023490856436581</v>
      </c>
    </row>
    <row r="29" spans="1:4">
      <c r="A29" t="s">
        <v>104</v>
      </c>
      <c r="B29" t="s">
        <v>854</v>
      </c>
      <c r="C29">
        <v>9.5</v>
      </c>
      <c r="D29">
        <v>45.489398654349024</v>
      </c>
    </row>
    <row r="30" spans="1:4">
      <c r="A30" t="s">
        <v>106</v>
      </c>
      <c r="B30" t="s">
        <v>854</v>
      </c>
      <c r="C30">
        <v>9.5</v>
      </c>
      <c r="D30">
        <v>40.892353025094138</v>
      </c>
    </row>
    <row r="31" spans="1:4">
      <c r="A31" t="s">
        <v>108</v>
      </c>
      <c r="B31" t="s">
        <v>854</v>
      </c>
      <c r="C31">
        <v>10.5</v>
      </c>
      <c r="D31">
        <v>38.330968257059382</v>
      </c>
    </row>
    <row r="32" spans="1:4">
      <c r="A32" t="s">
        <v>110</v>
      </c>
      <c r="B32" t="s">
        <v>854</v>
      </c>
      <c r="C32">
        <v>10.5</v>
      </c>
      <c r="D32">
        <v>39.931990607898129</v>
      </c>
    </row>
    <row r="33" spans="1:4">
      <c r="A33" t="s">
        <v>112</v>
      </c>
      <c r="B33" t="s">
        <v>854</v>
      </c>
      <c r="C33">
        <v>10.5</v>
      </c>
      <c r="D33">
        <v>45.10909118486272</v>
      </c>
    </row>
    <row r="34" spans="1:4">
      <c r="A34" t="s">
        <v>114</v>
      </c>
      <c r="B34" t="s">
        <v>854</v>
      </c>
      <c r="C34">
        <v>10.5</v>
      </c>
      <c r="D34">
        <v>39.176625673766303</v>
      </c>
    </row>
    <row r="35" spans="1:4">
      <c r="A35" t="s">
        <v>116</v>
      </c>
      <c r="B35" t="s">
        <v>854</v>
      </c>
      <c r="C35">
        <v>10.5</v>
      </c>
      <c r="D35">
        <v>42.158101004832233</v>
      </c>
    </row>
    <row r="36" spans="1:4">
      <c r="A36" t="s">
        <v>118</v>
      </c>
      <c r="B36" t="s">
        <v>854</v>
      </c>
      <c r="C36">
        <v>11.5</v>
      </c>
      <c r="D36">
        <v>43.514250716856786</v>
      </c>
    </row>
    <row r="37" spans="1:4">
      <c r="A37" t="s">
        <v>120</v>
      </c>
      <c r="B37" t="s">
        <v>854</v>
      </c>
      <c r="C37">
        <v>11.5</v>
      </c>
      <c r="D37">
        <v>44.374876403833944</v>
      </c>
    </row>
    <row r="38" spans="1:4">
      <c r="A38" t="s">
        <v>122</v>
      </c>
      <c r="B38" t="s">
        <v>854</v>
      </c>
      <c r="C38">
        <v>11.5</v>
      </c>
      <c r="D38">
        <v>44.409586993289089</v>
      </c>
    </row>
    <row r="39" spans="1:4">
      <c r="A39" t="s">
        <v>124</v>
      </c>
      <c r="B39" t="s">
        <v>854</v>
      </c>
      <c r="C39">
        <v>11.5</v>
      </c>
      <c r="D39">
        <v>45.603609002719033</v>
      </c>
    </row>
    <row r="40" spans="1:4">
      <c r="A40" t="s">
        <v>126</v>
      </c>
      <c r="B40" t="s">
        <v>854</v>
      </c>
      <c r="C40">
        <v>11.5</v>
      </c>
      <c r="D40">
        <v>46.352292559298036</v>
      </c>
    </row>
    <row r="41" spans="1:4">
      <c r="A41" t="s">
        <v>128</v>
      </c>
      <c r="B41" t="s">
        <v>854</v>
      </c>
      <c r="C41">
        <v>12.5</v>
      </c>
      <c r="D41">
        <v>40.368917333284003</v>
      </c>
    </row>
    <row r="42" spans="1:4">
      <c r="A42" t="s">
        <v>130</v>
      </c>
      <c r="B42" t="s">
        <v>854</v>
      </c>
      <c r="C42">
        <v>12.5</v>
      </c>
      <c r="D42">
        <v>44.299236231346839</v>
      </c>
    </row>
    <row r="43" spans="1:4">
      <c r="A43" t="s">
        <v>132</v>
      </c>
      <c r="B43" t="s">
        <v>854</v>
      </c>
      <c r="C43">
        <v>12.5</v>
      </c>
      <c r="D43">
        <v>44.674444483037185</v>
      </c>
    </row>
    <row r="44" spans="1:4">
      <c r="A44" t="s">
        <v>134</v>
      </c>
      <c r="B44" t="s">
        <v>854</v>
      </c>
      <c r="C44">
        <v>12.5</v>
      </c>
      <c r="D44">
        <v>43.692279274019704</v>
      </c>
    </row>
    <row r="45" spans="1:4">
      <c r="A45" t="s">
        <v>136</v>
      </c>
      <c r="B45" t="s">
        <v>854</v>
      </c>
      <c r="C45">
        <v>12.5</v>
      </c>
      <c r="D45">
        <v>41.952716167474279</v>
      </c>
    </row>
    <row r="46" spans="1:4">
      <c r="A46" t="s">
        <v>142</v>
      </c>
      <c r="B46" t="s">
        <v>854</v>
      </c>
      <c r="C46">
        <v>13</v>
      </c>
      <c r="D46">
        <v>55.28279844093413</v>
      </c>
    </row>
    <row r="47" spans="1:4">
      <c r="A47" t="s">
        <v>144</v>
      </c>
      <c r="B47" t="s">
        <v>854</v>
      </c>
      <c r="C47">
        <v>13</v>
      </c>
      <c r="D47">
        <v>58.481283876749906</v>
      </c>
    </row>
    <row r="48" spans="1:4">
      <c r="A48" t="s">
        <v>864</v>
      </c>
      <c r="B48" t="s">
        <v>854</v>
      </c>
      <c r="C48">
        <v>13</v>
      </c>
      <c r="D48">
        <v>35.041062073202283</v>
      </c>
    </row>
    <row r="49" spans="1:4">
      <c r="A49" t="s">
        <v>865</v>
      </c>
      <c r="B49" t="s">
        <v>854</v>
      </c>
      <c r="C49">
        <v>3.5</v>
      </c>
      <c r="D49">
        <v>48.304001700261935</v>
      </c>
    </row>
    <row r="50" spans="1:4">
      <c r="A50" t="s">
        <v>866</v>
      </c>
      <c r="B50" t="s">
        <v>854</v>
      </c>
      <c r="C50">
        <v>3.5</v>
      </c>
      <c r="D50">
        <v>43.286998789288852</v>
      </c>
    </row>
    <row r="51" spans="1:4">
      <c r="A51" t="s">
        <v>867</v>
      </c>
      <c r="B51" t="s">
        <v>854</v>
      </c>
      <c r="C51">
        <v>3.5</v>
      </c>
      <c r="D51">
        <v>46.006645536840509</v>
      </c>
    </row>
    <row r="52" spans="1:4">
      <c r="A52" t="s">
        <v>156</v>
      </c>
      <c r="B52" t="s">
        <v>854</v>
      </c>
      <c r="C52">
        <v>13.5</v>
      </c>
      <c r="D52">
        <v>48.213436213187379</v>
      </c>
    </row>
    <row r="53" spans="1:4">
      <c r="A53" t="s">
        <v>868</v>
      </c>
      <c r="B53" t="s">
        <v>854</v>
      </c>
      <c r="C53">
        <v>3.5</v>
      </c>
      <c r="D53">
        <v>42.771698495136988</v>
      </c>
    </row>
    <row r="54" spans="1:4">
      <c r="A54" t="s">
        <v>160</v>
      </c>
      <c r="B54" t="s">
        <v>854</v>
      </c>
      <c r="C54">
        <v>14.5</v>
      </c>
      <c r="D54">
        <v>46.746719885029279</v>
      </c>
    </row>
    <row r="55" spans="1:4">
      <c r="A55" t="s">
        <v>869</v>
      </c>
      <c r="B55" t="s">
        <v>854</v>
      </c>
      <c r="C55">
        <v>4.5</v>
      </c>
      <c r="D55">
        <v>44.67580522603312</v>
      </c>
    </row>
    <row r="56" spans="1:4">
      <c r="A56" t="s">
        <v>164</v>
      </c>
      <c r="B56" t="s">
        <v>854</v>
      </c>
      <c r="C56">
        <v>14.5</v>
      </c>
      <c r="D56">
        <v>45.886072368695828</v>
      </c>
    </row>
    <row r="57" spans="1:4">
      <c r="A57" t="s">
        <v>166</v>
      </c>
      <c r="B57" t="s">
        <v>854</v>
      </c>
      <c r="C57">
        <v>14.5</v>
      </c>
      <c r="D57">
        <v>44.406316755009023</v>
      </c>
    </row>
    <row r="58" spans="1:4">
      <c r="A58" t="s">
        <v>168</v>
      </c>
      <c r="B58" t="s">
        <v>854</v>
      </c>
      <c r="C58">
        <v>14.5</v>
      </c>
      <c r="D58">
        <v>49.480148902300186</v>
      </c>
    </row>
    <row r="59" spans="1:4">
      <c r="A59" t="s">
        <v>170</v>
      </c>
      <c r="B59" t="s">
        <v>854</v>
      </c>
      <c r="C59">
        <v>14.5</v>
      </c>
      <c r="D59">
        <v>45.356371458173719</v>
      </c>
    </row>
    <row r="60" spans="1:4">
      <c r="A60" t="s">
        <v>870</v>
      </c>
      <c r="B60" t="s">
        <v>854</v>
      </c>
      <c r="C60">
        <v>15</v>
      </c>
      <c r="D60">
        <v>45.585139362102034</v>
      </c>
    </row>
    <row r="61" spans="1:4">
      <c r="A61" t="s">
        <v>174</v>
      </c>
      <c r="B61" t="s">
        <v>854</v>
      </c>
      <c r="C61">
        <v>15</v>
      </c>
      <c r="D61">
        <v>47.502494052985419</v>
      </c>
    </row>
    <row r="62" spans="1:4">
      <c r="A62" t="s">
        <v>871</v>
      </c>
      <c r="B62" t="s">
        <v>854</v>
      </c>
      <c r="C62">
        <v>15</v>
      </c>
      <c r="D62">
        <v>43.804281627230765</v>
      </c>
    </row>
    <row r="63" spans="1:4">
      <c r="A63" t="s">
        <v>872</v>
      </c>
      <c r="B63" t="s">
        <v>854</v>
      </c>
      <c r="C63">
        <v>15</v>
      </c>
      <c r="D63">
        <v>40.011685443919539</v>
      </c>
    </row>
    <row r="64" spans="1:4">
      <c r="A64" t="s">
        <v>873</v>
      </c>
      <c r="B64" t="s">
        <v>854</v>
      </c>
      <c r="C64">
        <v>15</v>
      </c>
      <c r="D64">
        <v>44.359674065733749</v>
      </c>
    </row>
    <row r="65" spans="1:4">
      <c r="A65" t="s">
        <v>182</v>
      </c>
      <c r="B65" t="s">
        <v>854</v>
      </c>
      <c r="C65">
        <v>15</v>
      </c>
      <c r="D65">
        <v>42.570535819618108</v>
      </c>
    </row>
    <row r="66" spans="1:4">
      <c r="A66" t="s">
        <v>184</v>
      </c>
      <c r="B66" t="s">
        <v>854</v>
      </c>
      <c r="C66">
        <v>18.5</v>
      </c>
      <c r="D66">
        <v>44.070685194393349</v>
      </c>
    </row>
    <row r="67" spans="1:4">
      <c r="A67" t="s">
        <v>186</v>
      </c>
      <c r="B67" t="s">
        <v>854</v>
      </c>
      <c r="C67">
        <v>18.5</v>
      </c>
      <c r="D67">
        <v>41.471489659973756</v>
      </c>
    </row>
    <row r="68" spans="1:4">
      <c r="A68" t="s">
        <v>188</v>
      </c>
      <c r="B68" t="s">
        <v>854</v>
      </c>
      <c r="C68">
        <v>18.5</v>
      </c>
      <c r="D68">
        <v>39.071052056176015</v>
      </c>
    </row>
    <row r="69" spans="1:4">
      <c r="A69" t="s">
        <v>190</v>
      </c>
      <c r="B69" t="s">
        <v>854</v>
      </c>
      <c r="C69">
        <v>18.5</v>
      </c>
      <c r="D69">
        <v>39.040231167803746</v>
      </c>
    </row>
    <row r="70" spans="1:4">
      <c r="A70" t="s">
        <v>192</v>
      </c>
      <c r="B70" t="s">
        <v>854</v>
      </c>
      <c r="C70">
        <v>18.5</v>
      </c>
      <c r="D70">
        <v>38.939907759206179</v>
      </c>
    </row>
    <row r="71" spans="1:4">
      <c r="A71" t="s">
        <v>194</v>
      </c>
      <c r="B71" t="s">
        <v>854</v>
      </c>
      <c r="C71">
        <v>18.5</v>
      </c>
      <c r="D71">
        <v>43.304607555594629</v>
      </c>
    </row>
    <row r="72" spans="1:4">
      <c r="A72" t="s">
        <v>196</v>
      </c>
      <c r="B72" t="s">
        <v>874</v>
      </c>
      <c r="C72">
        <v>0</v>
      </c>
      <c r="D72">
        <v>43.613163755974618</v>
      </c>
    </row>
    <row r="73" spans="1:4">
      <c r="A73" t="s">
        <v>198</v>
      </c>
      <c r="B73" t="s">
        <v>874</v>
      </c>
      <c r="C73">
        <v>0</v>
      </c>
      <c r="D73">
        <v>43.623133617867154</v>
      </c>
    </row>
    <row r="74" spans="1:4">
      <c r="A74" t="s">
        <v>200</v>
      </c>
      <c r="B74" t="s">
        <v>874</v>
      </c>
      <c r="C74">
        <v>0</v>
      </c>
      <c r="D74">
        <v>43.704343187091986</v>
      </c>
    </row>
    <row r="75" spans="1:4">
      <c r="A75" t="s">
        <v>202</v>
      </c>
      <c r="B75" t="s">
        <v>874</v>
      </c>
      <c r="C75">
        <v>0</v>
      </c>
      <c r="D75">
        <v>43.892703477308494</v>
      </c>
    </row>
    <row r="76" spans="1:4">
      <c r="A76" t="s">
        <v>204</v>
      </c>
      <c r="B76" t="s">
        <v>874</v>
      </c>
      <c r="C76">
        <v>0</v>
      </c>
      <c r="D76">
        <v>44.563710578559594</v>
      </c>
    </row>
    <row r="77" spans="1:4">
      <c r="A77" t="s">
        <v>210</v>
      </c>
      <c r="B77" t="s">
        <v>874</v>
      </c>
      <c r="C77">
        <v>1.5</v>
      </c>
      <c r="D77">
        <v>43.475116169666983</v>
      </c>
    </row>
    <row r="78" spans="1:4">
      <c r="A78" t="s">
        <v>212</v>
      </c>
      <c r="B78" t="s">
        <v>874</v>
      </c>
      <c r="C78">
        <v>1</v>
      </c>
      <c r="D78">
        <v>50.857985660107801</v>
      </c>
    </row>
    <row r="79" spans="1:4">
      <c r="A79" t="s">
        <v>214</v>
      </c>
      <c r="B79" t="s">
        <v>874</v>
      </c>
      <c r="C79">
        <v>1</v>
      </c>
      <c r="D79">
        <v>46.999535116633631</v>
      </c>
    </row>
    <row r="80" spans="1:4">
      <c r="A80" t="s">
        <v>216</v>
      </c>
      <c r="B80" t="s">
        <v>874</v>
      </c>
      <c r="C80">
        <v>1</v>
      </c>
      <c r="D80">
        <v>46.502050402131488</v>
      </c>
    </row>
    <row r="81" spans="1:4">
      <c r="A81" t="s">
        <v>218</v>
      </c>
      <c r="B81" t="s">
        <v>874</v>
      </c>
      <c r="C81">
        <v>1</v>
      </c>
      <c r="D81">
        <v>43.69784182032673</v>
      </c>
    </row>
    <row r="82" spans="1:4">
      <c r="A82" t="s">
        <v>219</v>
      </c>
      <c r="B82" t="s">
        <v>874</v>
      </c>
      <c r="C82">
        <v>1</v>
      </c>
      <c r="D82">
        <v>51.050146755645756</v>
      </c>
    </row>
    <row r="83" spans="1:4">
      <c r="A83" t="s">
        <v>221</v>
      </c>
      <c r="B83" t="s">
        <v>874</v>
      </c>
      <c r="C83">
        <v>2</v>
      </c>
      <c r="D83">
        <v>44.514269943084493</v>
      </c>
    </row>
    <row r="84" spans="1:4">
      <c r="A84" t="s">
        <v>223</v>
      </c>
      <c r="B84" t="s">
        <v>874</v>
      </c>
      <c r="C84">
        <v>2</v>
      </c>
      <c r="D84">
        <v>43.647355787551504</v>
      </c>
    </row>
    <row r="85" spans="1:4">
      <c r="A85" t="s">
        <v>225</v>
      </c>
      <c r="B85" t="s">
        <v>874</v>
      </c>
      <c r="C85">
        <v>2</v>
      </c>
      <c r="D85">
        <v>46.903779273506181</v>
      </c>
    </row>
    <row r="86" spans="1:4">
      <c r="A86" t="s">
        <v>227</v>
      </c>
      <c r="B86" t="s">
        <v>874</v>
      </c>
      <c r="C86">
        <v>2</v>
      </c>
      <c r="D86">
        <v>46.015574008760737</v>
      </c>
    </row>
    <row r="87" spans="1:4">
      <c r="A87" t="s">
        <v>229</v>
      </c>
      <c r="B87" t="s">
        <v>874</v>
      </c>
      <c r="C87">
        <v>2</v>
      </c>
      <c r="D87">
        <v>42.013576775142127</v>
      </c>
    </row>
    <row r="88" spans="1:4">
      <c r="A88" t="s">
        <v>231</v>
      </c>
      <c r="B88" t="s">
        <v>874</v>
      </c>
      <c r="C88">
        <v>2.5</v>
      </c>
      <c r="D88">
        <v>45.539252088284059</v>
      </c>
    </row>
    <row r="89" spans="1:4">
      <c r="A89" t="s">
        <v>233</v>
      </c>
      <c r="B89" t="s">
        <v>874</v>
      </c>
      <c r="C89">
        <v>2.5</v>
      </c>
      <c r="D89">
        <v>51.562557395250749</v>
      </c>
    </row>
    <row r="90" spans="1:4">
      <c r="A90" t="s">
        <v>235</v>
      </c>
      <c r="B90" t="s">
        <v>874</v>
      </c>
      <c r="C90">
        <v>2.5</v>
      </c>
      <c r="D90">
        <v>42.149741241552562</v>
      </c>
    </row>
    <row r="91" spans="1:4">
      <c r="A91" t="s">
        <v>237</v>
      </c>
      <c r="B91" t="s">
        <v>874</v>
      </c>
      <c r="C91">
        <v>3</v>
      </c>
      <c r="D91">
        <v>47.341833126174137</v>
      </c>
    </row>
    <row r="92" spans="1:4">
      <c r="A92" t="s">
        <v>239</v>
      </c>
      <c r="B92" t="s">
        <v>874</v>
      </c>
      <c r="C92">
        <v>3</v>
      </c>
      <c r="D92">
        <v>38.394674155073432</v>
      </c>
    </row>
    <row r="93" spans="1:4">
      <c r="A93" t="s">
        <v>241</v>
      </c>
      <c r="B93" t="s">
        <v>874</v>
      </c>
      <c r="C93">
        <v>3</v>
      </c>
      <c r="D93">
        <v>51.142692020770198</v>
      </c>
    </row>
    <row r="94" spans="1:4">
      <c r="A94" t="s">
        <v>243</v>
      </c>
      <c r="B94" t="s">
        <v>874</v>
      </c>
      <c r="C94">
        <v>3</v>
      </c>
      <c r="D94">
        <v>47.409725465656486</v>
      </c>
    </row>
    <row r="95" spans="1:4">
      <c r="A95" t="s">
        <v>245</v>
      </c>
      <c r="B95" t="s">
        <v>874</v>
      </c>
      <c r="C95">
        <v>3</v>
      </c>
      <c r="D95">
        <v>47.910731686342082</v>
      </c>
    </row>
    <row r="96" spans="1:4">
      <c r="A96" t="s">
        <v>247</v>
      </c>
      <c r="B96" t="s">
        <v>874</v>
      </c>
      <c r="C96">
        <v>3.5</v>
      </c>
      <c r="D96">
        <v>42.927964932008905</v>
      </c>
    </row>
    <row r="97" spans="1:4">
      <c r="A97" t="s">
        <v>249</v>
      </c>
      <c r="B97" t="s">
        <v>874</v>
      </c>
      <c r="C97">
        <v>3.5</v>
      </c>
      <c r="D97">
        <v>45.180085206734958</v>
      </c>
    </row>
    <row r="98" spans="1:4">
      <c r="A98" t="s">
        <v>251</v>
      </c>
      <c r="B98" t="s">
        <v>874</v>
      </c>
      <c r="C98">
        <v>3.5</v>
      </c>
      <c r="D98">
        <v>46.008749044543251</v>
      </c>
    </row>
    <row r="99" spans="1:4">
      <c r="A99" t="s">
        <v>255</v>
      </c>
      <c r="B99" t="s">
        <v>874</v>
      </c>
      <c r="C99">
        <v>3.5</v>
      </c>
      <c r="D99">
        <v>49.15563809935874</v>
      </c>
    </row>
    <row r="100" spans="1:4">
      <c r="A100" t="s">
        <v>257</v>
      </c>
      <c r="B100" t="s">
        <v>874</v>
      </c>
      <c r="C100">
        <v>4</v>
      </c>
      <c r="D100">
        <v>44.91059903908824</v>
      </c>
    </row>
    <row r="101" spans="1:4">
      <c r="A101" t="s">
        <v>259</v>
      </c>
      <c r="B101" t="s">
        <v>874</v>
      </c>
      <c r="C101">
        <v>4</v>
      </c>
      <c r="D101">
        <v>45.232296025429427</v>
      </c>
    </row>
    <row r="102" spans="1:4">
      <c r="A102" t="s">
        <v>261</v>
      </c>
      <c r="B102" t="s">
        <v>874</v>
      </c>
      <c r="C102">
        <v>4</v>
      </c>
      <c r="D102">
        <v>42.91453397137164</v>
      </c>
    </row>
    <row r="103" spans="1:4">
      <c r="A103" t="s">
        <v>263</v>
      </c>
      <c r="B103" t="s">
        <v>874</v>
      </c>
      <c r="C103">
        <v>4</v>
      </c>
      <c r="D103">
        <v>47.063193627491081</v>
      </c>
    </row>
    <row r="104" spans="1:4">
      <c r="A104" t="s">
        <v>265</v>
      </c>
      <c r="B104" t="s">
        <v>874</v>
      </c>
      <c r="C104">
        <v>4</v>
      </c>
      <c r="D104">
        <v>49.139902157131147</v>
      </c>
    </row>
    <row r="105" spans="1:4">
      <c r="A105" t="s">
        <v>267</v>
      </c>
      <c r="B105" t="s">
        <v>874</v>
      </c>
      <c r="C105">
        <v>4.5</v>
      </c>
      <c r="D105">
        <v>54.597554520757193</v>
      </c>
    </row>
    <row r="106" spans="1:4">
      <c r="A106" t="s">
        <v>269</v>
      </c>
      <c r="B106" t="s">
        <v>874</v>
      </c>
      <c r="C106">
        <v>4.5</v>
      </c>
      <c r="D106">
        <v>43.511609883551827</v>
      </c>
    </row>
    <row r="107" spans="1:4">
      <c r="A107" t="s">
        <v>271</v>
      </c>
      <c r="B107" t="s">
        <v>874</v>
      </c>
      <c r="C107">
        <v>4.5</v>
      </c>
      <c r="D107">
        <v>45.246257824516469</v>
      </c>
    </row>
    <row r="108" spans="1:4">
      <c r="A108" t="s">
        <v>273</v>
      </c>
      <c r="B108" t="s">
        <v>874</v>
      </c>
      <c r="C108">
        <v>4.5</v>
      </c>
      <c r="D108">
        <v>44.21799153914305</v>
      </c>
    </row>
    <row r="109" spans="1:4">
      <c r="A109" t="s">
        <v>275</v>
      </c>
      <c r="B109" t="s">
        <v>874</v>
      </c>
      <c r="C109">
        <v>5</v>
      </c>
      <c r="D109">
        <v>43.876200653738628</v>
      </c>
    </row>
    <row r="110" spans="1:4">
      <c r="A110" t="s">
        <v>277</v>
      </c>
      <c r="B110" t="s">
        <v>874</v>
      </c>
      <c r="C110">
        <v>5</v>
      </c>
      <c r="D110">
        <v>42.2373332046459</v>
      </c>
    </row>
    <row r="111" spans="1:4">
      <c r="A111" t="s">
        <v>279</v>
      </c>
      <c r="B111" t="s">
        <v>874</v>
      </c>
      <c r="C111">
        <v>5</v>
      </c>
      <c r="D111">
        <v>45.525066288336532</v>
      </c>
    </row>
    <row r="112" spans="1:4">
      <c r="A112" t="s">
        <v>281</v>
      </c>
      <c r="B112" t="s">
        <v>874</v>
      </c>
      <c r="C112">
        <v>5</v>
      </c>
      <c r="D112">
        <v>40.45621838289324</v>
      </c>
    </row>
    <row r="113" spans="1:4">
      <c r="A113" t="s">
        <v>283</v>
      </c>
      <c r="B113" t="s">
        <v>874</v>
      </c>
      <c r="C113">
        <v>5</v>
      </c>
      <c r="D113">
        <v>52.235663725441405</v>
      </c>
    </row>
    <row r="114" spans="1:4">
      <c r="A114" t="s">
        <v>285</v>
      </c>
      <c r="B114" t="s">
        <v>874</v>
      </c>
      <c r="C114">
        <v>5</v>
      </c>
      <c r="D114">
        <v>39.508317823894515</v>
      </c>
    </row>
    <row r="115" spans="1:4">
      <c r="A115" t="s">
        <v>289</v>
      </c>
      <c r="B115" t="s">
        <v>874</v>
      </c>
      <c r="C115">
        <v>6.5</v>
      </c>
      <c r="D115">
        <v>44.703020328676011</v>
      </c>
    </row>
    <row r="116" spans="1:4">
      <c r="A116" t="s">
        <v>293</v>
      </c>
      <c r="B116" t="s">
        <v>874</v>
      </c>
      <c r="C116">
        <v>6.5</v>
      </c>
      <c r="D116">
        <v>48.855883555364443</v>
      </c>
    </row>
    <row r="117" spans="1:4">
      <c r="A117" t="s">
        <v>295</v>
      </c>
      <c r="B117" t="s">
        <v>874</v>
      </c>
      <c r="C117">
        <v>6.5</v>
      </c>
      <c r="D117">
        <v>47.647133066090262</v>
      </c>
    </row>
    <row r="118" spans="1:4">
      <c r="A118" t="s">
        <v>297</v>
      </c>
      <c r="B118" t="s">
        <v>874</v>
      </c>
      <c r="C118">
        <v>7</v>
      </c>
      <c r="D118">
        <v>43.059136050215891</v>
      </c>
    </row>
    <row r="119" spans="1:4">
      <c r="A119" t="s">
        <v>299</v>
      </c>
      <c r="B119" t="s">
        <v>874</v>
      </c>
      <c r="C119">
        <v>7</v>
      </c>
      <c r="D119">
        <v>38.77759761463097</v>
      </c>
    </row>
    <row r="120" spans="1:4">
      <c r="A120" t="s">
        <v>303</v>
      </c>
      <c r="B120" t="s">
        <v>874</v>
      </c>
      <c r="C120">
        <v>7</v>
      </c>
      <c r="D120">
        <v>45.870086609037436</v>
      </c>
    </row>
    <row r="121" spans="1:4">
      <c r="A121" t="s">
        <v>305</v>
      </c>
      <c r="B121" t="s">
        <v>874</v>
      </c>
      <c r="C121">
        <v>7</v>
      </c>
      <c r="D121">
        <v>47.319991313746613</v>
      </c>
    </row>
    <row r="122" spans="1:4">
      <c r="A122" t="s">
        <v>307</v>
      </c>
      <c r="B122" t="s">
        <v>874</v>
      </c>
      <c r="C122">
        <v>7.5</v>
      </c>
      <c r="D122">
        <v>45.503693114323639</v>
      </c>
    </row>
    <row r="123" spans="1:4">
      <c r="A123" t="s">
        <v>313</v>
      </c>
      <c r="B123" t="s">
        <v>874</v>
      </c>
      <c r="C123">
        <v>7.5</v>
      </c>
      <c r="D123">
        <v>44.992505627492058</v>
      </c>
    </row>
    <row r="124" spans="1:4">
      <c r="A124" t="s">
        <v>315</v>
      </c>
      <c r="B124" t="s">
        <v>874</v>
      </c>
      <c r="C124">
        <v>7.5</v>
      </c>
      <c r="D124">
        <v>51.478775795224905</v>
      </c>
    </row>
    <row r="125" spans="1:4">
      <c r="A125" t="s">
        <v>317</v>
      </c>
      <c r="B125" t="s">
        <v>874</v>
      </c>
      <c r="C125">
        <v>8</v>
      </c>
      <c r="D125">
        <v>42.90028029069051</v>
      </c>
    </row>
    <row r="126" spans="1:4">
      <c r="A126" t="s">
        <v>319</v>
      </c>
      <c r="B126" t="s">
        <v>874</v>
      </c>
      <c r="C126">
        <v>8</v>
      </c>
      <c r="D126">
        <v>44.334100128562561</v>
      </c>
    </row>
    <row r="127" spans="1:4">
      <c r="A127" t="s">
        <v>321</v>
      </c>
      <c r="B127" t="s">
        <v>874</v>
      </c>
      <c r="C127">
        <v>8</v>
      </c>
      <c r="D127">
        <v>43.379994317670103</v>
      </c>
    </row>
    <row r="128" spans="1:4">
      <c r="A128" t="s">
        <v>323</v>
      </c>
      <c r="B128" t="s">
        <v>874</v>
      </c>
      <c r="C128">
        <v>8</v>
      </c>
      <c r="D128">
        <v>41.870989147431189</v>
      </c>
    </row>
    <row r="129" spans="1:4">
      <c r="A129" t="s">
        <v>325</v>
      </c>
      <c r="B129" t="s">
        <v>874</v>
      </c>
      <c r="C129">
        <v>8</v>
      </c>
      <c r="D129">
        <v>53.534691286017193</v>
      </c>
    </row>
    <row r="130" spans="1:4">
      <c r="A130" t="s">
        <v>327</v>
      </c>
      <c r="B130" t="s">
        <v>874</v>
      </c>
      <c r="C130">
        <v>9</v>
      </c>
      <c r="D130">
        <v>44.390322698362311</v>
      </c>
    </row>
    <row r="131" spans="1:4">
      <c r="A131" t="s">
        <v>329</v>
      </c>
      <c r="B131" t="s">
        <v>874</v>
      </c>
      <c r="C131">
        <v>9</v>
      </c>
      <c r="D131">
        <v>46.159430515758018</v>
      </c>
    </row>
    <row r="132" spans="1:4">
      <c r="A132" t="s">
        <v>331</v>
      </c>
      <c r="B132" t="s">
        <v>874</v>
      </c>
      <c r="C132">
        <v>9</v>
      </c>
      <c r="D132">
        <v>48.142753543989279</v>
      </c>
    </row>
    <row r="133" spans="1:4">
      <c r="A133" t="s">
        <v>333</v>
      </c>
      <c r="B133" t="s">
        <v>874</v>
      </c>
      <c r="C133">
        <v>9</v>
      </c>
      <c r="D133">
        <v>43.404981958923379</v>
      </c>
    </row>
    <row r="134" spans="1:4">
      <c r="A134" t="s">
        <v>335</v>
      </c>
      <c r="B134" t="s">
        <v>874</v>
      </c>
      <c r="C134">
        <v>9</v>
      </c>
      <c r="D134">
        <v>43.534902204491161</v>
      </c>
    </row>
    <row r="135" spans="1:4">
      <c r="A135" t="s">
        <v>337</v>
      </c>
      <c r="B135" t="s">
        <v>875</v>
      </c>
      <c r="C135">
        <v>0</v>
      </c>
      <c r="D135">
        <v>50.10916298362865</v>
      </c>
    </row>
    <row r="136" spans="1:4">
      <c r="A136" t="s">
        <v>339</v>
      </c>
      <c r="B136" t="s">
        <v>875</v>
      </c>
      <c r="C136">
        <v>0</v>
      </c>
      <c r="D136">
        <v>43.799991861041761</v>
      </c>
    </row>
    <row r="137" spans="1:4">
      <c r="A137" t="s">
        <v>341</v>
      </c>
      <c r="B137" t="s">
        <v>875</v>
      </c>
      <c r="C137">
        <v>0</v>
      </c>
      <c r="D137">
        <v>43.852814363714792</v>
      </c>
    </row>
    <row r="138" spans="1:4">
      <c r="A138" t="s">
        <v>343</v>
      </c>
      <c r="B138" t="s">
        <v>875</v>
      </c>
      <c r="C138">
        <v>0.5</v>
      </c>
      <c r="D138">
        <v>41.847336029964481</v>
      </c>
    </row>
    <row r="139" spans="1:4">
      <c r="A139" t="s">
        <v>345</v>
      </c>
      <c r="B139" t="s">
        <v>875</v>
      </c>
      <c r="C139">
        <v>0.5</v>
      </c>
      <c r="D139">
        <v>43.887749760263922</v>
      </c>
    </row>
    <row r="140" spans="1:4">
      <c r="A140" t="s">
        <v>347</v>
      </c>
      <c r="B140" t="s">
        <v>875</v>
      </c>
      <c r="C140">
        <v>0.5</v>
      </c>
      <c r="D140">
        <v>41.135798469509126</v>
      </c>
    </row>
    <row r="141" spans="1:4">
      <c r="A141" t="s">
        <v>349</v>
      </c>
      <c r="B141" t="s">
        <v>875</v>
      </c>
      <c r="C141">
        <v>0.5</v>
      </c>
      <c r="D141">
        <v>41.075781519000714</v>
      </c>
    </row>
    <row r="142" spans="1:4">
      <c r="A142" t="s">
        <v>351</v>
      </c>
      <c r="B142" t="s">
        <v>875</v>
      </c>
      <c r="C142">
        <v>0.5</v>
      </c>
      <c r="D142">
        <v>33.640561162307712</v>
      </c>
    </row>
    <row r="143" spans="1:4">
      <c r="A143" t="s">
        <v>353</v>
      </c>
      <c r="B143" t="s">
        <v>875</v>
      </c>
      <c r="C143">
        <v>1</v>
      </c>
      <c r="D143">
        <v>46.294086181503303</v>
      </c>
    </row>
    <row r="144" spans="1:4">
      <c r="A144" t="s">
        <v>357</v>
      </c>
      <c r="B144" t="s">
        <v>875</v>
      </c>
      <c r="C144">
        <v>1</v>
      </c>
      <c r="D144">
        <v>50.10916298362865</v>
      </c>
    </row>
    <row r="145" spans="1:4">
      <c r="A145" t="s">
        <v>358</v>
      </c>
      <c r="B145" t="s">
        <v>875</v>
      </c>
      <c r="C145">
        <v>1.5</v>
      </c>
      <c r="D145">
        <v>40.717367090312258</v>
      </c>
    </row>
    <row r="146" spans="1:4">
      <c r="A146" t="s">
        <v>360</v>
      </c>
      <c r="B146" t="s">
        <v>875</v>
      </c>
      <c r="C146">
        <v>1.5</v>
      </c>
      <c r="D146">
        <v>47.033842613068302</v>
      </c>
    </row>
    <row r="147" spans="1:4">
      <c r="A147" t="s">
        <v>362</v>
      </c>
      <c r="B147" t="s">
        <v>875</v>
      </c>
      <c r="C147">
        <v>1.5</v>
      </c>
      <c r="D147">
        <v>42.515070568763115</v>
      </c>
    </row>
    <row r="148" spans="1:4">
      <c r="A148" t="s">
        <v>364</v>
      </c>
      <c r="B148" t="s">
        <v>875</v>
      </c>
      <c r="C148">
        <v>2</v>
      </c>
      <c r="D148">
        <v>39.517690262626644</v>
      </c>
    </row>
    <row r="149" spans="1:4">
      <c r="A149" t="s">
        <v>366</v>
      </c>
      <c r="B149" t="s">
        <v>875</v>
      </c>
      <c r="C149">
        <v>2</v>
      </c>
      <c r="D149">
        <v>48.947372856586114</v>
      </c>
    </row>
    <row r="150" spans="1:4">
      <c r="A150" t="s">
        <v>368</v>
      </c>
      <c r="B150" t="s">
        <v>875</v>
      </c>
      <c r="C150">
        <v>2</v>
      </c>
      <c r="D150">
        <v>47.06679071903725</v>
      </c>
    </row>
    <row r="151" spans="1:4">
      <c r="A151" t="s">
        <v>370</v>
      </c>
      <c r="B151" t="s">
        <v>875</v>
      </c>
      <c r="C151">
        <v>2.5</v>
      </c>
      <c r="D151">
        <v>41.125407662717336</v>
      </c>
    </row>
    <row r="152" spans="1:4">
      <c r="A152" t="s">
        <v>374</v>
      </c>
      <c r="B152" t="s">
        <v>875</v>
      </c>
      <c r="C152">
        <v>2.5</v>
      </c>
      <c r="D152">
        <v>41.429517942321198</v>
      </c>
    </row>
    <row r="153" spans="1:4">
      <c r="A153" t="s">
        <v>376</v>
      </c>
      <c r="B153" t="s">
        <v>875</v>
      </c>
      <c r="C153">
        <v>2.5</v>
      </c>
      <c r="D153">
        <v>41.888146414112413</v>
      </c>
    </row>
    <row r="154" spans="1:4">
      <c r="A154" t="s">
        <v>378</v>
      </c>
      <c r="B154" t="s">
        <v>875</v>
      </c>
      <c r="C154">
        <v>2.5</v>
      </c>
      <c r="D154">
        <v>44.588670545065121</v>
      </c>
    </row>
    <row r="155" spans="1:4">
      <c r="A155" t="s">
        <v>380</v>
      </c>
      <c r="B155" t="s">
        <v>875</v>
      </c>
      <c r="C155">
        <v>3</v>
      </c>
      <c r="D155">
        <v>41.816764526976812</v>
      </c>
    </row>
    <row r="156" spans="1:4">
      <c r="A156" t="s">
        <v>382</v>
      </c>
      <c r="B156" t="s">
        <v>875</v>
      </c>
      <c r="C156">
        <v>3</v>
      </c>
      <c r="D156">
        <v>44.594156538864745</v>
      </c>
    </row>
    <row r="157" spans="1:4">
      <c r="A157" t="s">
        <v>386</v>
      </c>
      <c r="B157" t="s">
        <v>875</v>
      </c>
      <c r="C157">
        <v>3.5</v>
      </c>
      <c r="D157">
        <v>41.301055082187112</v>
      </c>
    </row>
    <row r="158" spans="1:4">
      <c r="A158" t="s">
        <v>388</v>
      </c>
      <c r="B158" t="s">
        <v>875</v>
      </c>
      <c r="C158">
        <v>3.5</v>
      </c>
      <c r="D158">
        <v>45.838356672708102</v>
      </c>
    </row>
    <row r="159" spans="1:4">
      <c r="A159" t="s">
        <v>390</v>
      </c>
      <c r="B159" t="s">
        <v>875</v>
      </c>
      <c r="C159">
        <v>3.5</v>
      </c>
      <c r="D159">
        <v>38.939161024117851</v>
      </c>
    </row>
    <row r="160" spans="1:4">
      <c r="A160" t="s">
        <v>391</v>
      </c>
      <c r="B160" t="s">
        <v>875</v>
      </c>
      <c r="C160">
        <v>3.5</v>
      </c>
      <c r="D160">
        <v>40.572659242526953</v>
      </c>
    </row>
    <row r="161" spans="1:4">
      <c r="A161" t="s">
        <v>395</v>
      </c>
      <c r="B161" t="s">
        <v>875</v>
      </c>
      <c r="C161">
        <v>4</v>
      </c>
      <c r="D161">
        <v>46.086283120035489</v>
      </c>
    </row>
    <row r="162" spans="1:4">
      <c r="A162" t="s">
        <v>397</v>
      </c>
      <c r="B162" t="s">
        <v>875</v>
      </c>
      <c r="C162">
        <v>4</v>
      </c>
      <c r="D162">
        <v>40.458019465055266</v>
      </c>
    </row>
    <row r="163" spans="1:4">
      <c r="A163" t="s">
        <v>399</v>
      </c>
      <c r="B163" t="s">
        <v>875</v>
      </c>
      <c r="C163">
        <v>4</v>
      </c>
      <c r="D163">
        <v>41.750384257283947</v>
      </c>
    </row>
    <row r="164" spans="1:4">
      <c r="A164" t="s">
        <v>401</v>
      </c>
      <c r="B164" t="s">
        <v>875</v>
      </c>
      <c r="C164">
        <v>4.5</v>
      </c>
      <c r="D164">
        <v>43.72686731127952</v>
      </c>
    </row>
    <row r="165" spans="1:4">
      <c r="A165" t="s">
        <v>403</v>
      </c>
      <c r="B165" t="s">
        <v>875</v>
      </c>
      <c r="C165">
        <v>4.5</v>
      </c>
      <c r="D165">
        <v>44.440145912291172</v>
      </c>
    </row>
    <row r="166" spans="1:4">
      <c r="A166" t="s">
        <v>407</v>
      </c>
      <c r="B166" t="s">
        <v>875</v>
      </c>
      <c r="C166">
        <v>4.5</v>
      </c>
      <c r="D166">
        <v>43.523543410593959</v>
      </c>
    </row>
    <row r="167" spans="1:4">
      <c r="A167" t="s">
        <v>409</v>
      </c>
      <c r="B167" t="s">
        <v>875</v>
      </c>
      <c r="C167">
        <v>4.5</v>
      </c>
      <c r="D167">
        <v>44.759135829009736</v>
      </c>
    </row>
    <row r="168" spans="1:4">
      <c r="A168" t="s">
        <v>411</v>
      </c>
      <c r="B168" t="s">
        <v>875</v>
      </c>
      <c r="C168">
        <v>5</v>
      </c>
      <c r="D168">
        <v>36.868433188574109</v>
      </c>
    </row>
    <row r="169" spans="1:4">
      <c r="A169" t="s">
        <v>415</v>
      </c>
      <c r="B169" t="s">
        <v>875</v>
      </c>
      <c r="C169">
        <v>5</v>
      </c>
      <c r="D169">
        <v>39.778639169392818</v>
      </c>
    </row>
    <row r="170" spans="1:4">
      <c r="A170" t="s">
        <v>417</v>
      </c>
      <c r="B170" t="s">
        <v>875</v>
      </c>
      <c r="C170">
        <v>5.5</v>
      </c>
      <c r="D170">
        <v>44.791382287670913</v>
      </c>
    </row>
    <row r="171" spans="1:4">
      <c r="A171" t="s">
        <v>419</v>
      </c>
      <c r="B171" t="s">
        <v>875</v>
      </c>
      <c r="C171">
        <v>5.5</v>
      </c>
      <c r="D171">
        <v>41.832722135475507</v>
      </c>
    </row>
    <row r="172" spans="1:4">
      <c r="A172" t="s">
        <v>421</v>
      </c>
      <c r="B172" t="s">
        <v>875</v>
      </c>
      <c r="C172">
        <v>5.5</v>
      </c>
      <c r="D172">
        <v>40.135162181415474</v>
      </c>
    </row>
    <row r="173" spans="1:4">
      <c r="A173" t="s">
        <v>423</v>
      </c>
      <c r="B173" t="s">
        <v>875</v>
      </c>
      <c r="C173">
        <v>5.5</v>
      </c>
      <c r="D173">
        <v>40.931004409871719</v>
      </c>
    </row>
    <row r="174" spans="1:4">
      <c r="A174" t="s">
        <v>425</v>
      </c>
      <c r="B174" t="s">
        <v>875</v>
      </c>
      <c r="C174">
        <v>5.5</v>
      </c>
      <c r="D174">
        <v>42.476798397220293</v>
      </c>
    </row>
    <row r="175" spans="1:4">
      <c r="A175" t="s">
        <v>427</v>
      </c>
      <c r="B175" t="s">
        <v>875</v>
      </c>
      <c r="C175">
        <v>6.5</v>
      </c>
      <c r="D175">
        <v>40.576892055251804</v>
      </c>
    </row>
    <row r="176" spans="1:4">
      <c r="A176" t="s">
        <v>428</v>
      </c>
      <c r="B176" t="s">
        <v>875</v>
      </c>
      <c r="C176">
        <v>6.5</v>
      </c>
      <c r="D176">
        <v>45.197745033564075</v>
      </c>
    </row>
    <row r="177" spans="1:4">
      <c r="A177" t="s">
        <v>430</v>
      </c>
      <c r="B177" t="s">
        <v>875</v>
      </c>
      <c r="C177">
        <v>6.5</v>
      </c>
      <c r="D177">
        <v>43.694824137657605</v>
      </c>
    </row>
    <row r="178" spans="1:4">
      <c r="A178" t="s">
        <v>432</v>
      </c>
      <c r="B178" t="s">
        <v>875</v>
      </c>
      <c r="C178">
        <v>6.5</v>
      </c>
      <c r="D178">
        <v>41.474861573909699</v>
      </c>
    </row>
    <row r="179" spans="1:4">
      <c r="A179" t="s">
        <v>434</v>
      </c>
      <c r="B179" t="s">
        <v>875</v>
      </c>
      <c r="C179">
        <v>6.5</v>
      </c>
      <c r="D179">
        <v>41.837511200442243</v>
      </c>
    </row>
    <row r="180" spans="1:4">
      <c r="A180" t="s">
        <v>436</v>
      </c>
      <c r="B180" t="s">
        <v>875</v>
      </c>
      <c r="C180">
        <v>7.5</v>
      </c>
      <c r="D180">
        <v>47.902690699598779</v>
      </c>
    </row>
    <row r="181" spans="1:4">
      <c r="A181" t="s">
        <v>438</v>
      </c>
      <c r="B181" t="s">
        <v>875</v>
      </c>
      <c r="C181">
        <v>7.5</v>
      </c>
      <c r="D181">
        <v>44.491369491220155</v>
      </c>
    </row>
    <row r="182" spans="1:4">
      <c r="A182" t="s">
        <v>440</v>
      </c>
      <c r="B182" t="s">
        <v>875</v>
      </c>
      <c r="C182">
        <v>7.5</v>
      </c>
      <c r="D182">
        <v>48.301688930310583</v>
      </c>
    </row>
    <row r="183" spans="1:4">
      <c r="A183" t="s">
        <v>442</v>
      </c>
      <c r="B183" t="s">
        <v>875</v>
      </c>
      <c r="C183">
        <v>7.5</v>
      </c>
      <c r="D183">
        <v>49.535037925150561</v>
      </c>
    </row>
    <row r="184" spans="1:4">
      <c r="A184" t="s">
        <v>444</v>
      </c>
      <c r="B184" t="s">
        <v>875</v>
      </c>
      <c r="C184">
        <v>7.5</v>
      </c>
      <c r="D184">
        <v>42.349111846542442</v>
      </c>
    </row>
    <row r="185" spans="1:4">
      <c r="A185" t="s">
        <v>446</v>
      </c>
      <c r="B185" t="s">
        <v>875</v>
      </c>
      <c r="C185">
        <v>8.5</v>
      </c>
      <c r="D185">
        <v>40.035842850217485</v>
      </c>
    </row>
    <row r="186" spans="1:4">
      <c r="A186" t="s">
        <v>448</v>
      </c>
      <c r="B186" t="s">
        <v>875</v>
      </c>
      <c r="C186">
        <v>8.5</v>
      </c>
      <c r="D186">
        <v>37.874782025517568</v>
      </c>
    </row>
    <row r="187" spans="1:4">
      <c r="A187" t="s">
        <v>450</v>
      </c>
      <c r="B187" t="s">
        <v>875</v>
      </c>
      <c r="C187">
        <v>8.5</v>
      </c>
      <c r="D187">
        <v>40.618485943162987</v>
      </c>
    </row>
    <row r="188" spans="1:4">
      <c r="A188" t="s">
        <v>452</v>
      </c>
      <c r="B188" t="s">
        <v>875</v>
      </c>
      <c r="C188">
        <v>8.5</v>
      </c>
      <c r="D188">
        <v>42.151970168545937</v>
      </c>
    </row>
    <row r="189" spans="1:4">
      <c r="A189" t="s">
        <v>454</v>
      </c>
      <c r="B189" t="s">
        <v>875</v>
      </c>
      <c r="C189">
        <v>8.5</v>
      </c>
      <c r="D189">
        <v>39.864901959358157</v>
      </c>
    </row>
    <row r="190" spans="1:4">
      <c r="A190" t="s">
        <v>585</v>
      </c>
      <c r="B190" t="s">
        <v>876</v>
      </c>
      <c r="C190">
        <v>0</v>
      </c>
      <c r="D190">
        <v>43.178883037477426</v>
      </c>
    </row>
    <row r="191" spans="1:4">
      <c r="A191" t="s">
        <v>587</v>
      </c>
      <c r="B191" t="s">
        <v>876</v>
      </c>
      <c r="C191">
        <v>0</v>
      </c>
      <c r="D191">
        <v>39.285105367281844</v>
      </c>
    </row>
    <row r="192" spans="1:4">
      <c r="A192" t="s">
        <v>589</v>
      </c>
      <c r="B192" t="s">
        <v>876</v>
      </c>
      <c r="C192">
        <v>0</v>
      </c>
      <c r="D192">
        <v>39.285105367281844</v>
      </c>
    </row>
    <row r="193" spans="1:4">
      <c r="A193" t="s">
        <v>590</v>
      </c>
      <c r="B193" t="s">
        <v>876</v>
      </c>
      <c r="C193">
        <v>0</v>
      </c>
      <c r="D193">
        <v>42.277552967707017</v>
      </c>
    </row>
    <row r="194" spans="1:4">
      <c r="A194" t="s">
        <v>592</v>
      </c>
      <c r="B194" t="s">
        <v>876</v>
      </c>
      <c r="C194">
        <v>0.5</v>
      </c>
      <c r="D194">
        <v>42.140293026339393</v>
      </c>
    </row>
    <row r="195" spans="1:4">
      <c r="A195" t="s">
        <v>593</v>
      </c>
      <c r="B195" t="s">
        <v>876</v>
      </c>
      <c r="C195">
        <v>0.5</v>
      </c>
      <c r="D195">
        <v>40.971718552800859</v>
      </c>
    </row>
    <row r="196" spans="1:4">
      <c r="A196" t="s">
        <v>595</v>
      </c>
      <c r="B196" t="s">
        <v>876</v>
      </c>
      <c r="C196">
        <v>0.5</v>
      </c>
      <c r="D196">
        <v>42.400692205929978</v>
      </c>
    </row>
    <row r="197" spans="1:4">
      <c r="A197" t="s">
        <v>597</v>
      </c>
      <c r="B197" t="s">
        <v>876</v>
      </c>
      <c r="C197">
        <v>1.5</v>
      </c>
      <c r="D197">
        <v>46.995459286986247</v>
      </c>
    </row>
    <row r="198" spans="1:4">
      <c r="A198" t="s">
        <v>599</v>
      </c>
      <c r="B198" t="s">
        <v>876</v>
      </c>
      <c r="C198">
        <v>1.5</v>
      </c>
      <c r="D198">
        <v>44.04185864645077</v>
      </c>
    </row>
    <row r="199" spans="1:4">
      <c r="A199" t="s">
        <v>601</v>
      </c>
      <c r="B199" t="s">
        <v>876</v>
      </c>
      <c r="C199">
        <v>1.5</v>
      </c>
      <c r="D199">
        <v>38.496162943856199</v>
      </c>
    </row>
    <row r="200" spans="1:4">
      <c r="A200" t="s">
        <v>603</v>
      </c>
      <c r="B200" t="s">
        <v>876</v>
      </c>
      <c r="C200">
        <v>1</v>
      </c>
      <c r="D200">
        <v>39.644051219192988</v>
      </c>
    </row>
    <row r="201" spans="1:4">
      <c r="A201" t="s">
        <v>605</v>
      </c>
      <c r="B201" t="s">
        <v>876</v>
      </c>
      <c r="C201">
        <v>1</v>
      </c>
      <c r="D201">
        <v>42.281082414479222</v>
      </c>
    </row>
    <row r="202" spans="1:4">
      <c r="A202" t="s">
        <v>877</v>
      </c>
      <c r="B202" t="s">
        <v>876</v>
      </c>
      <c r="C202">
        <v>1</v>
      </c>
      <c r="D202">
        <v>48.621380515445729</v>
      </c>
    </row>
    <row r="203" spans="1:4">
      <c r="A203" t="s">
        <v>609</v>
      </c>
      <c r="B203" t="s">
        <v>876</v>
      </c>
      <c r="C203">
        <v>2</v>
      </c>
      <c r="D203">
        <v>40.976538551197159</v>
      </c>
    </row>
    <row r="204" spans="1:4">
      <c r="A204" t="s">
        <v>611</v>
      </c>
      <c r="B204" t="s">
        <v>876</v>
      </c>
      <c r="C204">
        <v>2.5</v>
      </c>
      <c r="D204">
        <v>57.580456817176767</v>
      </c>
    </row>
    <row r="205" spans="1:4">
      <c r="A205" t="s">
        <v>613</v>
      </c>
      <c r="B205" t="s">
        <v>876</v>
      </c>
      <c r="C205">
        <v>2.5</v>
      </c>
      <c r="D205">
        <v>56.363322929020597</v>
      </c>
    </row>
    <row r="206" spans="1:4">
      <c r="A206" t="s">
        <v>878</v>
      </c>
      <c r="B206" t="s">
        <v>876</v>
      </c>
      <c r="C206">
        <v>2.5</v>
      </c>
      <c r="D206">
        <v>60.621699391231509</v>
      </c>
    </row>
    <row r="207" spans="1:4">
      <c r="A207" t="s">
        <v>879</v>
      </c>
      <c r="B207" t="s">
        <v>876</v>
      </c>
      <c r="C207">
        <v>2.5</v>
      </c>
      <c r="D207">
        <v>56.842515925417572</v>
      </c>
    </row>
    <row r="208" spans="1:4">
      <c r="A208" t="s">
        <v>880</v>
      </c>
      <c r="B208" t="s">
        <v>876</v>
      </c>
      <c r="C208">
        <v>2.5</v>
      </c>
      <c r="D208">
        <v>47.642543207127837</v>
      </c>
    </row>
    <row r="209" spans="1:4">
      <c r="A209" t="s">
        <v>620</v>
      </c>
      <c r="B209" t="s">
        <v>876</v>
      </c>
      <c r="C209">
        <v>2</v>
      </c>
      <c r="D209">
        <v>39.784332308126466</v>
      </c>
    </row>
    <row r="210" spans="1:4">
      <c r="A210" t="s">
        <v>622</v>
      </c>
      <c r="B210" t="s">
        <v>876</v>
      </c>
      <c r="C210">
        <v>3</v>
      </c>
      <c r="D210">
        <v>52.262616760183519</v>
      </c>
    </row>
    <row r="211" spans="1:4">
      <c r="A211" t="s">
        <v>623</v>
      </c>
      <c r="B211" t="s">
        <v>876</v>
      </c>
      <c r="C211">
        <v>3.5</v>
      </c>
      <c r="D211">
        <v>42.378612392121077</v>
      </c>
    </row>
    <row r="212" spans="1:4">
      <c r="A212" t="s">
        <v>625</v>
      </c>
      <c r="B212" t="s">
        <v>876</v>
      </c>
      <c r="C212">
        <v>3.5</v>
      </c>
      <c r="D212">
        <v>39.867241564239208</v>
      </c>
    </row>
    <row r="213" spans="1:4">
      <c r="A213" t="s">
        <v>627</v>
      </c>
      <c r="B213" t="s">
        <v>876</v>
      </c>
      <c r="C213">
        <v>3.5</v>
      </c>
      <c r="D213">
        <v>44.519999918142567</v>
      </c>
    </row>
    <row r="214" spans="1:4">
      <c r="A214" t="s">
        <v>629</v>
      </c>
      <c r="B214" t="s">
        <v>876</v>
      </c>
      <c r="C214">
        <v>3</v>
      </c>
      <c r="D214">
        <v>39.672296412306174</v>
      </c>
    </row>
    <row r="215" spans="1:4">
      <c r="A215" t="s">
        <v>631</v>
      </c>
      <c r="B215" t="s">
        <v>876</v>
      </c>
      <c r="C215">
        <v>3</v>
      </c>
      <c r="D215">
        <v>43.531639257784427</v>
      </c>
    </row>
    <row r="216" spans="1:4">
      <c r="A216" t="s">
        <v>632</v>
      </c>
      <c r="B216" t="s">
        <v>876</v>
      </c>
      <c r="C216">
        <v>3</v>
      </c>
      <c r="D216">
        <v>41.730772018172779</v>
      </c>
    </row>
    <row r="217" spans="1:4">
      <c r="A217" t="s">
        <v>634</v>
      </c>
      <c r="B217" t="s">
        <v>876</v>
      </c>
      <c r="C217">
        <v>4</v>
      </c>
      <c r="D217">
        <v>40.278167705330894</v>
      </c>
    </row>
    <row r="218" spans="1:4">
      <c r="A218" t="s">
        <v>636</v>
      </c>
      <c r="B218" t="s">
        <v>876</v>
      </c>
      <c r="C218">
        <v>4.5</v>
      </c>
      <c r="D218">
        <v>46.464171832133424</v>
      </c>
    </row>
    <row r="219" spans="1:4">
      <c r="A219" t="s">
        <v>638</v>
      </c>
      <c r="B219" t="s">
        <v>876</v>
      </c>
      <c r="C219">
        <v>4.5</v>
      </c>
      <c r="D219">
        <v>45.583704693140945</v>
      </c>
    </row>
    <row r="220" spans="1:4">
      <c r="A220" t="s">
        <v>640</v>
      </c>
      <c r="B220" t="s">
        <v>876</v>
      </c>
      <c r="C220">
        <v>4.5</v>
      </c>
      <c r="D220">
        <v>56.959334331113929</v>
      </c>
    </row>
    <row r="221" spans="1:4">
      <c r="A221" t="s">
        <v>644</v>
      </c>
      <c r="B221" t="s">
        <v>876</v>
      </c>
      <c r="C221">
        <v>4.5</v>
      </c>
      <c r="D221">
        <v>51.868325592066434</v>
      </c>
    </row>
    <row r="222" spans="1:4">
      <c r="A222" t="s">
        <v>646</v>
      </c>
      <c r="B222" t="s">
        <v>876</v>
      </c>
      <c r="C222">
        <v>4</v>
      </c>
      <c r="D222">
        <v>43.842088345210414</v>
      </c>
    </row>
    <row r="223" spans="1:4">
      <c r="A223" t="s">
        <v>881</v>
      </c>
      <c r="B223" t="s">
        <v>876</v>
      </c>
      <c r="C223">
        <v>4</v>
      </c>
      <c r="D223">
        <v>35.648019238581064</v>
      </c>
    </row>
    <row r="224" spans="1:4">
      <c r="A224" t="s">
        <v>651</v>
      </c>
      <c r="B224" t="s">
        <v>876</v>
      </c>
      <c r="C224">
        <v>5</v>
      </c>
      <c r="D224">
        <v>43.206203061409589</v>
      </c>
    </row>
    <row r="225" spans="1:4">
      <c r="A225" t="s">
        <v>653</v>
      </c>
      <c r="B225" t="s">
        <v>876</v>
      </c>
      <c r="C225">
        <v>5</v>
      </c>
      <c r="D225">
        <v>44.667329063148273</v>
      </c>
    </row>
    <row r="226" spans="1:4">
      <c r="A226" t="s">
        <v>655</v>
      </c>
      <c r="B226" t="s">
        <v>876</v>
      </c>
      <c r="C226">
        <v>5.5</v>
      </c>
      <c r="D226">
        <v>50.602963416155085</v>
      </c>
    </row>
    <row r="227" spans="1:4">
      <c r="A227" t="s">
        <v>657</v>
      </c>
      <c r="B227" t="s">
        <v>876</v>
      </c>
      <c r="C227">
        <v>5.5</v>
      </c>
      <c r="D227">
        <v>55.024722921344292</v>
      </c>
    </row>
    <row r="228" spans="1:4">
      <c r="A228" t="s">
        <v>659</v>
      </c>
      <c r="B228" t="s">
        <v>876</v>
      </c>
      <c r="C228">
        <v>5.5</v>
      </c>
      <c r="D228">
        <v>44.491917504922306</v>
      </c>
    </row>
    <row r="229" spans="1:4">
      <c r="A229" t="s">
        <v>661</v>
      </c>
      <c r="B229" t="s">
        <v>876</v>
      </c>
      <c r="C229">
        <v>5.5</v>
      </c>
      <c r="D229">
        <v>49.853702218550303</v>
      </c>
    </row>
    <row r="230" spans="1:4">
      <c r="A230" t="s">
        <v>663</v>
      </c>
      <c r="B230" t="s">
        <v>876</v>
      </c>
      <c r="C230">
        <v>5.5</v>
      </c>
      <c r="D230">
        <v>51.532349791807221</v>
      </c>
    </row>
    <row r="231" spans="1:4">
      <c r="A231" t="s">
        <v>665</v>
      </c>
      <c r="B231" t="s">
        <v>876</v>
      </c>
      <c r="C231">
        <v>6.5</v>
      </c>
      <c r="D231">
        <v>51.059792940478459</v>
      </c>
    </row>
    <row r="232" spans="1:4">
      <c r="A232" t="s">
        <v>666</v>
      </c>
      <c r="B232" t="s">
        <v>876</v>
      </c>
      <c r="C232">
        <v>6.5</v>
      </c>
      <c r="D232">
        <v>43.496114257611708</v>
      </c>
    </row>
    <row r="233" spans="1:4">
      <c r="A233" t="s">
        <v>668</v>
      </c>
      <c r="B233" t="s">
        <v>876</v>
      </c>
      <c r="C233">
        <v>6.5</v>
      </c>
      <c r="D233">
        <v>48.166865505003926</v>
      </c>
    </row>
    <row r="234" spans="1:4">
      <c r="A234" t="s">
        <v>669</v>
      </c>
      <c r="B234" t="s">
        <v>876</v>
      </c>
      <c r="C234">
        <v>6.5</v>
      </c>
      <c r="D234">
        <v>42.869715313217178</v>
      </c>
    </row>
    <row r="235" spans="1:4">
      <c r="A235" t="s">
        <v>671</v>
      </c>
      <c r="B235" t="s">
        <v>876</v>
      </c>
      <c r="C235">
        <v>6.5</v>
      </c>
      <c r="D235">
        <v>48.957603053860929</v>
      </c>
    </row>
    <row r="236" spans="1:4">
      <c r="A236" t="s">
        <v>673</v>
      </c>
      <c r="B236" t="s">
        <v>876</v>
      </c>
      <c r="C236">
        <v>8.5</v>
      </c>
      <c r="D236">
        <v>35.5149112434407</v>
      </c>
    </row>
    <row r="237" spans="1:4">
      <c r="A237" t="s">
        <v>675</v>
      </c>
      <c r="B237" t="s">
        <v>876</v>
      </c>
      <c r="C237">
        <v>8.5</v>
      </c>
      <c r="D237">
        <v>31.266051869642951</v>
      </c>
    </row>
    <row r="238" spans="1:4">
      <c r="A238" t="s">
        <v>677</v>
      </c>
      <c r="B238" t="s">
        <v>876</v>
      </c>
      <c r="C238">
        <v>8.5</v>
      </c>
      <c r="D238">
        <v>40.560282897370207</v>
      </c>
    </row>
    <row r="239" spans="1:4">
      <c r="A239" t="s">
        <v>679</v>
      </c>
      <c r="B239" t="s">
        <v>876</v>
      </c>
      <c r="C239">
        <v>9.5</v>
      </c>
      <c r="D239">
        <v>41.679239186262997</v>
      </c>
    </row>
    <row r="240" spans="1:4">
      <c r="A240" t="s">
        <v>681</v>
      </c>
      <c r="B240" t="s">
        <v>876</v>
      </c>
      <c r="C240">
        <v>9.5</v>
      </c>
      <c r="D240">
        <v>36.019703913194625</v>
      </c>
    </row>
    <row r="241" spans="1:4">
      <c r="A241" t="s">
        <v>683</v>
      </c>
      <c r="B241" t="s">
        <v>876</v>
      </c>
      <c r="C241">
        <v>9.5</v>
      </c>
      <c r="D241">
        <v>42.501927190452086</v>
      </c>
    </row>
    <row r="242" spans="1:4">
      <c r="A242" t="s">
        <v>688</v>
      </c>
      <c r="B242" t="s">
        <v>876</v>
      </c>
      <c r="C242">
        <v>10.5</v>
      </c>
      <c r="D242">
        <v>48.470668824036338</v>
      </c>
    </row>
    <row r="243" spans="1:4">
      <c r="A243" t="s">
        <v>690</v>
      </c>
      <c r="B243" t="s">
        <v>882</v>
      </c>
      <c r="C243">
        <v>1.5</v>
      </c>
      <c r="D243">
        <v>40.582952056895252</v>
      </c>
    </row>
    <row r="244" spans="1:4">
      <c r="A244" t="s">
        <v>692</v>
      </c>
      <c r="B244" t="s">
        <v>882</v>
      </c>
      <c r="C244">
        <v>1.5</v>
      </c>
      <c r="D244">
        <v>43.310099720529401</v>
      </c>
    </row>
    <row r="245" spans="1:4">
      <c r="A245" t="s">
        <v>694</v>
      </c>
      <c r="B245" t="s">
        <v>882</v>
      </c>
      <c r="C245">
        <v>0</v>
      </c>
      <c r="D245">
        <v>36.49042855882896</v>
      </c>
    </row>
    <row r="246" spans="1:4">
      <c r="A246" t="s">
        <v>696</v>
      </c>
      <c r="B246" t="s">
        <v>882</v>
      </c>
      <c r="C246">
        <v>0</v>
      </c>
      <c r="D246">
        <v>44.799186875132136</v>
      </c>
    </row>
    <row r="247" spans="1:4">
      <c r="A247" t="s">
        <v>698</v>
      </c>
      <c r="B247" t="s">
        <v>882</v>
      </c>
      <c r="C247">
        <v>0</v>
      </c>
      <c r="D247">
        <v>40.921940663984557</v>
      </c>
    </row>
    <row r="248" spans="1:4">
      <c r="A248" t="s">
        <v>700</v>
      </c>
      <c r="B248" t="s">
        <v>882</v>
      </c>
      <c r="C248">
        <v>5</v>
      </c>
      <c r="D248">
        <v>32.516895989165789</v>
      </c>
    </row>
    <row r="249" spans="1:4">
      <c r="A249" t="s">
        <v>702</v>
      </c>
      <c r="B249" t="s">
        <v>882</v>
      </c>
      <c r="C249">
        <v>0.5</v>
      </c>
      <c r="D249">
        <v>30.024403342125979</v>
      </c>
    </row>
    <row r="250" spans="1:4">
      <c r="A250" t="s">
        <v>706</v>
      </c>
      <c r="B250" t="s">
        <v>882</v>
      </c>
      <c r="C250">
        <v>1</v>
      </c>
      <c r="D250">
        <v>38.395617293185964</v>
      </c>
    </row>
    <row r="251" spans="1:4">
      <c r="A251" t="s">
        <v>708</v>
      </c>
      <c r="B251" t="s">
        <v>882</v>
      </c>
      <c r="C251">
        <v>2</v>
      </c>
      <c r="D251">
        <v>36.03728242000161</v>
      </c>
    </row>
    <row r="252" spans="1:4">
      <c r="A252" t="s">
        <v>710</v>
      </c>
      <c r="B252" t="s">
        <v>882</v>
      </c>
      <c r="C252">
        <v>2.5</v>
      </c>
      <c r="D252">
        <v>43.66675485634191</v>
      </c>
    </row>
    <row r="253" spans="1:4">
      <c r="A253" t="s">
        <v>711</v>
      </c>
      <c r="B253" t="s">
        <v>882</v>
      </c>
      <c r="C253">
        <v>2.5</v>
      </c>
      <c r="D253">
        <v>33.830906821140118</v>
      </c>
    </row>
    <row r="254" spans="1:4">
      <c r="A254" t="s">
        <v>719</v>
      </c>
      <c r="B254" t="s">
        <v>882</v>
      </c>
      <c r="C254">
        <v>3</v>
      </c>
      <c r="D254">
        <v>53.632049777632837</v>
      </c>
    </row>
    <row r="255" spans="1:4">
      <c r="A255" t="s">
        <v>721</v>
      </c>
      <c r="B255" t="s">
        <v>882</v>
      </c>
      <c r="C255">
        <v>3</v>
      </c>
      <c r="D255">
        <v>52.932773599949442</v>
      </c>
    </row>
    <row r="256" spans="1:4">
      <c r="A256" t="s">
        <v>722</v>
      </c>
      <c r="B256" t="s">
        <v>882</v>
      </c>
      <c r="C256">
        <v>4</v>
      </c>
      <c r="D256">
        <v>42.591210217502756</v>
      </c>
    </row>
    <row r="257" spans="1:4">
      <c r="A257" t="s">
        <v>728</v>
      </c>
      <c r="B257" t="s">
        <v>882</v>
      </c>
      <c r="C257">
        <v>4.5</v>
      </c>
      <c r="D257">
        <v>38.990580417872764</v>
      </c>
    </row>
    <row r="258" spans="1:4">
      <c r="A258" t="s">
        <v>730</v>
      </c>
      <c r="B258" t="s">
        <v>882</v>
      </c>
      <c r="C258">
        <v>4.5</v>
      </c>
      <c r="D258">
        <v>38.705534255003919</v>
      </c>
    </row>
    <row r="259" spans="1:4">
      <c r="A259" t="s">
        <v>732</v>
      </c>
      <c r="B259" t="s">
        <v>882</v>
      </c>
      <c r="C259">
        <v>4</v>
      </c>
      <c r="D259">
        <v>45.776780639875369</v>
      </c>
    </row>
    <row r="260" spans="1:4">
      <c r="A260" t="s">
        <v>734</v>
      </c>
      <c r="B260" t="s">
        <v>882</v>
      </c>
      <c r="C260">
        <v>4</v>
      </c>
      <c r="D260">
        <v>41.933879482920169</v>
      </c>
    </row>
    <row r="261" spans="1:4">
      <c r="A261" t="s">
        <v>736</v>
      </c>
      <c r="B261" t="s">
        <v>882</v>
      </c>
      <c r="C261">
        <v>5</v>
      </c>
      <c r="D261">
        <v>42.699012859721869</v>
      </c>
    </row>
    <row r="262" spans="1:4">
      <c r="A262" t="s">
        <v>738</v>
      </c>
      <c r="B262" t="s">
        <v>882</v>
      </c>
      <c r="C262">
        <v>5</v>
      </c>
      <c r="D262">
        <v>45.544240114494443</v>
      </c>
    </row>
    <row r="263" spans="1:4">
      <c r="A263" t="s">
        <v>740</v>
      </c>
      <c r="B263" t="s">
        <v>882</v>
      </c>
      <c r="C263">
        <v>5</v>
      </c>
      <c r="D263">
        <v>39.08925614092265</v>
      </c>
    </row>
    <row r="264" spans="1:4">
      <c r="A264" t="s">
        <v>742</v>
      </c>
      <c r="B264" t="s">
        <v>882</v>
      </c>
      <c r="C264">
        <v>6</v>
      </c>
      <c r="D264">
        <v>39.597124345524108</v>
      </c>
    </row>
    <row r="265" spans="1:4">
      <c r="A265" t="s">
        <v>744</v>
      </c>
      <c r="B265" t="s">
        <v>882</v>
      </c>
      <c r="C265">
        <v>6</v>
      </c>
      <c r="D265">
        <v>45.588833049141222</v>
      </c>
    </row>
    <row r="266" spans="1:4">
      <c r="A266" t="s">
        <v>746</v>
      </c>
      <c r="B266" t="s">
        <v>882</v>
      </c>
      <c r="C266">
        <v>6</v>
      </c>
      <c r="D266">
        <v>44.475393568998172</v>
      </c>
    </row>
    <row r="267" spans="1:4">
      <c r="A267" t="s">
        <v>748</v>
      </c>
      <c r="B267" t="s">
        <v>882</v>
      </c>
      <c r="C267">
        <v>6.5</v>
      </c>
      <c r="D267">
        <v>52.572775554118145</v>
      </c>
    </row>
    <row r="268" spans="1:4">
      <c r="A268" t="s">
        <v>750</v>
      </c>
      <c r="B268" t="s">
        <v>882</v>
      </c>
      <c r="C268">
        <v>6.5</v>
      </c>
      <c r="D268">
        <v>45.519565009808872</v>
      </c>
    </row>
    <row r="269" spans="1:4">
      <c r="A269" t="s">
        <v>752</v>
      </c>
      <c r="B269" t="s">
        <v>882</v>
      </c>
      <c r="C269">
        <v>7</v>
      </c>
      <c r="D269">
        <v>51.063914589141717</v>
      </c>
    </row>
    <row r="270" spans="1:4">
      <c r="A270" t="s">
        <v>754</v>
      </c>
      <c r="B270" t="s">
        <v>882</v>
      </c>
      <c r="C270">
        <v>7</v>
      </c>
      <c r="D270">
        <v>44.148176602144609</v>
      </c>
    </row>
    <row r="271" spans="1:4">
      <c r="A271" t="s">
        <v>758</v>
      </c>
      <c r="B271" t="s">
        <v>882</v>
      </c>
      <c r="C271">
        <v>7</v>
      </c>
      <c r="D271">
        <v>43.231462885455237</v>
      </c>
    </row>
    <row r="272" spans="1:4">
      <c r="A272" t="s">
        <v>759</v>
      </c>
      <c r="B272" t="s">
        <v>882</v>
      </c>
      <c r="C272">
        <v>8</v>
      </c>
      <c r="D272">
        <v>37.000270152044962</v>
      </c>
    </row>
    <row r="273" spans="1:4">
      <c r="A273" t="s">
        <v>760</v>
      </c>
      <c r="B273" t="s">
        <v>882</v>
      </c>
      <c r="C273">
        <v>8</v>
      </c>
      <c r="D273">
        <v>41.824749257260585</v>
      </c>
    </row>
    <row r="274" spans="1:4">
      <c r="A274" t="s">
        <v>762</v>
      </c>
      <c r="B274" t="s">
        <v>882</v>
      </c>
      <c r="C274">
        <v>1.5</v>
      </c>
      <c r="D274">
        <v>42.611174242555713</v>
      </c>
    </row>
    <row r="275" spans="1:4">
      <c r="A275" t="s">
        <v>764</v>
      </c>
      <c r="B275" t="s">
        <v>883</v>
      </c>
      <c r="C275">
        <v>9</v>
      </c>
      <c r="D275">
        <v>41.520899222869701</v>
      </c>
    </row>
    <row r="276" spans="1:4">
      <c r="A276" t="s">
        <v>766</v>
      </c>
      <c r="B276" t="s">
        <v>883</v>
      </c>
      <c r="C276">
        <v>0.5</v>
      </c>
      <c r="D276">
        <v>49.178158226243482</v>
      </c>
    </row>
    <row r="277" spans="1:4">
      <c r="A277" t="s">
        <v>768</v>
      </c>
      <c r="B277" t="s">
        <v>883</v>
      </c>
      <c r="C277">
        <v>0.5</v>
      </c>
      <c r="D277">
        <v>43.126183494032418</v>
      </c>
    </row>
    <row r="278" spans="1:4">
      <c r="A278" t="s">
        <v>770</v>
      </c>
      <c r="B278" t="s">
        <v>883</v>
      </c>
      <c r="C278">
        <v>0.5</v>
      </c>
      <c r="D278">
        <v>44.589650551840762</v>
      </c>
    </row>
    <row r="279" spans="1:4">
      <c r="A279" t="s">
        <v>772</v>
      </c>
      <c r="B279" t="s">
        <v>883</v>
      </c>
      <c r="C279">
        <v>1.5</v>
      </c>
      <c r="D279">
        <v>41.860098435052343</v>
      </c>
    </row>
    <row r="280" spans="1:4">
      <c r="A280" t="s">
        <v>774</v>
      </c>
      <c r="B280" t="s">
        <v>883</v>
      </c>
      <c r="C280">
        <v>1.5</v>
      </c>
      <c r="D280">
        <v>41.025589543919928</v>
      </c>
    </row>
    <row r="281" spans="1:4">
      <c r="A281" t="s">
        <v>776</v>
      </c>
      <c r="B281" t="s">
        <v>883</v>
      </c>
      <c r="C281">
        <v>1.5</v>
      </c>
      <c r="D281">
        <v>43.627283181546481</v>
      </c>
    </row>
    <row r="282" spans="1:4">
      <c r="A282" t="s">
        <v>778</v>
      </c>
      <c r="B282" t="s">
        <v>883</v>
      </c>
      <c r="C282">
        <v>1.5</v>
      </c>
      <c r="D282">
        <v>40.925216760809938</v>
      </c>
    </row>
    <row r="283" spans="1:4">
      <c r="A283" t="s">
        <v>780</v>
      </c>
      <c r="B283" t="s">
        <v>883</v>
      </c>
      <c r="C283">
        <v>2</v>
      </c>
      <c r="D283">
        <v>47.029380789333793</v>
      </c>
    </row>
    <row r="284" spans="1:4">
      <c r="A284" t="s">
        <v>784</v>
      </c>
      <c r="B284" t="s">
        <v>883</v>
      </c>
      <c r="C284">
        <v>2</v>
      </c>
      <c r="D284">
        <v>42.99409121906406</v>
      </c>
    </row>
    <row r="285" spans="1:4">
      <c r="A285" t="s">
        <v>786</v>
      </c>
      <c r="B285" t="s">
        <v>883</v>
      </c>
      <c r="C285">
        <v>2.5</v>
      </c>
      <c r="D285">
        <v>44.610574113997544</v>
      </c>
    </row>
    <row r="286" spans="1:4">
      <c r="A286" t="s">
        <v>788</v>
      </c>
      <c r="B286" t="s">
        <v>883</v>
      </c>
      <c r="C286">
        <v>2.5</v>
      </c>
      <c r="D286">
        <v>45.439020727998077</v>
      </c>
    </row>
    <row r="287" spans="1:4">
      <c r="A287" t="s">
        <v>790</v>
      </c>
      <c r="B287" t="s">
        <v>883</v>
      </c>
      <c r="C287">
        <v>3.5</v>
      </c>
      <c r="D287">
        <v>42.171848992308426</v>
      </c>
    </row>
    <row r="288" spans="1:4">
      <c r="A288" t="s">
        <v>792</v>
      </c>
      <c r="B288" t="s">
        <v>883</v>
      </c>
      <c r="C288">
        <v>3.5</v>
      </c>
      <c r="D288">
        <v>47.151017427764209</v>
      </c>
    </row>
    <row r="289" spans="1:4">
      <c r="A289" t="s">
        <v>794</v>
      </c>
      <c r="B289" t="s">
        <v>883</v>
      </c>
      <c r="C289">
        <v>3.5</v>
      </c>
      <c r="D289">
        <v>47.054721259055469</v>
      </c>
    </row>
    <row r="290" spans="1:4">
      <c r="A290" t="s">
        <v>796</v>
      </c>
      <c r="B290" t="s">
        <v>883</v>
      </c>
      <c r="C290">
        <v>4</v>
      </c>
      <c r="D290">
        <v>45.724525616874168</v>
      </c>
    </row>
    <row r="291" spans="1:4">
      <c r="A291" t="s">
        <v>798</v>
      </c>
      <c r="B291" t="s">
        <v>883</v>
      </c>
      <c r="C291">
        <v>5</v>
      </c>
      <c r="D291">
        <v>43.100223518599854</v>
      </c>
    </row>
    <row r="292" spans="1:4">
      <c r="A292" t="s">
        <v>802</v>
      </c>
      <c r="B292" t="s">
        <v>883</v>
      </c>
      <c r="C292">
        <v>5</v>
      </c>
      <c r="D292">
        <v>47.076511546638514</v>
      </c>
    </row>
    <row r="293" spans="1:4">
      <c r="A293" t="s">
        <v>804</v>
      </c>
      <c r="B293" t="s">
        <v>883</v>
      </c>
      <c r="C293">
        <v>5.5</v>
      </c>
      <c r="D293">
        <v>38.943599684450355</v>
      </c>
    </row>
    <row r="294" spans="1:4">
      <c r="A294" t="s">
        <v>806</v>
      </c>
      <c r="B294" t="s">
        <v>883</v>
      </c>
      <c r="C294">
        <v>5.5</v>
      </c>
      <c r="D294">
        <v>41.524757954703311</v>
      </c>
    </row>
    <row r="295" spans="1:4">
      <c r="A295" t="s">
        <v>808</v>
      </c>
      <c r="B295" t="s">
        <v>883</v>
      </c>
      <c r="C295">
        <v>5.5</v>
      </c>
      <c r="D295">
        <v>45.881880962490591</v>
      </c>
    </row>
    <row r="296" spans="1:4">
      <c r="A296" t="s">
        <v>810</v>
      </c>
      <c r="B296" t="s">
        <v>883</v>
      </c>
      <c r="C296">
        <v>6</v>
      </c>
      <c r="D296">
        <v>51.136473664850371</v>
      </c>
    </row>
    <row r="297" spans="1:4">
      <c r="A297" t="s">
        <v>811</v>
      </c>
      <c r="B297" t="s">
        <v>883</v>
      </c>
      <c r="C297">
        <v>6</v>
      </c>
      <c r="D297">
        <v>40.765795021691417</v>
      </c>
    </row>
    <row r="298" spans="1:4">
      <c r="A298" t="s">
        <v>813</v>
      </c>
      <c r="B298" t="s">
        <v>883</v>
      </c>
      <c r="C298">
        <v>6</v>
      </c>
      <c r="D298">
        <v>55.276265882946198</v>
      </c>
    </row>
    <row r="299" spans="1:4">
      <c r="A299" t="s">
        <v>815</v>
      </c>
      <c r="B299" t="s">
        <v>883</v>
      </c>
      <c r="C299">
        <v>6.5</v>
      </c>
      <c r="D299">
        <v>37.537069618067825</v>
      </c>
    </row>
    <row r="300" spans="1:4">
      <c r="A300" t="s">
        <v>819</v>
      </c>
      <c r="B300" t="s">
        <v>883</v>
      </c>
      <c r="C300">
        <v>6.5</v>
      </c>
      <c r="D300">
        <v>40.10739856794968</v>
      </c>
    </row>
    <row r="301" spans="1:4">
      <c r="A301" t="s">
        <v>821</v>
      </c>
      <c r="B301" t="s">
        <v>883</v>
      </c>
      <c r="C301">
        <v>7</v>
      </c>
      <c r="D301">
        <v>49.844970047534829</v>
      </c>
    </row>
    <row r="302" spans="1:4">
      <c r="A302" t="s">
        <v>825</v>
      </c>
      <c r="B302" t="s">
        <v>883</v>
      </c>
      <c r="C302">
        <v>7.5</v>
      </c>
      <c r="D302">
        <v>41.133311633987823</v>
      </c>
    </row>
    <row r="303" spans="1:4">
      <c r="A303" t="s">
        <v>827</v>
      </c>
      <c r="B303" t="s">
        <v>883</v>
      </c>
      <c r="C303">
        <v>7.5</v>
      </c>
      <c r="D303">
        <v>42.568166346166947</v>
      </c>
    </row>
    <row r="304" spans="1:4">
      <c r="A304" t="s">
        <v>829</v>
      </c>
      <c r="B304" t="s">
        <v>883</v>
      </c>
      <c r="C304">
        <v>7.5</v>
      </c>
      <c r="D304">
        <v>49.734377188880259</v>
      </c>
    </row>
    <row r="305" spans="1:4">
      <c r="A305" t="s">
        <v>831</v>
      </c>
      <c r="B305" t="s">
        <v>883</v>
      </c>
      <c r="C305">
        <v>8</v>
      </c>
      <c r="D305">
        <v>45.254768348468872</v>
      </c>
    </row>
    <row r="306" spans="1:4">
      <c r="A306" t="s">
        <v>833</v>
      </c>
      <c r="B306" t="s">
        <v>883</v>
      </c>
      <c r="C306">
        <v>8</v>
      </c>
      <c r="D306">
        <v>44.153696902980997</v>
      </c>
    </row>
    <row r="307" spans="1:4">
      <c r="A307" t="s">
        <v>835</v>
      </c>
      <c r="B307" t="s">
        <v>883</v>
      </c>
      <c r="C307">
        <v>8</v>
      </c>
      <c r="D307">
        <v>44.826911316960725</v>
      </c>
    </row>
    <row r="308" spans="1:4">
      <c r="A308" t="s">
        <v>837</v>
      </c>
      <c r="B308" t="s">
        <v>883</v>
      </c>
      <c r="C308">
        <v>9</v>
      </c>
      <c r="D308">
        <v>39.794790759560456</v>
      </c>
    </row>
    <row r="309" spans="1:4">
      <c r="A309" t="s">
        <v>839</v>
      </c>
      <c r="B309" t="s">
        <v>883</v>
      </c>
      <c r="C309">
        <v>9.5</v>
      </c>
      <c r="D309">
        <v>45.490294676383307</v>
      </c>
    </row>
    <row r="310" spans="1:4">
      <c r="A310" t="s">
        <v>841</v>
      </c>
      <c r="B310" t="s">
        <v>883</v>
      </c>
      <c r="C310">
        <v>9.5</v>
      </c>
      <c r="D310">
        <v>40.827623585255928</v>
      </c>
    </row>
    <row r="311" spans="1:4">
      <c r="A311" t="s">
        <v>843</v>
      </c>
      <c r="B311" t="s">
        <v>883</v>
      </c>
      <c r="C311">
        <v>9.5</v>
      </c>
      <c r="D311">
        <v>41.731937600497517</v>
      </c>
    </row>
    <row r="312" spans="1:4">
      <c r="A312" t="s">
        <v>845</v>
      </c>
      <c r="B312" t="s">
        <v>883</v>
      </c>
      <c r="C312">
        <v>10.5</v>
      </c>
      <c r="D312">
        <v>44.438127735540498</v>
      </c>
    </row>
    <row r="313" spans="1:4">
      <c r="A313" t="s">
        <v>847</v>
      </c>
      <c r="B313" t="s">
        <v>883</v>
      </c>
      <c r="C313">
        <v>10.5</v>
      </c>
      <c r="D313">
        <v>42.427714699957612</v>
      </c>
    </row>
    <row r="314" spans="1:4">
      <c r="A314" t="s">
        <v>849</v>
      </c>
      <c r="B314" t="s">
        <v>883</v>
      </c>
      <c r="C314">
        <v>10.5</v>
      </c>
      <c r="D314">
        <v>42.136829891668683</v>
      </c>
    </row>
    <row r="315" spans="1:4">
      <c r="A315" t="s">
        <v>884</v>
      </c>
      <c r="B315" t="s">
        <v>883</v>
      </c>
      <c r="C315">
        <v>7</v>
      </c>
      <c r="D315">
        <v>37.767581320770113</v>
      </c>
    </row>
    <row r="316" spans="1:4">
      <c r="A316" t="s">
        <v>456</v>
      </c>
      <c r="B316" t="s">
        <v>855</v>
      </c>
      <c r="C316">
        <v>2</v>
      </c>
      <c r="D316">
        <v>27.594234378829789</v>
      </c>
    </row>
    <row r="317" spans="1:4">
      <c r="A317" t="s">
        <v>458</v>
      </c>
      <c r="B317" t="s">
        <v>855</v>
      </c>
      <c r="C317">
        <v>1.5</v>
      </c>
      <c r="D317">
        <v>33.947030358157456</v>
      </c>
    </row>
    <row r="318" spans="1:4">
      <c r="A318" t="s">
        <v>460</v>
      </c>
      <c r="B318" t="s">
        <v>855</v>
      </c>
      <c r="C318">
        <v>1.5</v>
      </c>
      <c r="D318">
        <v>35.20744787514154</v>
      </c>
    </row>
    <row r="319" spans="1:4">
      <c r="A319" t="s">
        <v>462</v>
      </c>
      <c r="B319" t="s">
        <v>855</v>
      </c>
      <c r="C319">
        <v>1</v>
      </c>
      <c r="D319">
        <v>38.851183991918482</v>
      </c>
    </row>
    <row r="320" spans="1:4">
      <c r="A320" t="s">
        <v>463</v>
      </c>
      <c r="B320" t="s">
        <v>855</v>
      </c>
      <c r="C320">
        <v>1</v>
      </c>
      <c r="D320">
        <v>40.719480406329836</v>
      </c>
    </row>
    <row r="321" spans="1:4">
      <c r="A321" t="s">
        <v>465</v>
      </c>
      <c r="B321" t="s">
        <v>855</v>
      </c>
      <c r="C321">
        <v>2</v>
      </c>
      <c r="D321">
        <v>34.579435623870538</v>
      </c>
    </row>
    <row r="322" spans="1:4">
      <c r="A322" t="s">
        <v>475</v>
      </c>
      <c r="B322" t="s">
        <v>855</v>
      </c>
      <c r="C322">
        <v>5.5</v>
      </c>
      <c r="D322">
        <v>34.079706152370946</v>
      </c>
    </row>
    <row r="323" spans="1:4">
      <c r="A323" t="s">
        <v>477</v>
      </c>
      <c r="B323" t="s">
        <v>855</v>
      </c>
      <c r="C323">
        <v>5.5</v>
      </c>
      <c r="D323">
        <v>46.351283773383969</v>
      </c>
    </row>
    <row r="324" spans="1:4">
      <c r="A324" s="3" t="s">
        <v>481</v>
      </c>
      <c r="B324" s="3" t="s">
        <v>855</v>
      </c>
      <c r="C324" s="3">
        <v>5.5</v>
      </c>
      <c r="D324" s="3">
        <v>226.99201973701989</v>
      </c>
    </row>
    <row r="325" spans="1:4">
      <c r="A325" s="3" t="s">
        <v>483</v>
      </c>
      <c r="B325" s="3" t="s">
        <v>855</v>
      </c>
      <c r="C325" s="3">
        <v>5.5</v>
      </c>
      <c r="D325" s="3">
        <v>-192.23732781827252</v>
      </c>
    </row>
    <row r="326" spans="1:4">
      <c r="A326" t="s">
        <v>487</v>
      </c>
      <c r="B326" t="s">
        <v>855</v>
      </c>
      <c r="C326">
        <v>6.5</v>
      </c>
      <c r="D326">
        <v>25.497205634383707</v>
      </c>
    </row>
    <row r="327" spans="1:4">
      <c r="A327" t="s">
        <v>489</v>
      </c>
      <c r="B327" t="s">
        <v>855</v>
      </c>
      <c r="C327">
        <v>0</v>
      </c>
      <c r="D327">
        <v>22.859078728648505</v>
      </c>
    </row>
    <row r="328" spans="1:4">
      <c r="A328" t="s">
        <v>493</v>
      </c>
      <c r="B328" t="s">
        <v>855</v>
      </c>
      <c r="C328">
        <v>0</v>
      </c>
      <c r="D328">
        <v>29.5009455624757</v>
      </c>
    </row>
    <row r="329" spans="1:4">
      <c r="A329" t="s">
        <v>495</v>
      </c>
      <c r="B329" t="s">
        <v>855</v>
      </c>
      <c r="C329">
        <v>0</v>
      </c>
      <c r="D329">
        <v>30.502950228644707</v>
      </c>
    </row>
    <row r="330" spans="1:4">
      <c r="A330" t="s">
        <v>497</v>
      </c>
      <c r="B330" t="s">
        <v>855</v>
      </c>
      <c r="C330">
        <v>0.5</v>
      </c>
      <c r="D330">
        <v>39.42415469991527</v>
      </c>
    </row>
    <row r="331" spans="1:4">
      <c r="A331" t="s">
        <v>499</v>
      </c>
      <c r="B331" t="s">
        <v>855</v>
      </c>
      <c r="C331">
        <v>0.5</v>
      </c>
      <c r="D331">
        <v>28.844095830962331</v>
      </c>
    </row>
    <row r="332" spans="1:4">
      <c r="A332" t="s">
        <v>501</v>
      </c>
      <c r="B332" t="s">
        <v>855</v>
      </c>
      <c r="C332">
        <v>0.5</v>
      </c>
      <c r="D332">
        <v>21.377737019241859</v>
      </c>
    </row>
    <row r="333" spans="1:4">
      <c r="A333" t="s">
        <v>503</v>
      </c>
      <c r="B333" t="s">
        <v>855</v>
      </c>
      <c r="C333">
        <v>1</v>
      </c>
      <c r="D333">
        <v>36.224792518671173</v>
      </c>
    </row>
    <row r="334" spans="1:4">
      <c r="A334" t="s">
        <v>507</v>
      </c>
      <c r="B334" t="s">
        <v>855</v>
      </c>
      <c r="C334">
        <v>1.5</v>
      </c>
      <c r="D334">
        <v>29.100288333871799</v>
      </c>
    </row>
    <row r="335" spans="1:4">
      <c r="A335" t="s">
        <v>511</v>
      </c>
      <c r="B335" t="s">
        <v>855</v>
      </c>
      <c r="C335">
        <v>1.5</v>
      </c>
      <c r="D335">
        <v>23.493899575693543</v>
      </c>
    </row>
    <row r="336" spans="1:4">
      <c r="A336" t="s">
        <v>515</v>
      </c>
      <c r="B336" t="s">
        <v>855</v>
      </c>
      <c r="C336">
        <v>1</v>
      </c>
      <c r="D336">
        <v>40.793786384205966</v>
      </c>
    </row>
    <row r="337" spans="1:4">
      <c r="A337" t="s">
        <v>885</v>
      </c>
      <c r="B337" t="s">
        <v>855</v>
      </c>
      <c r="C337">
        <v>2</v>
      </c>
      <c r="D337">
        <v>35.757120610667783</v>
      </c>
    </row>
    <row r="338" spans="1:4">
      <c r="A338" t="s">
        <v>519</v>
      </c>
      <c r="B338" t="s">
        <v>855</v>
      </c>
      <c r="C338">
        <v>2</v>
      </c>
      <c r="D338">
        <v>30.175925108167458</v>
      </c>
    </row>
    <row r="339" spans="1:4">
      <c r="A339" t="s">
        <v>521</v>
      </c>
      <c r="B339" t="s">
        <v>855</v>
      </c>
      <c r="C339">
        <v>2</v>
      </c>
      <c r="D339">
        <v>21.481067757319298</v>
      </c>
    </row>
    <row r="340" spans="1:4">
      <c r="A340" t="s">
        <v>525</v>
      </c>
      <c r="B340" t="s">
        <v>855</v>
      </c>
      <c r="C340">
        <v>2.5</v>
      </c>
      <c r="D340">
        <v>33.978913142585519</v>
      </c>
    </row>
    <row r="341" spans="1:4">
      <c r="A341" t="s">
        <v>886</v>
      </c>
      <c r="B341" t="s">
        <v>855</v>
      </c>
      <c r="C341">
        <v>2.5</v>
      </c>
      <c r="D341">
        <v>37.643139609669156</v>
      </c>
    </row>
    <row r="342" spans="1:4">
      <c r="A342" t="s">
        <v>531</v>
      </c>
      <c r="B342" t="s">
        <v>855</v>
      </c>
      <c r="C342">
        <v>2.5</v>
      </c>
      <c r="D342">
        <v>26.889335603056999</v>
      </c>
    </row>
    <row r="343" spans="1:4">
      <c r="A343" t="s">
        <v>533</v>
      </c>
      <c r="B343" t="s">
        <v>855</v>
      </c>
      <c r="C343">
        <v>2.5</v>
      </c>
      <c r="D343">
        <v>37.524130620942636</v>
      </c>
    </row>
    <row r="344" spans="1:4">
      <c r="A344" t="s">
        <v>535</v>
      </c>
      <c r="B344" t="s">
        <v>855</v>
      </c>
      <c r="C344">
        <v>2</v>
      </c>
      <c r="D344">
        <v>25.294264000122034</v>
      </c>
    </row>
    <row r="345" spans="1:4">
      <c r="A345" t="s">
        <v>537</v>
      </c>
      <c r="B345" t="s">
        <v>855</v>
      </c>
      <c r="C345">
        <v>3</v>
      </c>
      <c r="D345">
        <v>38.437757235798877</v>
      </c>
    </row>
    <row r="346" spans="1:4">
      <c r="A346" t="s">
        <v>539</v>
      </c>
      <c r="B346" t="s">
        <v>855</v>
      </c>
      <c r="C346">
        <v>3</v>
      </c>
      <c r="D346">
        <v>35.940948708986319</v>
      </c>
    </row>
    <row r="347" spans="1:4">
      <c r="A347" t="s">
        <v>541</v>
      </c>
      <c r="B347" t="s">
        <v>855</v>
      </c>
      <c r="C347">
        <v>3</v>
      </c>
      <c r="D347">
        <v>27.994857214580129</v>
      </c>
    </row>
    <row r="348" spans="1:4">
      <c r="A348" t="s">
        <v>543</v>
      </c>
      <c r="B348" t="s">
        <v>855</v>
      </c>
      <c r="C348">
        <v>3.5</v>
      </c>
      <c r="D348">
        <v>43.780854636806531</v>
      </c>
    </row>
    <row r="349" spans="1:4">
      <c r="A349" t="s">
        <v>545</v>
      </c>
      <c r="B349" t="s">
        <v>855</v>
      </c>
      <c r="C349">
        <v>3.5</v>
      </c>
      <c r="D349">
        <v>43.090309239417692</v>
      </c>
    </row>
    <row r="350" spans="1:4">
      <c r="A350" t="s">
        <v>547</v>
      </c>
      <c r="B350" t="s">
        <v>855</v>
      </c>
      <c r="C350">
        <v>3.5</v>
      </c>
      <c r="D350">
        <v>38.14464020084386</v>
      </c>
    </row>
    <row r="351" spans="1:4">
      <c r="A351" t="s">
        <v>549</v>
      </c>
      <c r="B351" t="s">
        <v>855</v>
      </c>
      <c r="C351">
        <v>3.5</v>
      </c>
      <c r="D351">
        <v>46.440996390970668</v>
      </c>
    </row>
    <row r="352" spans="1:4">
      <c r="A352" t="s">
        <v>551</v>
      </c>
      <c r="B352" t="s">
        <v>855</v>
      </c>
      <c r="C352">
        <v>3.5</v>
      </c>
      <c r="D352">
        <v>44.738956978093498</v>
      </c>
    </row>
    <row r="353" spans="1:4">
      <c r="A353" t="s">
        <v>553</v>
      </c>
      <c r="B353" t="s">
        <v>855</v>
      </c>
      <c r="C353">
        <v>3</v>
      </c>
      <c r="D353">
        <v>26.817416877185789</v>
      </c>
    </row>
    <row r="354" spans="1:4">
      <c r="A354" t="s">
        <v>557</v>
      </c>
      <c r="B354" t="s">
        <v>855</v>
      </c>
      <c r="C354">
        <v>4.5</v>
      </c>
      <c r="D354">
        <v>31.577368105097815</v>
      </c>
    </row>
    <row r="355" spans="1:4">
      <c r="A355" t="s">
        <v>563</v>
      </c>
      <c r="B355" t="s">
        <v>855</v>
      </c>
      <c r="C355">
        <v>4.5</v>
      </c>
      <c r="D355">
        <v>31.577368105097815</v>
      </c>
    </row>
    <row r="356" spans="1:4">
      <c r="A356" t="s">
        <v>564</v>
      </c>
      <c r="B356" t="s">
        <v>855</v>
      </c>
      <c r="C356">
        <v>4.5</v>
      </c>
      <c r="D356">
        <v>27.629030713096302</v>
      </c>
    </row>
    <row r="357" spans="1:4">
      <c r="A357" t="s">
        <v>566</v>
      </c>
      <c r="B357" t="s">
        <v>855</v>
      </c>
      <c r="C357">
        <v>4.5</v>
      </c>
      <c r="D357">
        <v>39.139891626768147</v>
      </c>
    </row>
    <row r="358" spans="1:4">
      <c r="A358" t="s">
        <v>568</v>
      </c>
      <c r="B358" t="s">
        <v>855</v>
      </c>
      <c r="C358">
        <v>4.5</v>
      </c>
      <c r="D358">
        <v>35.10560444762276</v>
      </c>
    </row>
    <row r="359" spans="1:4">
      <c r="A359" t="s">
        <v>570</v>
      </c>
      <c r="B359" t="s">
        <v>855</v>
      </c>
      <c r="C359">
        <v>5</v>
      </c>
      <c r="D359">
        <v>36.865289023007712</v>
      </c>
    </row>
    <row r="360" spans="1:4">
      <c r="A360" t="s">
        <v>571</v>
      </c>
      <c r="B360" t="s">
        <v>855</v>
      </c>
      <c r="C360">
        <v>5</v>
      </c>
      <c r="D360">
        <v>29.198861889410388</v>
      </c>
    </row>
    <row r="361" spans="1:4">
      <c r="A361" t="s">
        <v>573</v>
      </c>
      <c r="B361" t="s">
        <v>855</v>
      </c>
      <c r="C361">
        <v>5</v>
      </c>
      <c r="D361">
        <v>22.515189288626857</v>
      </c>
    </row>
    <row r="362" spans="1:4">
      <c r="A362" t="s">
        <v>887</v>
      </c>
      <c r="B362" t="s">
        <v>855</v>
      </c>
      <c r="C362">
        <v>6</v>
      </c>
      <c r="D362">
        <v>34.414910462461222</v>
      </c>
    </row>
    <row r="363" spans="1:4">
      <c r="A363" t="s">
        <v>576</v>
      </c>
      <c r="B363" t="s">
        <v>855</v>
      </c>
      <c r="C363">
        <v>11</v>
      </c>
      <c r="D363">
        <v>23.166100472654339</v>
      </c>
    </row>
    <row r="364" spans="1:4">
      <c r="A364" t="s">
        <v>578</v>
      </c>
      <c r="B364" t="s">
        <v>855</v>
      </c>
      <c r="C364">
        <v>11</v>
      </c>
      <c r="D364">
        <v>23.166100472654339</v>
      </c>
    </row>
    <row r="365" spans="1:4">
      <c r="A365" t="s">
        <v>579</v>
      </c>
      <c r="B365" t="s">
        <v>855</v>
      </c>
      <c r="C365">
        <v>3</v>
      </c>
      <c r="D365">
        <v>27.628893846400082</v>
      </c>
    </row>
    <row r="366" spans="1:4">
      <c r="A366" t="s">
        <v>583</v>
      </c>
      <c r="B366" t="s">
        <v>855</v>
      </c>
      <c r="C366">
        <v>5</v>
      </c>
      <c r="D366">
        <v>30.067712157765726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Brynn Hibbert</dc:creator>
  <cp:keywords/>
  <dc:description/>
  <cp:lastModifiedBy>Christopher Marjo</cp:lastModifiedBy>
  <cp:revision/>
  <dcterms:created xsi:type="dcterms:W3CDTF">2024-12-18T05:41:00Z</dcterms:created>
  <dcterms:modified xsi:type="dcterms:W3CDTF">2025-01-17T04:57:35Z</dcterms:modified>
  <cp:category/>
  <cp:contentStatus/>
</cp:coreProperties>
</file>