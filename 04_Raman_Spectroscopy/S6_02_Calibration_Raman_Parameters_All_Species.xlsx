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Ex1.xml" ContentType="application/vnd.ms-office.chartex+xml"/>
  <Override PartName="/xl/charts/style7.xml" ContentType="application/vnd.ms-office.chartstyle+xml"/>
  <Override PartName="/xl/charts/colors7.xml" ContentType="application/vnd.ms-office.chartcolorstyle+xml"/>
  <Override PartName="/xl/charts/chartEx2.xml" ContentType="application/vnd.ms-office.chartex+xml"/>
  <Override PartName="/xl/charts/style8.xml" ContentType="application/vnd.ms-office.chartstyle+xml"/>
  <Override PartName="/xl/charts/colors8.xml" ContentType="application/vnd.ms-office.chartcolorstyle+xml"/>
  <Override PartName="/xl/charts/chartEx3.xml" ContentType="application/vnd.ms-office.chartex+xml"/>
  <Override PartName="/xl/charts/style9.xml" ContentType="application/vnd.ms-office.chartstyle+xml"/>
  <Override PartName="/xl/charts/colors9.xml" ContentType="application/vnd.ms-office.chartcolorstyle+xml"/>
  <Override PartName="/xl/charts/chartEx4.xml" ContentType="application/vnd.ms-office.chartex+xml"/>
  <Override PartName="/xl/charts/style10.xml" ContentType="application/vnd.ms-office.chartstyle+xml"/>
  <Override PartName="/xl/charts/colors10.xml" ContentType="application/vnd.ms-office.chartcolorstyle+xml"/>
  <Override PartName="/xl/charts/chart7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charts/chart8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charts/chart9.xml" ContentType="application/vnd.openxmlformats-officedocument.drawingml.chart+xml"/>
  <Override PartName="/xl/charts/style13.xml" ContentType="application/vnd.ms-office.chartstyle+xml"/>
  <Override PartName="/xl/charts/colors13.xml" ContentType="application/vnd.ms-office.chartcolorstyle+xml"/>
  <Override PartName="/xl/charts/chart10.xml" ContentType="application/vnd.openxmlformats-officedocument.drawingml.chart+xml"/>
  <Override PartName="/xl/charts/style14.xml" ContentType="application/vnd.ms-office.chartstyle+xml"/>
  <Override PartName="/xl/charts/colors14.xml" ContentType="application/vnd.ms-office.chartcolorstyle+xml"/>
  <Override PartName="/xl/charts/chart11.xml" ContentType="application/vnd.openxmlformats-officedocument.drawingml.chart+xml"/>
  <Override PartName="/xl/charts/style15.xml" ContentType="application/vnd.ms-office.chartstyle+xml"/>
  <Override PartName="/xl/charts/colors15.xml" ContentType="application/vnd.ms-office.chartcolorstyle+xml"/>
  <Override PartName="/xl/charts/chart12.xml" ContentType="application/vnd.openxmlformats-officedocument.drawingml.chart+xml"/>
  <Override PartName="/xl/charts/style16.xml" ContentType="application/vnd.ms-office.chartstyle+xml"/>
  <Override PartName="/xl/charts/colors16.xml" ContentType="application/vnd.ms-office.chartcolorstyle+xml"/>
  <Override PartName="/xl/charts/chart13.xml" ContentType="application/vnd.openxmlformats-officedocument.drawingml.chart+xml"/>
  <Override PartName="/xl/charts/style17.xml" ContentType="application/vnd.ms-office.chartstyle+xml"/>
  <Override PartName="/xl/charts/colors17.xml" ContentType="application/vnd.ms-office.chartcolorstyle+xml"/>
  <Override PartName="/xl/charts/chart14.xml" ContentType="application/vnd.openxmlformats-officedocument.drawingml.chart+xml"/>
  <Override PartName="/xl/charts/style18.xml" ContentType="application/vnd.ms-office.chartstyle+xml"/>
  <Override PartName="/xl/charts/colors18.xml" ContentType="application/vnd.ms-office.chartcolorstyle+xml"/>
  <Override PartName="/xl/charts/chart15.xml" ContentType="application/vnd.openxmlformats-officedocument.drawingml.chart+xml"/>
  <Override PartName="/xl/charts/style19.xml" ContentType="application/vnd.ms-office.chartstyle+xml"/>
  <Override PartName="/xl/charts/colors19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d.docs.live.net/53a6410811d0eb69/Downloads/Supplementary_Data_S6_Raman_Spectroscopy_Package/Supplementary_Data_S6_Raman_Spectroscopy/"/>
    </mc:Choice>
  </mc:AlternateContent>
  <xr:revisionPtr revIDLastSave="2" documentId="13_ncr:1_{E2EA1B06-AA57-4B4A-8C6A-09CE4F9AEAF1}" xr6:coauthVersionLast="47" xr6:coauthVersionMax="47" xr10:uidLastSave="{6E2941A7-1CD5-46FF-A479-B353977DC263}"/>
  <bookViews>
    <workbookView xWindow="-110" yWindow="-110" windowWidth="25820" windowHeight="15500" xr2:uid="{DB72F847-C8A4-4B7D-8929-08B68C3C4185}"/>
  </bookViews>
  <sheets>
    <sheet name="Calculations" sheetId="2" r:id="rId1"/>
    <sheet name="ANOVA data" sheetId="5" r:id="rId2"/>
    <sheet name="r using averages" sheetId="4" r:id="rId3"/>
    <sheet name="Descriptive stats" sheetId="1" r:id="rId4"/>
  </sheets>
  <definedNames>
    <definedName name="_xlchart.v1.0" hidden="1">Calculations!$K$3:$K$100</definedName>
    <definedName name="_xlchart.v1.1" hidden="1">Calculations!$O$3:$O$100</definedName>
    <definedName name="_xlchart.v1.2" hidden="1">Calculations!$K$3:$K$100</definedName>
    <definedName name="_xlchart.v1.3" hidden="1">Calculations!$N$3:$N$100</definedName>
    <definedName name="_xlchart.v1.4" hidden="1">Calculations!$K$3:$K$100</definedName>
    <definedName name="_xlchart.v1.5" hidden="1">Calculations!$M$3:$M$100</definedName>
    <definedName name="_xlchart.v1.6" hidden="1">Calculations!$K$3:$K$100</definedName>
    <definedName name="_xlchart.v1.7" hidden="1">Calculations!$L$3:$L$100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Q16" i="2" l="1"/>
  <c r="M111" i="2"/>
  <c r="M112" i="2"/>
  <c r="M113" i="2"/>
  <c r="M114" i="2"/>
  <c r="M115" i="2"/>
  <c r="M141" i="2"/>
  <c r="M142" i="2"/>
  <c r="M143" i="2"/>
  <c r="M144" i="2"/>
  <c r="M145" i="2"/>
  <c r="Q41" i="2"/>
  <c r="Q4" i="2"/>
  <c r="AH4" i="2"/>
  <c r="Z3" i="2"/>
  <c r="AP4" i="2"/>
  <c r="AP3" i="2"/>
  <c r="M140" i="2"/>
  <c r="M139" i="2"/>
  <c r="M138" i="2"/>
  <c r="M137" i="2"/>
  <c r="M136" i="2"/>
  <c r="J135" i="2"/>
  <c r="M134" i="2"/>
  <c r="M133" i="2"/>
  <c r="M132" i="2"/>
  <c r="M131" i="2"/>
  <c r="M110" i="2"/>
  <c r="M109" i="2"/>
  <c r="M108" i="2"/>
  <c r="M107" i="2"/>
  <c r="M106" i="2"/>
  <c r="M104" i="2"/>
  <c r="M103" i="2"/>
  <c r="M102" i="2"/>
  <c r="M101" i="2"/>
  <c r="D2" i="4"/>
  <c r="E2" i="4"/>
  <c r="F2" i="4"/>
  <c r="D3" i="4"/>
  <c r="E3" i="4"/>
  <c r="F3" i="4"/>
  <c r="D4" i="4"/>
  <c r="E4" i="4"/>
  <c r="F4" i="4"/>
  <c r="D5" i="4"/>
  <c r="E5" i="4"/>
  <c r="F5" i="4"/>
  <c r="D6" i="4"/>
  <c r="E6" i="4"/>
  <c r="F6" i="4"/>
  <c r="C6" i="4"/>
  <c r="C5" i="4"/>
  <c r="C4" i="4"/>
  <c r="C3" i="4"/>
  <c r="C2" i="4"/>
  <c r="Q3" i="2"/>
  <c r="AH3" i="2"/>
  <c r="Z4" i="2" l="1"/>
  <c r="I2" i="4"/>
  <c r="K2" i="4"/>
  <c r="H2" i="4"/>
  <c r="J2" i="4"/>
</calcChain>
</file>

<file path=xl/sharedStrings.xml><?xml version="1.0" encoding="utf-8"?>
<sst xmlns="http://schemas.openxmlformats.org/spreadsheetml/2006/main" count="528" uniqueCount="50">
  <si>
    <t>Species</t>
  </si>
  <si>
    <t>Thermal Energy</t>
  </si>
  <si>
    <t xml:space="preserve"> D pos</t>
  </si>
  <si>
    <t xml:space="preserve"> D ht</t>
  </si>
  <si>
    <t xml:space="preserve"> D fwhm</t>
  </si>
  <si>
    <t xml:space="preserve"> D area</t>
  </si>
  <si>
    <t xml:space="preserve"> G_G pos</t>
  </si>
  <si>
    <t xml:space="preserve"> G_G ht</t>
  </si>
  <si>
    <t xml:space="preserve"> G_G fwhm</t>
  </si>
  <si>
    <t xml:space="preserve"> G_G area</t>
  </si>
  <si>
    <t>D-FWHM/G-FWHM</t>
  </si>
  <si>
    <t>R1 (ID/IG)</t>
  </si>
  <si>
    <t>AD/AG</t>
  </si>
  <si>
    <t>RBS</t>
  </si>
  <si>
    <r>
      <t>kW/m</t>
    </r>
    <r>
      <rPr>
        <b/>
        <vertAlign val="superscript"/>
        <sz val="11"/>
        <color theme="1"/>
        <rFont val="Aptos Narrow (Body)"/>
      </rPr>
      <t>2</t>
    </r>
  </si>
  <si>
    <t>r=</t>
  </si>
  <si>
    <t>p=</t>
  </si>
  <si>
    <t>Silvertop Ash</t>
  </si>
  <si>
    <t>20kW/m2</t>
  </si>
  <si>
    <t>silvertop ash only</t>
  </si>
  <si>
    <t>&lt;0.00001</t>
  </si>
  <si>
    <t>signif</t>
  </si>
  <si>
    <t>all spp</t>
  </si>
  <si>
    <t>df=141</t>
  </si>
  <si>
    <t>25kW/m2</t>
  </si>
  <si>
    <t>if consider only lower applied energy</t>
  </si>
  <si>
    <t>30kW/m2</t>
  </si>
  <si>
    <t>silverrtop ash only</t>
  </si>
  <si>
    <t>all species</t>
  </si>
  <si>
    <t>35kW/m2</t>
  </si>
  <si>
    <t>50kW/m2</t>
  </si>
  <si>
    <t>Blackbutt</t>
  </si>
  <si>
    <t>25 kW/m2</t>
  </si>
  <si>
    <t>35 kW/m2</t>
  </si>
  <si>
    <t>50 kW/m2</t>
  </si>
  <si>
    <t>Grey Ironbark</t>
  </si>
  <si>
    <t>35 k W/m2</t>
  </si>
  <si>
    <t>Spotted Gum</t>
  </si>
  <si>
    <t>kW/m2</t>
  </si>
  <si>
    <t>applied energy</t>
  </si>
  <si>
    <t>Perasons Correlation</t>
  </si>
  <si>
    <t>p value</t>
  </si>
  <si>
    <t>None of these results are significant at p &lt; .05.</t>
  </si>
  <si>
    <t>Mean</t>
  </si>
  <si>
    <t>Std. Deviation</t>
  </si>
  <si>
    <t>Minimum</t>
  </si>
  <si>
    <t>Maximum</t>
  </si>
  <si>
    <t>D fwhm</t>
  </si>
  <si>
    <t>G_G fwhm</t>
  </si>
  <si>
    <t>Dfwhm/Gfwhm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</si>
</sst>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00"/>
    <numFmt numFmtId="165" formatCode="0.00000"/>
  </numFmts>
  <fonts count="24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  <font>
      <b/>
      <sz val="11"/>
      <color rgb="FFFF0000"/>
      <name val="Aptos Narrow"/>
      <family val="2"/>
      <scheme val="minor"/>
    </font>
    <font>
      <b/>
      <vertAlign val="superscript"/>
      <sz val="11"/>
      <color theme="1"/>
      <name val="Aptos Narrow (Body)"/>
    </font>
    <font>
      <sz val="11"/>
      <color theme="1"/>
      <name val="Open Sans"/>
    </font>
    <font>
      <sz val="14"/>
      <color theme="1"/>
      <name val="Times New Roman"/>
      <family val="1"/>
    </font>
    <font>
      <sz val="12"/>
      <color theme="1"/>
      <name val="Times New Roman"/>
      <family val="1"/>
    </font>
    <font>
      <b/>
      <sz val="12"/>
      <color theme="1"/>
      <name val="Times New Roman"/>
      <family val="1"/>
    </font>
  </fonts>
  <fills count="40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6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rgb="FF92D050"/>
        <bgColor indexed="64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4">
    <xf numFmtId="0" fontId="0" fillId="0" borderId="0" xfId="0"/>
    <xf numFmtId="0" fontId="16" fillId="0" borderId="0" xfId="0" applyFont="1"/>
    <xf numFmtId="0" fontId="16" fillId="0" borderId="0" xfId="0" applyFont="1" applyAlignment="1">
      <alignment horizontal="center"/>
    </xf>
    <xf numFmtId="0" fontId="0" fillId="0" borderId="0" xfId="0" applyAlignment="1">
      <alignment horizontal="center"/>
    </xf>
    <xf numFmtId="0" fontId="0" fillId="33" borderId="0" xfId="0" applyFill="1" applyAlignment="1">
      <alignment horizontal="center"/>
    </xf>
    <xf numFmtId="0" fontId="18" fillId="33" borderId="0" xfId="0" applyFont="1" applyFill="1" applyAlignment="1">
      <alignment horizontal="center"/>
    </xf>
    <xf numFmtId="0" fontId="0" fillId="34" borderId="0" xfId="0" applyFill="1" applyAlignment="1">
      <alignment horizontal="center"/>
    </xf>
    <xf numFmtId="0" fontId="0" fillId="35" borderId="0" xfId="0" applyFill="1" applyAlignment="1">
      <alignment horizontal="center"/>
    </xf>
    <xf numFmtId="0" fontId="0" fillId="36" borderId="0" xfId="0" applyFill="1" applyAlignment="1">
      <alignment horizontal="center"/>
    </xf>
    <xf numFmtId="0" fontId="0" fillId="37" borderId="0" xfId="0" applyFill="1" applyAlignment="1">
      <alignment horizontal="center"/>
    </xf>
    <xf numFmtId="0" fontId="0" fillId="38" borderId="0" xfId="0" applyFill="1" applyAlignment="1">
      <alignment horizontal="center"/>
    </xf>
    <xf numFmtId="0" fontId="16" fillId="33" borderId="0" xfId="0" applyFont="1" applyFill="1" applyAlignment="1">
      <alignment horizontal="center"/>
    </xf>
    <xf numFmtId="0" fontId="20" fillId="0" borderId="0" xfId="0" applyFont="1"/>
    <xf numFmtId="0" fontId="21" fillId="0" borderId="0" xfId="0" applyFont="1" applyAlignment="1">
      <alignment horizontal="center"/>
    </xf>
    <xf numFmtId="164" fontId="21" fillId="33" borderId="0" xfId="0" applyNumberFormat="1" applyFont="1" applyFill="1" applyAlignment="1">
      <alignment horizontal="center"/>
    </xf>
    <xf numFmtId="0" fontId="21" fillId="33" borderId="0" xfId="0" applyFont="1" applyFill="1" applyAlignment="1">
      <alignment horizontal="center"/>
    </xf>
    <xf numFmtId="1" fontId="21" fillId="0" borderId="0" xfId="0" applyNumberFormat="1" applyFont="1" applyAlignment="1">
      <alignment horizontal="center"/>
    </xf>
    <xf numFmtId="1" fontId="21" fillId="33" borderId="0" xfId="0" applyNumberFormat="1" applyFont="1" applyFill="1" applyAlignment="1">
      <alignment horizontal="center"/>
    </xf>
    <xf numFmtId="0" fontId="16" fillId="34" borderId="0" xfId="0" applyFont="1" applyFill="1" applyAlignment="1">
      <alignment horizontal="center"/>
    </xf>
    <xf numFmtId="0" fontId="22" fillId="0" borderId="0" xfId="0" applyFont="1" applyAlignment="1">
      <alignment horizontal="center"/>
    </xf>
    <xf numFmtId="0" fontId="23" fillId="0" borderId="0" xfId="0" applyFont="1" applyAlignment="1">
      <alignment horizontal="center"/>
    </xf>
    <xf numFmtId="1" fontId="22" fillId="0" borderId="0" xfId="0" applyNumberFormat="1" applyFont="1" applyAlignment="1">
      <alignment horizontal="center"/>
    </xf>
    <xf numFmtId="165" fontId="22" fillId="0" borderId="0" xfId="0" applyNumberFormat="1" applyFont="1" applyAlignment="1">
      <alignment horizontal="center"/>
    </xf>
    <xf numFmtId="0" fontId="0" fillId="39" borderId="0" xfId="0" applyFill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13.xml"/><Relationship Id="rId1" Type="http://schemas.microsoft.com/office/2011/relationships/chartStyle" Target="style13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4.xml"/><Relationship Id="rId1" Type="http://schemas.microsoft.com/office/2011/relationships/chartStyle" Target="style14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5.xml"/><Relationship Id="rId1" Type="http://schemas.microsoft.com/office/2011/relationships/chartStyle" Target="style15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6.xml"/><Relationship Id="rId1" Type="http://schemas.microsoft.com/office/2011/relationships/chartStyle" Target="style16.xml"/></Relationships>
</file>

<file path=xl/charts/_rels/chart13.xml.rels><?xml version="1.0" encoding="UTF-8" standalone="yes"?>
<Relationships xmlns="http://schemas.openxmlformats.org/package/2006/relationships"><Relationship Id="rId2" Type="http://schemas.microsoft.com/office/2011/relationships/chartColorStyle" Target="colors17.xml"/><Relationship Id="rId1" Type="http://schemas.microsoft.com/office/2011/relationships/chartStyle" Target="style17.xml"/></Relationships>
</file>

<file path=xl/charts/_rels/chart14.xml.rels><?xml version="1.0" encoding="UTF-8" standalone="yes"?>
<Relationships xmlns="http://schemas.openxmlformats.org/package/2006/relationships"><Relationship Id="rId2" Type="http://schemas.microsoft.com/office/2011/relationships/chartColorStyle" Target="colors18.xml"/><Relationship Id="rId1" Type="http://schemas.microsoft.com/office/2011/relationships/chartStyle" Target="style18.xml"/></Relationships>
</file>

<file path=xl/charts/_rels/chart15.xml.rels><?xml version="1.0" encoding="UTF-8" standalone="yes"?>
<Relationships xmlns="http://schemas.openxmlformats.org/package/2006/relationships"><Relationship Id="rId2" Type="http://schemas.microsoft.com/office/2011/relationships/chartColorStyle" Target="colors19.xml"/><Relationship Id="rId1" Type="http://schemas.microsoft.com/office/2011/relationships/chartStyle" Target="style19.xml"/></Relationships>
</file>

<file path=xl/charts/_rels/chartEx1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Ex2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Ex3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Ex4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D-FWHM/G-FWHM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2969816272965879E-2"/>
          <c:y val="9.163916751070017E-2"/>
          <c:w val="0.88380796150481189"/>
          <c:h val="0.72446760544973376"/>
        </c:manualLayout>
      </c:layout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x"/>
            <c:size val="3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Calculations!$L$3:$L$100</c:f>
              <c:numCache>
                <c:formatCode>General</c:formatCode>
                <c:ptCount val="98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  <c:pt idx="78">
                  <c:v>1.98019802</c:v>
                </c:pt>
                <c:pt idx="79">
                  <c:v>1.801801802</c:v>
                </c:pt>
                <c:pt idx="80">
                  <c:v>1.8348623850000001</c:v>
                </c:pt>
                <c:pt idx="81">
                  <c:v>1.801801802</c:v>
                </c:pt>
                <c:pt idx="82">
                  <c:v>1.8348623850000001</c:v>
                </c:pt>
                <c:pt idx="83">
                  <c:v>1.680672269</c:v>
                </c:pt>
                <c:pt idx="84">
                  <c:v>1.8348623850000001</c:v>
                </c:pt>
                <c:pt idx="85">
                  <c:v>1.8348623850000001</c:v>
                </c:pt>
                <c:pt idx="86">
                  <c:v>1.801801802</c:v>
                </c:pt>
                <c:pt idx="87">
                  <c:v>1.8348623850000001</c:v>
                </c:pt>
                <c:pt idx="88">
                  <c:v>1.8348623850000001</c:v>
                </c:pt>
                <c:pt idx="89">
                  <c:v>1.98019802</c:v>
                </c:pt>
                <c:pt idx="90">
                  <c:v>1.8348623850000001</c:v>
                </c:pt>
                <c:pt idx="91">
                  <c:v>2.1978021980000002</c:v>
                </c:pt>
                <c:pt idx="92">
                  <c:v>1.98019802</c:v>
                </c:pt>
                <c:pt idx="93">
                  <c:v>1.8348623850000001</c:v>
                </c:pt>
                <c:pt idx="94">
                  <c:v>1.8348623850000001</c:v>
                </c:pt>
                <c:pt idx="95">
                  <c:v>1.680672269</c:v>
                </c:pt>
                <c:pt idx="96">
                  <c:v>1.8348623850000001</c:v>
                </c:pt>
                <c:pt idx="97">
                  <c:v>1.8348623850000001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168-024F-9D79-81FE788656B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in val="1.25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D-FWHM/G-FWHM Silvertop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06517935258094"/>
                  <c:y val="-0.19853382910469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Calculations!$L$3:$L$100</c:f>
              <c:numCache>
                <c:formatCode>General</c:formatCode>
                <c:ptCount val="98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  <c:pt idx="78">
                  <c:v>1.98019802</c:v>
                </c:pt>
                <c:pt idx="79">
                  <c:v>1.801801802</c:v>
                </c:pt>
                <c:pt idx="80">
                  <c:v>1.8348623850000001</c:v>
                </c:pt>
                <c:pt idx="81">
                  <c:v>1.801801802</c:v>
                </c:pt>
                <c:pt idx="82">
                  <c:v>1.8348623850000001</c:v>
                </c:pt>
                <c:pt idx="83">
                  <c:v>1.680672269</c:v>
                </c:pt>
                <c:pt idx="84">
                  <c:v>1.8348623850000001</c:v>
                </c:pt>
                <c:pt idx="85">
                  <c:v>1.8348623850000001</c:v>
                </c:pt>
                <c:pt idx="86">
                  <c:v>1.801801802</c:v>
                </c:pt>
                <c:pt idx="87">
                  <c:v>1.8348623850000001</c:v>
                </c:pt>
                <c:pt idx="88">
                  <c:v>1.8348623850000001</c:v>
                </c:pt>
                <c:pt idx="89">
                  <c:v>1.98019802</c:v>
                </c:pt>
                <c:pt idx="90">
                  <c:v>1.8348623850000001</c:v>
                </c:pt>
                <c:pt idx="91">
                  <c:v>2.1978021980000002</c:v>
                </c:pt>
                <c:pt idx="92">
                  <c:v>1.98019802</c:v>
                </c:pt>
                <c:pt idx="93">
                  <c:v>1.8348623850000001</c:v>
                </c:pt>
                <c:pt idx="94">
                  <c:v>1.8348623850000001</c:v>
                </c:pt>
                <c:pt idx="95">
                  <c:v>1.680672269</c:v>
                </c:pt>
                <c:pt idx="96">
                  <c:v>1.8348623850000001</c:v>
                </c:pt>
                <c:pt idx="97">
                  <c:v>1.8348623850000001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151-C944-AFAA-BF2B5D8D48D5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D-FWHM/G-FWHM Silvertop Ash &lt;35kW/m2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06517935258094"/>
                  <c:y val="-0.19853382910469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Calculations!$K$3:$K$80</c:f>
              <c:numCache>
                <c:formatCode>General</c:formatCode>
                <c:ptCount val="7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</c:numCache>
            </c:numRef>
          </c:xVal>
          <c:yVal>
            <c:numRef>
              <c:f>Calculations!$L$3:$L$80</c:f>
              <c:numCache>
                <c:formatCode>General</c:formatCode>
                <c:ptCount val="78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590-7546-A2D7-86539FC32BF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  <c:max val="4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R1 (ID/IG) Silvertop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7318460192476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Calculations!$M$3:$M$100</c:f>
              <c:numCache>
                <c:formatCode>General</c:formatCode>
                <c:ptCount val="98"/>
                <c:pt idx="0">
                  <c:v>0.51779783199999996</c:v>
                </c:pt>
                <c:pt idx="1">
                  <c:v>0.46752300099999999</c:v>
                </c:pt>
                <c:pt idx="2">
                  <c:v>0.42901716099999998</c:v>
                </c:pt>
                <c:pt idx="3">
                  <c:v>0.53874906199999995</c:v>
                </c:pt>
                <c:pt idx="4">
                  <c:v>0.54573990400000005</c:v>
                </c:pt>
                <c:pt idx="5">
                  <c:v>0.57053365700000003</c:v>
                </c:pt>
                <c:pt idx="6">
                  <c:v>0.56987079600000001</c:v>
                </c:pt>
                <c:pt idx="7">
                  <c:v>0.55225785900000002</c:v>
                </c:pt>
                <c:pt idx="8">
                  <c:v>0.51424303299999996</c:v>
                </c:pt>
                <c:pt idx="9">
                  <c:v>0.48873892200000002</c:v>
                </c:pt>
                <c:pt idx="10">
                  <c:v>0.56106354199999997</c:v>
                </c:pt>
                <c:pt idx="11">
                  <c:v>0.50764628300000003</c:v>
                </c:pt>
                <c:pt idx="12">
                  <c:v>0.53339115400000003</c:v>
                </c:pt>
                <c:pt idx="13">
                  <c:v>0.17008802100000001</c:v>
                </c:pt>
                <c:pt idx="14">
                  <c:v>0.19756443400000001</c:v>
                </c:pt>
                <c:pt idx="15">
                  <c:v>0.156235338</c:v>
                </c:pt>
                <c:pt idx="16">
                  <c:v>0.17883037800000001</c:v>
                </c:pt>
                <c:pt idx="17">
                  <c:v>0.71334576199999999</c:v>
                </c:pt>
                <c:pt idx="18">
                  <c:v>0.52777870199999999</c:v>
                </c:pt>
                <c:pt idx="19">
                  <c:v>0.69843337400000005</c:v>
                </c:pt>
                <c:pt idx="20">
                  <c:v>0.73097008200000002</c:v>
                </c:pt>
                <c:pt idx="21">
                  <c:v>0.72598475100000004</c:v>
                </c:pt>
                <c:pt idx="22">
                  <c:v>0.73454623600000002</c:v>
                </c:pt>
                <c:pt idx="23">
                  <c:v>0.73454623600000002</c:v>
                </c:pt>
                <c:pt idx="24">
                  <c:v>0.72092707700000003</c:v>
                </c:pt>
                <c:pt idx="25">
                  <c:v>0.72712802600000004</c:v>
                </c:pt>
                <c:pt idx="26">
                  <c:v>0.73770491800000004</c:v>
                </c:pt>
                <c:pt idx="27">
                  <c:v>0.733303178</c:v>
                </c:pt>
                <c:pt idx="28">
                  <c:v>0.73854846399999996</c:v>
                </c:pt>
                <c:pt idx="29">
                  <c:v>0.73790028500000004</c:v>
                </c:pt>
                <c:pt idx="30">
                  <c:v>0.72417115600000004</c:v>
                </c:pt>
                <c:pt idx="31">
                  <c:v>0.75613380299999999</c:v>
                </c:pt>
                <c:pt idx="32">
                  <c:v>0.73148521600000005</c:v>
                </c:pt>
                <c:pt idx="33">
                  <c:v>0.695633316</c:v>
                </c:pt>
                <c:pt idx="34">
                  <c:v>0.55243503699999996</c:v>
                </c:pt>
                <c:pt idx="35">
                  <c:v>0.60050605300000004</c:v>
                </c:pt>
                <c:pt idx="36">
                  <c:v>0.68848210499999996</c:v>
                </c:pt>
                <c:pt idx="37">
                  <c:v>0.68231720600000001</c:v>
                </c:pt>
                <c:pt idx="38">
                  <c:v>0.616984957</c:v>
                </c:pt>
                <c:pt idx="39">
                  <c:v>0.62606073399999995</c:v>
                </c:pt>
                <c:pt idx="40">
                  <c:v>0.66625183799999999</c:v>
                </c:pt>
                <c:pt idx="41">
                  <c:v>0.56164383600000001</c:v>
                </c:pt>
                <c:pt idx="42">
                  <c:v>0.57426923399999996</c:v>
                </c:pt>
                <c:pt idx="43">
                  <c:v>0.61361747799999999</c:v>
                </c:pt>
                <c:pt idx="44">
                  <c:v>0.56498529399999997</c:v>
                </c:pt>
                <c:pt idx="45">
                  <c:v>0.59044843199999997</c:v>
                </c:pt>
                <c:pt idx="46">
                  <c:v>0.59979337200000005</c:v>
                </c:pt>
                <c:pt idx="47">
                  <c:v>0.59053933700000005</c:v>
                </c:pt>
                <c:pt idx="48">
                  <c:v>0.597225275</c:v>
                </c:pt>
                <c:pt idx="49">
                  <c:v>0.53459877499999997</c:v>
                </c:pt>
                <c:pt idx="50">
                  <c:v>0.59671041000000002</c:v>
                </c:pt>
                <c:pt idx="51">
                  <c:v>0.54771530099999999</c:v>
                </c:pt>
                <c:pt idx="52">
                  <c:v>0.60193803400000001</c:v>
                </c:pt>
                <c:pt idx="53">
                  <c:v>0.62914580200000003</c:v>
                </c:pt>
                <c:pt idx="54">
                  <c:v>0.62061576600000001</c:v>
                </c:pt>
                <c:pt idx="55">
                  <c:v>0.62519327899999999</c:v>
                </c:pt>
                <c:pt idx="56">
                  <c:v>0.62829153100000001</c:v>
                </c:pt>
                <c:pt idx="57">
                  <c:v>0.61626229499999996</c:v>
                </c:pt>
                <c:pt idx="58">
                  <c:v>0.82158132699999997</c:v>
                </c:pt>
                <c:pt idx="59">
                  <c:v>0.63174883599999998</c:v>
                </c:pt>
                <c:pt idx="60">
                  <c:v>0.69369776400000005</c:v>
                </c:pt>
                <c:pt idx="61">
                  <c:v>0.72410748800000002</c:v>
                </c:pt>
                <c:pt idx="62">
                  <c:v>0.73021545300000001</c:v>
                </c:pt>
                <c:pt idx="63">
                  <c:v>0.71379293799999999</c:v>
                </c:pt>
                <c:pt idx="64">
                  <c:v>0.71917692099999997</c:v>
                </c:pt>
                <c:pt idx="65">
                  <c:v>0.71338710500000002</c:v>
                </c:pt>
                <c:pt idx="66">
                  <c:v>0.69973695599999997</c:v>
                </c:pt>
                <c:pt idx="67">
                  <c:v>0.70959603599999999</c:v>
                </c:pt>
                <c:pt idx="68">
                  <c:v>0.75719032500000005</c:v>
                </c:pt>
                <c:pt idx="69">
                  <c:v>0.79739467100000005</c:v>
                </c:pt>
                <c:pt idx="70">
                  <c:v>0.83832681099999995</c:v>
                </c:pt>
                <c:pt idx="71">
                  <c:v>0.80638929599999998</c:v>
                </c:pt>
                <c:pt idx="72">
                  <c:v>0.83740164100000003</c:v>
                </c:pt>
                <c:pt idx="73">
                  <c:v>0.84914992300000003</c:v>
                </c:pt>
                <c:pt idx="74">
                  <c:v>0.719660089</c:v>
                </c:pt>
                <c:pt idx="75">
                  <c:v>0.71893659899999995</c:v>
                </c:pt>
                <c:pt idx="76">
                  <c:v>0.714776525</c:v>
                </c:pt>
                <c:pt idx="77">
                  <c:v>0.72553430799999996</c:v>
                </c:pt>
                <c:pt idx="78">
                  <c:v>0.76709635099999995</c:v>
                </c:pt>
                <c:pt idx="79">
                  <c:v>0.78527047299999997</c:v>
                </c:pt>
                <c:pt idx="80">
                  <c:v>0.81979771499999998</c:v>
                </c:pt>
                <c:pt idx="81">
                  <c:v>0.749696115</c:v>
                </c:pt>
                <c:pt idx="82">
                  <c:v>0.79198464099999999</c:v>
                </c:pt>
                <c:pt idx="83">
                  <c:v>0.76394360699999997</c:v>
                </c:pt>
                <c:pt idx="84">
                  <c:v>0.77861278300000003</c:v>
                </c:pt>
                <c:pt idx="85">
                  <c:v>0.786975761</c:v>
                </c:pt>
                <c:pt idx="86">
                  <c:v>0.80334705699999998</c:v>
                </c:pt>
                <c:pt idx="87">
                  <c:v>0.75972058899999995</c:v>
                </c:pt>
                <c:pt idx="88">
                  <c:v>0.75660622099999997</c:v>
                </c:pt>
                <c:pt idx="89">
                  <c:v>0.71574502500000003</c:v>
                </c:pt>
                <c:pt idx="90">
                  <c:v>0.75122159200000005</c:v>
                </c:pt>
                <c:pt idx="91">
                  <c:v>0.67590902799999997</c:v>
                </c:pt>
                <c:pt idx="92">
                  <c:v>0.71128010699999999</c:v>
                </c:pt>
                <c:pt idx="93">
                  <c:v>0.74261552500000005</c:v>
                </c:pt>
                <c:pt idx="94">
                  <c:v>0.78182138599999995</c:v>
                </c:pt>
                <c:pt idx="95">
                  <c:v>0.76075119800000002</c:v>
                </c:pt>
                <c:pt idx="96">
                  <c:v>0.72419323999999996</c:v>
                </c:pt>
                <c:pt idx="97">
                  <c:v>0.76299519900000001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6263-2041-82D8-9B08238ECA2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AD/AG Silvertop Ash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7318460192476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Calculations!$N$3:$N$100</c:f>
              <c:numCache>
                <c:formatCode>General</c:formatCode>
                <c:ptCount val="98"/>
                <c:pt idx="0">
                  <c:v>0.84194767599999998</c:v>
                </c:pt>
                <c:pt idx="1">
                  <c:v>0.73625666700000003</c:v>
                </c:pt>
                <c:pt idx="2">
                  <c:v>0.79856344800000001</c:v>
                </c:pt>
                <c:pt idx="3">
                  <c:v>0.90546057000000002</c:v>
                </c:pt>
                <c:pt idx="4">
                  <c:v>0.93288873500000002</c:v>
                </c:pt>
                <c:pt idx="5">
                  <c:v>0.89847823999999998</c:v>
                </c:pt>
                <c:pt idx="6">
                  <c:v>0.83192833799999999</c:v>
                </c:pt>
                <c:pt idx="7">
                  <c:v>0.86969720900000003</c:v>
                </c:pt>
                <c:pt idx="8">
                  <c:v>0.73991815100000002</c:v>
                </c:pt>
                <c:pt idx="9">
                  <c:v>0.76966732400000004</c:v>
                </c:pt>
                <c:pt idx="10">
                  <c:v>0.81907081400000004</c:v>
                </c:pt>
                <c:pt idx="11">
                  <c:v>0.74108953899999996</c:v>
                </c:pt>
                <c:pt idx="12">
                  <c:v>0.72570220200000002</c:v>
                </c:pt>
                <c:pt idx="13">
                  <c:v>0.24586986</c:v>
                </c:pt>
                <c:pt idx="14">
                  <c:v>0.27695941800000001</c:v>
                </c:pt>
                <c:pt idx="15">
                  <c:v>0.219657568</c:v>
                </c:pt>
                <c:pt idx="16">
                  <c:v>0.23844047700000001</c:v>
                </c:pt>
                <c:pt idx="17">
                  <c:v>1.3851376129999999</c:v>
                </c:pt>
                <c:pt idx="18">
                  <c:v>0.88702300300000003</c:v>
                </c:pt>
                <c:pt idx="19">
                  <c:v>1.173837569</c:v>
                </c:pt>
                <c:pt idx="20">
                  <c:v>1.2937523390000001</c:v>
                </c:pt>
                <c:pt idx="21">
                  <c:v>1.2849287389999999</c:v>
                </c:pt>
                <c:pt idx="22">
                  <c:v>1.3000819589999999</c:v>
                </c:pt>
                <c:pt idx="23">
                  <c:v>1.3000819589999999</c:v>
                </c:pt>
                <c:pt idx="24">
                  <c:v>1.275977264</c:v>
                </c:pt>
                <c:pt idx="25">
                  <c:v>1.286952364</c:v>
                </c:pt>
                <c:pt idx="26">
                  <c:v>1.3056724909999999</c:v>
                </c:pt>
                <c:pt idx="27">
                  <c:v>1.2978818219999999</c:v>
                </c:pt>
                <c:pt idx="28">
                  <c:v>1.30716532</c:v>
                </c:pt>
                <c:pt idx="29">
                  <c:v>1.329550075</c:v>
                </c:pt>
                <c:pt idx="30">
                  <c:v>1.3048132370000001</c:v>
                </c:pt>
                <c:pt idx="31">
                  <c:v>1.387401536</c:v>
                </c:pt>
                <c:pt idx="32">
                  <c:v>1.3179913910000001</c:v>
                </c:pt>
                <c:pt idx="33">
                  <c:v>1.3774918110000001</c:v>
                </c:pt>
                <c:pt idx="34">
                  <c:v>0.92846214400000004</c:v>
                </c:pt>
                <c:pt idx="35">
                  <c:v>1.0092538639999999</c:v>
                </c:pt>
                <c:pt idx="36">
                  <c:v>1.176892625</c:v>
                </c:pt>
                <c:pt idx="37">
                  <c:v>1.0745153839999999</c:v>
                </c:pt>
                <c:pt idx="38">
                  <c:v>1.1980291089999999</c:v>
                </c:pt>
                <c:pt idx="39">
                  <c:v>1.215651821</c:v>
                </c:pt>
                <c:pt idx="40">
                  <c:v>1.3193106109999999</c:v>
                </c:pt>
                <c:pt idx="41">
                  <c:v>1.0119716919999999</c:v>
                </c:pt>
                <c:pt idx="42">
                  <c:v>0.89033985500000001</c:v>
                </c:pt>
                <c:pt idx="43">
                  <c:v>0.96632668799999999</c:v>
                </c:pt>
                <c:pt idx="44">
                  <c:v>0.96578685799999997</c:v>
                </c:pt>
                <c:pt idx="45">
                  <c:v>1.0268668750000001</c:v>
                </c:pt>
                <c:pt idx="46">
                  <c:v>0.94455631900000003</c:v>
                </c:pt>
                <c:pt idx="47">
                  <c:v>0.92998327000000003</c:v>
                </c:pt>
                <c:pt idx="48">
                  <c:v>0.94051226600000004</c:v>
                </c:pt>
                <c:pt idx="49">
                  <c:v>1.1496746470000001</c:v>
                </c:pt>
                <c:pt idx="50">
                  <c:v>0.93970135499999996</c:v>
                </c:pt>
                <c:pt idx="51">
                  <c:v>1.0845838830000001</c:v>
                </c:pt>
                <c:pt idx="52">
                  <c:v>1.1919569270000001</c:v>
                </c:pt>
                <c:pt idx="53">
                  <c:v>1.2216423700000001</c:v>
                </c:pt>
                <c:pt idx="54">
                  <c:v>1.2050784889999999</c:v>
                </c:pt>
                <c:pt idx="55">
                  <c:v>1.213967596</c:v>
                </c:pt>
                <c:pt idx="56">
                  <c:v>1.2199835240000001</c:v>
                </c:pt>
                <c:pt idx="57">
                  <c:v>1.2203207469999999</c:v>
                </c:pt>
                <c:pt idx="58">
                  <c:v>1.4803265379999999</c:v>
                </c:pt>
                <c:pt idx="59">
                  <c:v>1.4864678010000001</c:v>
                </c:pt>
                <c:pt idx="60">
                  <c:v>1.4604157449999999</c:v>
                </c:pt>
                <c:pt idx="61">
                  <c:v>1.557220525</c:v>
                </c:pt>
                <c:pt idx="62">
                  <c:v>1.5703561960000001</c:v>
                </c:pt>
                <c:pt idx="63">
                  <c:v>1.5350384159999999</c:v>
                </c:pt>
                <c:pt idx="64">
                  <c:v>1.546617329</c:v>
                </c:pt>
                <c:pt idx="65">
                  <c:v>1.5018673520000001</c:v>
                </c:pt>
                <c:pt idx="66">
                  <c:v>1.5378831079999999</c:v>
                </c:pt>
                <c:pt idx="67">
                  <c:v>1.4938863339999999</c:v>
                </c:pt>
                <c:pt idx="68">
                  <c:v>1.499386866</c:v>
                </c:pt>
                <c:pt idx="69">
                  <c:v>1.4367471599999999</c:v>
                </c:pt>
                <c:pt idx="70">
                  <c:v>1.6278192579999999</c:v>
                </c:pt>
                <c:pt idx="71">
                  <c:v>1.565804285</c:v>
                </c:pt>
                <c:pt idx="72">
                  <c:v>1.5088318039999999</c:v>
                </c:pt>
                <c:pt idx="73">
                  <c:v>1.6488347830000001</c:v>
                </c:pt>
                <c:pt idx="74">
                  <c:v>1.515074069</c:v>
                </c:pt>
                <c:pt idx="75">
                  <c:v>1.5461001569999999</c:v>
                </c:pt>
                <c:pt idx="76">
                  <c:v>1.5371538490000001</c:v>
                </c:pt>
                <c:pt idx="77">
                  <c:v>1.560288527</c:v>
                </c:pt>
                <c:pt idx="78">
                  <c:v>1.5190028579999999</c:v>
                </c:pt>
                <c:pt idx="79">
                  <c:v>1.414901953</c:v>
                </c:pt>
                <c:pt idx="80">
                  <c:v>1.504216065</c:v>
                </c:pt>
                <c:pt idx="81">
                  <c:v>1.3508037289999999</c:v>
                </c:pt>
                <c:pt idx="82">
                  <c:v>1.453182545</c:v>
                </c:pt>
                <c:pt idx="83">
                  <c:v>1.2839388819999999</c:v>
                </c:pt>
                <c:pt idx="84">
                  <c:v>1.428647056</c:v>
                </c:pt>
                <c:pt idx="85">
                  <c:v>1.443992347</c:v>
                </c:pt>
                <c:pt idx="86">
                  <c:v>1.447471773</c:v>
                </c:pt>
                <c:pt idx="87">
                  <c:v>1.3939827970000001</c:v>
                </c:pt>
                <c:pt idx="88">
                  <c:v>1.388268287</c:v>
                </c:pt>
                <c:pt idx="89">
                  <c:v>1.4173170530000001</c:v>
                </c:pt>
                <c:pt idx="90">
                  <c:v>1.378388347</c:v>
                </c:pt>
                <c:pt idx="91">
                  <c:v>1.4855141810000001</c:v>
                </c:pt>
                <c:pt idx="92">
                  <c:v>1.4084756140000001</c:v>
                </c:pt>
                <c:pt idx="93">
                  <c:v>1.362597337</c:v>
                </c:pt>
                <c:pt idx="94">
                  <c:v>1.434534679</c:v>
                </c:pt>
                <c:pt idx="95">
                  <c:v>1.2785734580000001</c:v>
                </c:pt>
                <c:pt idx="96">
                  <c:v>1.328794848</c:v>
                </c:pt>
                <c:pt idx="97">
                  <c:v>1.399991129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3E3-2A46-BE6B-77DDC81319C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RBS Sivertop Ash only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7318460192476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Calculations!$O$3:$O$100</c:f>
              <c:numCache>
                <c:formatCode>General</c:formatCode>
                <c:ptCount val="98"/>
                <c:pt idx="0">
                  <c:v>217</c:v>
                </c:pt>
                <c:pt idx="1">
                  <c:v>219</c:v>
                </c:pt>
                <c:pt idx="2">
                  <c:v>215</c:v>
                </c:pt>
                <c:pt idx="3">
                  <c:v>221</c:v>
                </c:pt>
                <c:pt idx="4">
                  <c:v>221</c:v>
                </c:pt>
                <c:pt idx="5">
                  <c:v>219</c:v>
                </c:pt>
                <c:pt idx="6">
                  <c:v>219</c:v>
                </c:pt>
                <c:pt idx="7">
                  <c:v>219</c:v>
                </c:pt>
                <c:pt idx="8">
                  <c:v>221</c:v>
                </c:pt>
                <c:pt idx="9">
                  <c:v>219</c:v>
                </c:pt>
                <c:pt idx="10">
                  <c:v>217</c:v>
                </c:pt>
                <c:pt idx="11">
                  <c:v>219</c:v>
                </c:pt>
                <c:pt idx="12">
                  <c:v>219</c:v>
                </c:pt>
                <c:pt idx="13">
                  <c:v>215</c:v>
                </c:pt>
                <c:pt idx="14">
                  <c:v>217</c:v>
                </c:pt>
                <c:pt idx="15">
                  <c:v>221</c:v>
                </c:pt>
                <c:pt idx="16">
                  <c:v>215</c:v>
                </c:pt>
                <c:pt idx="17">
                  <c:v>225</c:v>
                </c:pt>
                <c:pt idx="18">
                  <c:v>221</c:v>
                </c:pt>
                <c:pt idx="19">
                  <c:v>219</c:v>
                </c:pt>
                <c:pt idx="20">
                  <c:v>227</c:v>
                </c:pt>
                <c:pt idx="21">
                  <c:v>225</c:v>
                </c:pt>
                <c:pt idx="22">
                  <c:v>223</c:v>
                </c:pt>
                <c:pt idx="23">
                  <c:v>223</c:v>
                </c:pt>
                <c:pt idx="24">
                  <c:v>225</c:v>
                </c:pt>
                <c:pt idx="25">
                  <c:v>223</c:v>
                </c:pt>
                <c:pt idx="26">
                  <c:v>221</c:v>
                </c:pt>
                <c:pt idx="27">
                  <c:v>225</c:v>
                </c:pt>
                <c:pt idx="28">
                  <c:v>223</c:v>
                </c:pt>
                <c:pt idx="29">
                  <c:v>221</c:v>
                </c:pt>
                <c:pt idx="30">
                  <c:v>227</c:v>
                </c:pt>
                <c:pt idx="31">
                  <c:v>223</c:v>
                </c:pt>
                <c:pt idx="32">
                  <c:v>221</c:v>
                </c:pt>
                <c:pt idx="33">
                  <c:v>223</c:v>
                </c:pt>
                <c:pt idx="34">
                  <c:v>223</c:v>
                </c:pt>
                <c:pt idx="35">
                  <c:v>221</c:v>
                </c:pt>
                <c:pt idx="36">
                  <c:v>219</c:v>
                </c:pt>
                <c:pt idx="37">
                  <c:v>219</c:v>
                </c:pt>
                <c:pt idx="38">
                  <c:v>227</c:v>
                </c:pt>
                <c:pt idx="39">
                  <c:v>229</c:v>
                </c:pt>
                <c:pt idx="40">
                  <c:v>231</c:v>
                </c:pt>
                <c:pt idx="41">
                  <c:v>223</c:v>
                </c:pt>
                <c:pt idx="42">
                  <c:v>223</c:v>
                </c:pt>
                <c:pt idx="43">
                  <c:v>219</c:v>
                </c:pt>
                <c:pt idx="44">
                  <c:v>221</c:v>
                </c:pt>
                <c:pt idx="45">
                  <c:v>219</c:v>
                </c:pt>
                <c:pt idx="46">
                  <c:v>219</c:v>
                </c:pt>
                <c:pt idx="47">
                  <c:v>219</c:v>
                </c:pt>
                <c:pt idx="48">
                  <c:v>219</c:v>
                </c:pt>
                <c:pt idx="49">
                  <c:v>225</c:v>
                </c:pt>
                <c:pt idx="50">
                  <c:v>219</c:v>
                </c:pt>
                <c:pt idx="51">
                  <c:v>227</c:v>
                </c:pt>
                <c:pt idx="52">
                  <c:v>227</c:v>
                </c:pt>
                <c:pt idx="53">
                  <c:v>227</c:v>
                </c:pt>
                <c:pt idx="54">
                  <c:v>229</c:v>
                </c:pt>
                <c:pt idx="55">
                  <c:v>229</c:v>
                </c:pt>
                <c:pt idx="56">
                  <c:v>227</c:v>
                </c:pt>
                <c:pt idx="57">
                  <c:v>229</c:v>
                </c:pt>
                <c:pt idx="58">
                  <c:v>225</c:v>
                </c:pt>
                <c:pt idx="59">
                  <c:v>229</c:v>
                </c:pt>
                <c:pt idx="60">
                  <c:v>227</c:v>
                </c:pt>
                <c:pt idx="61">
                  <c:v>227</c:v>
                </c:pt>
                <c:pt idx="62">
                  <c:v>227</c:v>
                </c:pt>
                <c:pt idx="63">
                  <c:v>227</c:v>
                </c:pt>
                <c:pt idx="64">
                  <c:v>225</c:v>
                </c:pt>
                <c:pt idx="65">
                  <c:v>227</c:v>
                </c:pt>
                <c:pt idx="66">
                  <c:v>229</c:v>
                </c:pt>
                <c:pt idx="67">
                  <c:v>229</c:v>
                </c:pt>
                <c:pt idx="68">
                  <c:v>227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  <c:pt idx="72">
                  <c:v>223</c:v>
                </c:pt>
                <c:pt idx="73">
                  <c:v>225</c:v>
                </c:pt>
                <c:pt idx="74">
                  <c:v>227</c:v>
                </c:pt>
                <c:pt idx="75">
                  <c:v>225</c:v>
                </c:pt>
                <c:pt idx="76">
                  <c:v>227</c:v>
                </c:pt>
                <c:pt idx="77">
                  <c:v>225</c:v>
                </c:pt>
                <c:pt idx="78">
                  <c:v>225</c:v>
                </c:pt>
                <c:pt idx="79">
                  <c:v>223</c:v>
                </c:pt>
                <c:pt idx="80">
                  <c:v>221</c:v>
                </c:pt>
                <c:pt idx="81">
                  <c:v>223</c:v>
                </c:pt>
                <c:pt idx="82">
                  <c:v>221</c:v>
                </c:pt>
                <c:pt idx="83">
                  <c:v>219</c:v>
                </c:pt>
                <c:pt idx="84">
                  <c:v>221</c:v>
                </c:pt>
                <c:pt idx="85">
                  <c:v>223</c:v>
                </c:pt>
                <c:pt idx="86">
                  <c:v>223</c:v>
                </c:pt>
                <c:pt idx="87">
                  <c:v>221</c:v>
                </c:pt>
                <c:pt idx="88">
                  <c:v>223</c:v>
                </c:pt>
                <c:pt idx="89">
                  <c:v>225</c:v>
                </c:pt>
                <c:pt idx="90">
                  <c:v>221</c:v>
                </c:pt>
                <c:pt idx="91">
                  <c:v>225</c:v>
                </c:pt>
                <c:pt idx="92">
                  <c:v>225</c:v>
                </c:pt>
                <c:pt idx="93">
                  <c:v>223</c:v>
                </c:pt>
                <c:pt idx="94">
                  <c:v>223</c:v>
                </c:pt>
                <c:pt idx="95">
                  <c:v>219</c:v>
                </c:pt>
                <c:pt idx="96">
                  <c:v>223</c:v>
                </c:pt>
                <c:pt idx="97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BDB-9C42-98AA-172016118C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RBS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5.3753082751448522E-2"/>
          <c:y val="0.10718219471121024"/>
          <c:w val="0.8838593076808795"/>
          <c:h val="0.76473032633926541"/>
        </c:manualLayout>
      </c:layout>
      <c:scatterChart>
        <c:scatterStyle val="lineMarker"/>
        <c:varyColors val="0"/>
        <c:ser>
          <c:idx val="0"/>
          <c:order val="0"/>
          <c:tx>
            <c:v>Silvertop Ash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Calculations!$O$3:$O$100</c:f>
              <c:numCache>
                <c:formatCode>General</c:formatCode>
                <c:ptCount val="98"/>
                <c:pt idx="0">
                  <c:v>217</c:v>
                </c:pt>
                <c:pt idx="1">
                  <c:v>219</c:v>
                </c:pt>
                <c:pt idx="2">
                  <c:v>215</c:v>
                </c:pt>
                <c:pt idx="3">
                  <c:v>221</c:v>
                </c:pt>
                <c:pt idx="4">
                  <c:v>221</c:v>
                </c:pt>
                <c:pt idx="5">
                  <c:v>219</c:v>
                </c:pt>
                <c:pt idx="6">
                  <c:v>219</c:v>
                </c:pt>
                <c:pt idx="7">
                  <c:v>219</c:v>
                </c:pt>
                <c:pt idx="8">
                  <c:v>221</c:v>
                </c:pt>
                <c:pt idx="9">
                  <c:v>219</c:v>
                </c:pt>
                <c:pt idx="10">
                  <c:v>217</c:v>
                </c:pt>
                <c:pt idx="11">
                  <c:v>219</c:v>
                </c:pt>
                <c:pt idx="12">
                  <c:v>219</c:v>
                </c:pt>
                <c:pt idx="13">
                  <c:v>215</c:v>
                </c:pt>
                <c:pt idx="14">
                  <c:v>217</c:v>
                </c:pt>
                <c:pt idx="15">
                  <c:v>221</c:v>
                </c:pt>
                <c:pt idx="16">
                  <c:v>215</c:v>
                </c:pt>
                <c:pt idx="17">
                  <c:v>225</c:v>
                </c:pt>
                <c:pt idx="18">
                  <c:v>221</c:v>
                </c:pt>
                <c:pt idx="19">
                  <c:v>219</c:v>
                </c:pt>
                <c:pt idx="20">
                  <c:v>227</c:v>
                </c:pt>
                <c:pt idx="21">
                  <c:v>225</c:v>
                </c:pt>
                <c:pt idx="22">
                  <c:v>223</c:v>
                </c:pt>
                <c:pt idx="23">
                  <c:v>223</c:v>
                </c:pt>
                <c:pt idx="24">
                  <c:v>225</c:v>
                </c:pt>
                <c:pt idx="25">
                  <c:v>223</c:v>
                </c:pt>
                <c:pt idx="26">
                  <c:v>221</c:v>
                </c:pt>
                <c:pt idx="27">
                  <c:v>225</c:v>
                </c:pt>
                <c:pt idx="28">
                  <c:v>223</c:v>
                </c:pt>
                <c:pt idx="29">
                  <c:v>221</c:v>
                </c:pt>
                <c:pt idx="30">
                  <c:v>227</c:v>
                </c:pt>
                <c:pt idx="31">
                  <c:v>223</c:v>
                </c:pt>
                <c:pt idx="32">
                  <c:v>221</c:v>
                </c:pt>
                <c:pt idx="33">
                  <c:v>223</c:v>
                </c:pt>
                <c:pt idx="34">
                  <c:v>223</c:v>
                </c:pt>
                <c:pt idx="35">
                  <c:v>221</c:v>
                </c:pt>
                <c:pt idx="36">
                  <c:v>219</c:v>
                </c:pt>
                <c:pt idx="37">
                  <c:v>219</c:v>
                </c:pt>
                <c:pt idx="38">
                  <c:v>227</c:v>
                </c:pt>
                <c:pt idx="39">
                  <c:v>229</c:v>
                </c:pt>
                <c:pt idx="40">
                  <c:v>231</c:v>
                </c:pt>
                <c:pt idx="41">
                  <c:v>223</c:v>
                </c:pt>
                <c:pt idx="42">
                  <c:v>223</c:v>
                </c:pt>
                <c:pt idx="43">
                  <c:v>219</c:v>
                </c:pt>
                <c:pt idx="44">
                  <c:v>221</c:v>
                </c:pt>
                <c:pt idx="45">
                  <c:v>219</c:v>
                </c:pt>
                <c:pt idx="46">
                  <c:v>219</c:v>
                </c:pt>
                <c:pt idx="47">
                  <c:v>219</c:v>
                </c:pt>
                <c:pt idx="48">
                  <c:v>219</c:v>
                </c:pt>
                <c:pt idx="49">
                  <c:v>225</c:v>
                </c:pt>
                <c:pt idx="50">
                  <c:v>219</c:v>
                </c:pt>
                <c:pt idx="51">
                  <c:v>227</c:v>
                </c:pt>
                <c:pt idx="52">
                  <c:v>227</c:v>
                </c:pt>
                <c:pt idx="53">
                  <c:v>227</c:v>
                </c:pt>
                <c:pt idx="54">
                  <c:v>229</c:v>
                </c:pt>
                <c:pt idx="55">
                  <c:v>229</c:v>
                </c:pt>
                <c:pt idx="56">
                  <c:v>227</c:v>
                </c:pt>
                <c:pt idx="57">
                  <c:v>229</c:v>
                </c:pt>
                <c:pt idx="58">
                  <c:v>225</c:v>
                </c:pt>
                <c:pt idx="59">
                  <c:v>229</c:v>
                </c:pt>
                <c:pt idx="60">
                  <c:v>227</c:v>
                </c:pt>
                <c:pt idx="61">
                  <c:v>227</c:v>
                </c:pt>
                <c:pt idx="62">
                  <c:v>227</c:v>
                </c:pt>
                <c:pt idx="63">
                  <c:v>227</c:v>
                </c:pt>
                <c:pt idx="64">
                  <c:v>225</c:v>
                </c:pt>
                <c:pt idx="65">
                  <c:v>227</c:v>
                </c:pt>
                <c:pt idx="66">
                  <c:v>229</c:v>
                </c:pt>
                <c:pt idx="67">
                  <c:v>229</c:v>
                </c:pt>
                <c:pt idx="68">
                  <c:v>227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  <c:pt idx="72">
                  <c:v>223</c:v>
                </c:pt>
                <c:pt idx="73">
                  <c:v>225</c:v>
                </c:pt>
                <c:pt idx="74">
                  <c:v>227</c:v>
                </c:pt>
                <c:pt idx="75">
                  <c:v>225</c:v>
                </c:pt>
                <c:pt idx="76">
                  <c:v>227</c:v>
                </c:pt>
                <c:pt idx="77">
                  <c:v>225</c:v>
                </c:pt>
                <c:pt idx="78">
                  <c:v>225</c:v>
                </c:pt>
                <c:pt idx="79">
                  <c:v>223</c:v>
                </c:pt>
                <c:pt idx="80">
                  <c:v>221</c:v>
                </c:pt>
                <c:pt idx="81">
                  <c:v>223</c:v>
                </c:pt>
                <c:pt idx="82">
                  <c:v>221</c:v>
                </c:pt>
                <c:pt idx="83">
                  <c:v>219</c:v>
                </c:pt>
                <c:pt idx="84">
                  <c:v>221</c:v>
                </c:pt>
                <c:pt idx="85">
                  <c:v>223</c:v>
                </c:pt>
                <c:pt idx="86">
                  <c:v>223</c:v>
                </c:pt>
                <c:pt idx="87">
                  <c:v>221</c:v>
                </c:pt>
                <c:pt idx="88">
                  <c:v>223</c:v>
                </c:pt>
                <c:pt idx="89">
                  <c:v>225</c:v>
                </c:pt>
                <c:pt idx="90">
                  <c:v>221</c:v>
                </c:pt>
                <c:pt idx="91">
                  <c:v>225</c:v>
                </c:pt>
                <c:pt idx="92">
                  <c:v>225</c:v>
                </c:pt>
                <c:pt idx="93">
                  <c:v>223</c:v>
                </c:pt>
                <c:pt idx="94">
                  <c:v>223</c:v>
                </c:pt>
                <c:pt idx="95">
                  <c:v>219</c:v>
                </c:pt>
                <c:pt idx="96">
                  <c:v>223</c:v>
                </c:pt>
                <c:pt idx="97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94D0-A94E-88E6-E0A12DBE0B2C}"/>
            </c:ext>
          </c:extLst>
        </c:ser>
        <c:ser>
          <c:idx val="1"/>
          <c:order val="1"/>
          <c:tx>
            <c:v>Blackbutt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Calculations!$K$101:$K$115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Calculations!$O$101:$O$115</c:f>
              <c:numCache>
                <c:formatCode>General</c:formatCode>
                <c:ptCount val="15"/>
                <c:pt idx="0">
                  <c:v>223</c:v>
                </c:pt>
                <c:pt idx="1">
                  <c:v>223</c:v>
                </c:pt>
                <c:pt idx="2">
                  <c:v>221</c:v>
                </c:pt>
                <c:pt idx="3">
                  <c:v>225</c:v>
                </c:pt>
                <c:pt idx="4">
                  <c:v>223</c:v>
                </c:pt>
                <c:pt idx="5">
                  <c:v>221</c:v>
                </c:pt>
                <c:pt idx="6">
                  <c:v>219</c:v>
                </c:pt>
                <c:pt idx="7">
                  <c:v>225</c:v>
                </c:pt>
                <c:pt idx="8">
                  <c:v>223</c:v>
                </c:pt>
                <c:pt idx="9">
                  <c:v>221</c:v>
                </c:pt>
                <c:pt idx="10">
                  <c:v>221</c:v>
                </c:pt>
                <c:pt idx="11">
                  <c:v>223</c:v>
                </c:pt>
                <c:pt idx="12">
                  <c:v>223</c:v>
                </c:pt>
                <c:pt idx="13">
                  <c:v>221</c:v>
                </c:pt>
                <c:pt idx="14">
                  <c:v>223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94D0-A94E-88E6-E0A12DBE0B2C}"/>
            </c:ext>
          </c:extLst>
        </c:ser>
        <c:ser>
          <c:idx val="2"/>
          <c:order val="2"/>
          <c:tx>
            <c:v>Grey Ironbark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Calculations!$K$116:$K$130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Calculations!$O$116:$O$130</c:f>
              <c:numCache>
                <c:formatCode>General</c:formatCode>
                <c:ptCount val="15"/>
                <c:pt idx="0">
                  <c:v>219</c:v>
                </c:pt>
                <c:pt idx="1">
                  <c:v>221</c:v>
                </c:pt>
                <c:pt idx="2">
                  <c:v>221</c:v>
                </c:pt>
                <c:pt idx="3">
                  <c:v>221</c:v>
                </c:pt>
                <c:pt idx="4">
                  <c:v>221</c:v>
                </c:pt>
                <c:pt idx="5">
                  <c:v>223</c:v>
                </c:pt>
                <c:pt idx="6">
                  <c:v>227</c:v>
                </c:pt>
                <c:pt idx="7">
                  <c:v>227</c:v>
                </c:pt>
                <c:pt idx="8">
                  <c:v>225</c:v>
                </c:pt>
                <c:pt idx="9">
                  <c:v>227</c:v>
                </c:pt>
                <c:pt idx="10">
                  <c:v>229</c:v>
                </c:pt>
                <c:pt idx="11">
                  <c:v>225</c:v>
                </c:pt>
                <c:pt idx="12">
                  <c:v>225</c:v>
                </c:pt>
                <c:pt idx="13">
                  <c:v>223</c:v>
                </c:pt>
                <c:pt idx="14">
                  <c:v>225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94D0-A94E-88E6-E0A12DBE0B2C}"/>
            </c:ext>
          </c:extLst>
        </c:ser>
        <c:ser>
          <c:idx val="3"/>
          <c:order val="3"/>
          <c:tx>
            <c:v>Spotted Gum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Calculations!$K$131:$K$145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Calculations!$O$131:$O$145</c:f>
              <c:numCache>
                <c:formatCode>General</c:formatCode>
                <c:ptCount val="15"/>
                <c:pt idx="0">
                  <c:v>223</c:v>
                </c:pt>
                <c:pt idx="1">
                  <c:v>219</c:v>
                </c:pt>
                <c:pt idx="2">
                  <c:v>221</c:v>
                </c:pt>
                <c:pt idx="3">
                  <c:v>219</c:v>
                </c:pt>
                <c:pt idx="4" formatCode="0">
                  <c:v>220.5</c:v>
                </c:pt>
                <c:pt idx="5">
                  <c:v>225</c:v>
                </c:pt>
                <c:pt idx="6">
                  <c:v>221</c:v>
                </c:pt>
                <c:pt idx="7">
                  <c:v>225</c:v>
                </c:pt>
                <c:pt idx="8">
                  <c:v>221</c:v>
                </c:pt>
                <c:pt idx="9">
                  <c:v>221</c:v>
                </c:pt>
                <c:pt idx="10">
                  <c:v>217</c:v>
                </c:pt>
                <c:pt idx="11">
                  <c:v>217</c:v>
                </c:pt>
                <c:pt idx="12">
                  <c:v>223</c:v>
                </c:pt>
                <c:pt idx="13">
                  <c:v>219</c:v>
                </c:pt>
                <c:pt idx="14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94D0-A94E-88E6-E0A12DBE0B2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ax val="240"/>
          <c:min val="20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65012628138464"/>
          <c:y val="0.61229689135678844"/>
          <c:w val="0.12105051255385528"/>
          <c:h val="0.19508807063856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RBS all spp 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981517935258094"/>
                  <c:y val="-0.39944480898221058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Calculations!$K$3:$K$145</c:f>
              <c:numCache>
                <c:formatCode>General</c:formatCode>
                <c:ptCount val="1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</c:numCache>
            </c:numRef>
          </c:xVal>
          <c:yVal>
            <c:numRef>
              <c:f>Calculations!$O$3:$O$145</c:f>
              <c:numCache>
                <c:formatCode>General</c:formatCode>
                <c:ptCount val="143"/>
                <c:pt idx="0">
                  <c:v>217</c:v>
                </c:pt>
                <c:pt idx="1">
                  <c:v>219</c:v>
                </c:pt>
                <c:pt idx="2">
                  <c:v>215</c:v>
                </c:pt>
                <c:pt idx="3">
                  <c:v>221</c:v>
                </c:pt>
                <c:pt idx="4">
                  <c:v>221</c:v>
                </c:pt>
                <c:pt idx="5">
                  <c:v>219</c:v>
                </c:pt>
                <c:pt idx="6">
                  <c:v>219</c:v>
                </c:pt>
                <c:pt idx="7">
                  <c:v>219</c:v>
                </c:pt>
                <c:pt idx="8">
                  <c:v>221</c:v>
                </c:pt>
                <c:pt idx="9">
                  <c:v>219</c:v>
                </c:pt>
                <c:pt idx="10">
                  <c:v>217</c:v>
                </c:pt>
                <c:pt idx="11">
                  <c:v>219</c:v>
                </c:pt>
                <c:pt idx="12">
                  <c:v>219</c:v>
                </c:pt>
                <c:pt idx="13">
                  <c:v>215</c:v>
                </c:pt>
                <c:pt idx="14">
                  <c:v>217</c:v>
                </c:pt>
                <c:pt idx="15">
                  <c:v>221</c:v>
                </c:pt>
                <c:pt idx="16">
                  <c:v>215</c:v>
                </c:pt>
                <c:pt idx="17">
                  <c:v>225</c:v>
                </c:pt>
                <c:pt idx="18">
                  <c:v>221</c:v>
                </c:pt>
                <c:pt idx="19">
                  <c:v>219</c:v>
                </c:pt>
                <c:pt idx="20">
                  <c:v>227</c:v>
                </c:pt>
                <c:pt idx="21">
                  <c:v>225</c:v>
                </c:pt>
                <c:pt idx="22">
                  <c:v>223</c:v>
                </c:pt>
                <c:pt idx="23">
                  <c:v>223</c:v>
                </c:pt>
                <c:pt idx="24">
                  <c:v>225</c:v>
                </c:pt>
                <c:pt idx="25">
                  <c:v>223</c:v>
                </c:pt>
                <c:pt idx="26">
                  <c:v>221</c:v>
                </c:pt>
                <c:pt idx="27">
                  <c:v>225</c:v>
                </c:pt>
                <c:pt idx="28">
                  <c:v>223</c:v>
                </c:pt>
                <c:pt idx="29">
                  <c:v>221</c:v>
                </c:pt>
                <c:pt idx="30">
                  <c:v>227</c:v>
                </c:pt>
                <c:pt idx="31">
                  <c:v>223</c:v>
                </c:pt>
                <c:pt idx="32">
                  <c:v>221</c:v>
                </c:pt>
                <c:pt idx="33">
                  <c:v>223</c:v>
                </c:pt>
                <c:pt idx="34">
                  <c:v>223</c:v>
                </c:pt>
                <c:pt idx="35">
                  <c:v>221</c:v>
                </c:pt>
                <c:pt idx="36">
                  <c:v>219</c:v>
                </c:pt>
                <c:pt idx="37">
                  <c:v>219</c:v>
                </c:pt>
                <c:pt idx="38">
                  <c:v>227</c:v>
                </c:pt>
                <c:pt idx="39">
                  <c:v>229</c:v>
                </c:pt>
                <c:pt idx="40">
                  <c:v>231</c:v>
                </c:pt>
                <c:pt idx="41">
                  <c:v>223</c:v>
                </c:pt>
                <c:pt idx="42">
                  <c:v>223</c:v>
                </c:pt>
                <c:pt idx="43">
                  <c:v>219</c:v>
                </c:pt>
                <c:pt idx="44">
                  <c:v>221</c:v>
                </c:pt>
                <c:pt idx="45">
                  <c:v>219</c:v>
                </c:pt>
                <c:pt idx="46">
                  <c:v>219</c:v>
                </c:pt>
                <c:pt idx="47">
                  <c:v>219</c:v>
                </c:pt>
                <c:pt idx="48">
                  <c:v>219</c:v>
                </c:pt>
                <c:pt idx="49">
                  <c:v>225</c:v>
                </c:pt>
                <c:pt idx="50">
                  <c:v>219</c:v>
                </c:pt>
                <c:pt idx="51">
                  <c:v>227</c:v>
                </c:pt>
                <c:pt idx="52">
                  <c:v>227</c:v>
                </c:pt>
                <c:pt idx="53">
                  <c:v>227</c:v>
                </c:pt>
                <c:pt idx="54">
                  <c:v>229</c:v>
                </c:pt>
                <c:pt idx="55">
                  <c:v>229</c:v>
                </c:pt>
                <c:pt idx="56">
                  <c:v>227</c:v>
                </c:pt>
                <c:pt idx="57">
                  <c:v>229</c:v>
                </c:pt>
                <c:pt idx="58">
                  <c:v>225</c:v>
                </c:pt>
                <c:pt idx="59">
                  <c:v>229</c:v>
                </c:pt>
                <c:pt idx="60">
                  <c:v>227</c:v>
                </c:pt>
                <c:pt idx="61">
                  <c:v>227</c:v>
                </c:pt>
                <c:pt idx="62">
                  <c:v>227</c:v>
                </c:pt>
                <c:pt idx="63">
                  <c:v>227</c:v>
                </c:pt>
                <c:pt idx="64">
                  <c:v>225</c:v>
                </c:pt>
                <c:pt idx="65">
                  <c:v>227</c:v>
                </c:pt>
                <c:pt idx="66">
                  <c:v>229</c:v>
                </c:pt>
                <c:pt idx="67">
                  <c:v>229</c:v>
                </c:pt>
                <c:pt idx="68">
                  <c:v>227</c:v>
                </c:pt>
                <c:pt idx="69">
                  <c:v>225</c:v>
                </c:pt>
                <c:pt idx="70">
                  <c:v>225</c:v>
                </c:pt>
                <c:pt idx="71">
                  <c:v>225</c:v>
                </c:pt>
                <c:pt idx="72">
                  <c:v>223</c:v>
                </c:pt>
                <c:pt idx="73">
                  <c:v>225</c:v>
                </c:pt>
                <c:pt idx="74">
                  <c:v>227</c:v>
                </c:pt>
                <c:pt idx="75">
                  <c:v>225</c:v>
                </c:pt>
                <c:pt idx="76">
                  <c:v>227</c:v>
                </c:pt>
                <c:pt idx="77">
                  <c:v>225</c:v>
                </c:pt>
                <c:pt idx="78">
                  <c:v>225</c:v>
                </c:pt>
                <c:pt idx="79">
                  <c:v>223</c:v>
                </c:pt>
                <c:pt idx="80">
                  <c:v>221</c:v>
                </c:pt>
                <c:pt idx="81">
                  <c:v>223</c:v>
                </c:pt>
                <c:pt idx="82">
                  <c:v>221</c:v>
                </c:pt>
                <c:pt idx="83">
                  <c:v>219</c:v>
                </c:pt>
                <c:pt idx="84">
                  <c:v>221</c:v>
                </c:pt>
                <c:pt idx="85">
                  <c:v>223</c:v>
                </c:pt>
                <c:pt idx="86">
                  <c:v>223</c:v>
                </c:pt>
                <c:pt idx="87">
                  <c:v>221</c:v>
                </c:pt>
                <c:pt idx="88">
                  <c:v>223</c:v>
                </c:pt>
                <c:pt idx="89">
                  <c:v>225</c:v>
                </c:pt>
                <c:pt idx="90">
                  <c:v>221</c:v>
                </c:pt>
                <c:pt idx="91">
                  <c:v>225</c:v>
                </c:pt>
                <c:pt idx="92">
                  <c:v>225</c:v>
                </c:pt>
                <c:pt idx="93">
                  <c:v>223</c:v>
                </c:pt>
                <c:pt idx="94">
                  <c:v>223</c:v>
                </c:pt>
                <c:pt idx="95">
                  <c:v>219</c:v>
                </c:pt>
                <c:pt idx="96">
                  <c:v>223</c:v>
                </c:pt>
                <c:pt idx="97">
                  <c:v>223</c:v>
                </c:pt>
                <c:pt idx="98">
                  <c:v>223</c:v>
                </c:pt>
                <c:pt idx="99">
                  <c:v>223</c:v>
                </c:pt>
                <c:pt idx="100">
                  <c:v>221</c:v>
                </c:pt>
                <c:pt idx="101">
                  <c:v>225</c:v>
                </c:pt>
                <c:pt idx="102">
                  <c:v>223</c:v>
                </c:pt>
                <c:pt idx="103">
                  <c:v>221</c:v>
                </c:pt>
                <c:pt idx="104">
                  <c:v>219</c:v>
                </c:pt>
                <c:pt idx="105">
                  <c:v>225</c:v>
                </c:pt>
                <c:pt idx="106">
                  <c:v>223</c:v>
                </c:pt>
                <c:pt idx="107">
                  <c:v>221</c:v>
                </c:pt>
                <c:pt idx="108">
                  <c:v>221</c:v>
                </c:pt>
                <c:pt idx="109">
                  <c:v>223</c:v>
                </c:pt>
                <c:pt idx="110">
                  <c:v>223</c:v>
                </c:pt>
                <c:pt idx="111">
                  <c:v>221</c:v>
                </c:pt>
                <c:pt idx="112">
                  <c:v>223</c:v>
                </c:pt>
                <c:pt idx="113">
                  <c:v>219</c:v>
                </c:pt>
                <c:pt idx="114">
                  <c:v>221</c:v>
                </c:pt>
                <c:pt idx="115">
                  <c:v>221</c:v>
                </c:pt>
                <c:pt idx="116">
                  <c:v>221</c:v>
                </c:pt>
                <c:pt idx="117">
                  <c:v>221</c:v>
                </c:pt>
                <c:pt idx="118">
                  <c:v>223</c:v>
                </c:pt>
                <c:pt idx="119">
                  <c:v>227</c:v>
                </c:pt>
                <c:pt idx="120">
                  <c:v>227</c:v>
                </c:pt>
                <c:pt idx="121">
                  <c:v>225</c:v>
                </c:pt>
                <c:pt idx="122">
                  <c:v>227</c:v>
                </c:pt>
                <c:pt idx="123">
                  <c:v>229</c:v>
                </c:pt>
                <c:pt idx="124">
                  <c:v>225</c:v>
                </c:pt>
                <c:pt idx="125">
                  <c:v>225</c:v>
                </c:pt>
                <c:pt idx="126">
                  <c:v>223</c:v>
                </c:pt>
                <c:pt idx="127">
                  <c:v>225</c:v>
                </c:pt>
                <c:pt idx="128">
                  <c:v>223</c:v>
                </c:pt>
                <c:pt idx="129">
                  <c:v>219</c:v>
                </c:pt>
                <c:pt idx="130">
                  <c:v>221</c:v>
                </c:pt>
                <c:pt idx="131">
                  <c:v>219</c:v>
                </c:pt>
                <c:pt idx="132" formatCode="0">
                  <c:v>220.5</c:v>
                </c:pt>
                <c:pt idx="133">
                  <c:v>225</c:v>
                </c:pt>
                <c:pt idx="134">
                  <c:v>221</c:v>
                </c:pt>
                <c:pt idx="135">
                  <c:v>225</c:v>
                </c:pt>
                <c:pt idx="136">
                  <c:v>221</c:v>
                </c:pt>
                <c:pt idx="137">
                  <c:v>221</c:v>
                </c:pt>
                <c:pt idx="138">
                  <c:v>217</c:v>
                </c:pt>
                <c:pt idx="139">
                  <c:v>217</c:v>
                </c:pt>
                <c:pt idx="140">
                  <c:v>223</c:v>
                </c:pt>
                <c:pt idx="141">
                  <c:v>219</c:v>
                </c:pt>
                <c:pt idx="142">
                  <c:v>217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4189-0944-90F4-BEDC5BC65FA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R1 ID/IG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75724260882489E-2"/>
          <c:y val="0.10718219471121024"/>
          <c:w val="0.84423666617144555"/>
          <c:h val="0.76473032633926541"/>
        </c:manualLayout>
      </c:layout>
      <c:scatterChart>
        <c:scatterStyle val="lineMarker"/>
        <c:varyColors val="0"/>
        <c:ser>
          <c:idx val="0"/>
          <c:order val="0"/>
          <c:tx>
            <c:v>Silvertop Ash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Calculations!$M$3:$M$100</c:f>
              <c:numCache>
                <c:formatCode>General</c:formatCode>
                <c:ptCount val="98"/>
                <c:pt idx="0">
                  <c:v>0.51779783199999996</c:v>
                </c:pt>
                <c:pt idx="1">
                  <c:v>0.46752300099999999</c:v>
                </c:pt>
                <c:pt idx="2">
                  <c:v>0.42901716099999998</c:v>
                </c:pt>
                <c:pt idx="3">
                  <c:v>0.53874906199999995</c:v>
                </c:pt>
                <c:pt idx="4">
                  <c:v>0.54573990400000005</c:v>
                </c:pt>
                <c:pt idx="5">
                  <c:v>0.57053365700000003</c:v>
                </c:pt>
                <c:pt idx="6">
                  <c:v>0.56987079600000001</c:v>
                </c:pt>
                <c:pt idx="7">
                  <c:v>0.55225785900000002</c:v>
                </c:pt>
                <c:pt idx="8">
                  <c:v>0.51424303299999996</c:v>
                </c:pt>
                <c:pt idx="9">
                  <c:v>0.48873892200000002</c:v>
                </c:pt>
                <c:pt idx="10">
                  <c:v>0.56106354199999997</c:v>
                </c:pt>
                <c:pt idx="11">
                  <c:v>0.50764628300000003</c:v>
                </c:pt>
                <c:pt idx="12">
                  <c:v>0.53339115400000003</c:v>
                </c:pt>
                <c:pt idx="13">
                  <c:v>0.17008802100000001</c:v>
                </c:pt>
                <c:pt idx="14">
                  <c:v>0.19756443400000001</c:v>
                </c:pt>
                <c:pt idx="15">
                  <c:v>0.156235338</c:v>
                </c:pt>
                <c:pt idx="16">
                  <c:v>0.17883037800000001</c:v>
                </c:pt>
                <c:pt idx="17">
                  <c:v>0.71334576199999999</c:v>
                </c:pt>
                <c:pt idx="18">
                  <c:v>0.52777870199999999</c:v>
                </c:pt>
                <c:pt idx="19">
                  <c:v>0.69843337400000005</c:v>
                </c:pt>
                <c:pt idx="20">
                  <c:v>0.73097008200000002</c:v>
                </c:pt>
                <c:pt idx="21">
                  <c:v>0.72598475100000004</c:v>
                </c:pt>
                <c:pt idx="22">
                  <c:v>0.73454623600000002</c:v>
                </c:pt>
                <c:pt idx="23">
                  <c:v>0.73454623600000002</c:v>
                </c:pt>
                <c:pt idx="24">
                  <c:v>0.72092707700000003</c:v>
                </c:pt>
                <c:pt idx="25">
                  <c:v>0.72712802600000004</c:v>
                </c:pt>
                <c:pt idx="26">
                  <c:v>0.73770491800000004</c:v>
                </c:pt>
                <c:pt idx="27">
                  <c:v>0.733303178</c:v>
                </c:pt>
                <c:pt idx="28">
                  <c:v>0.73854846399999996</c:v>
                </c:pt>
                <c:pt idx="29">
                  <c:v>0.73790028500000004</c:v>
                </c:pt>
                <c:pt idx="30">
                  <c:v>0.72417115600000004</c:v>
                </c:pt>
                <c:pt idx="31">
                  <c:v>0.75613380299999999</c:v>
                </c:pt>
                <c:pt idx="32">
                  <c:v>0.73148521600000005</c:v>
                </c:pt>
                <c:pt idx="33">
                  <c:v>0.695633316</c:v>
                </c:pt>
                <c:pt idx="34">
                  <c:v>0.55243503699999996</c:v>
                </c:pt>
                <c:pt idx="35">
                  <c:v>0.60050605300000004</c:v>
                </c:pt>
                <c:pt idx="36">
                  <c:v>0.68848210499999996</c:v>
                </c:pt>
                <c:pt idx="37">
                  <c:v>0.68231720600000001</c:v>
                </c:pt>
                <c:pt idx="38">
                  <c:v>0.616984957</c:v>
                </c:pt>
                <c:pt idx="39">
                  <c:v>0.62606073399999995</c:v>
                </c:pt>
                <c:pt idx="40">
                  <c:v>0.66625183799999999</c:v>
                </c:pt>
                <c:pt idx="41">
                  <c:v>0.56164383600000001</c:v>
                </c:pt>
                <c:pt idx="42">
                  <c:v>0.57426923399999996</c:v>
                </c:pt>
                <c:pt idx="43">
                  <c:v>0.61361747799999999</c:v>
                </c:pt>
                <c:pt idx="44">
                  <c:v>0.56498529399999997</c:v>
                </c:pt>
                <c:pt idx="45">
                  <c:v>0.59044843199999997</c:v>
                </c:pt>
                <c:pt idx="46">
                  <c:v>0.59979337200000005</c:v>
                </c:pt>
                <c:pt idx="47">
                  <c:v>0.59053933700000005</c:v>
                </c:pt>
                <c:pt idx="48">
                  <c:v>0.597225275</c:v>
                </c:pt>
                <c:pt idx="49">
                  <c:v>0.53459877499999997</c:v>
                </c:pt>
                <c:pt idx="50">
                  <c:v>0.59671041000000002</c:v>
                </c:pt>
                <c:pt idx="51">
                  <c:v>0.54771530099999999</c:v>
                </c:pt>
                <c:pt idx="52">
                  <c:v>0.60193803400000001</c:v>
                </c:pt>
                <c:pt idx="53">
                  <c:v>0.62914580200000003</c:v>
                </c:pt>
                <c:pt idx="54">
                  <c:v>0.62061576600000001</c:v>
                </c:pt>
                <c:pt idx="55">
                  <c:v>0.62519327899999999</c:v>
                </c:pt>
                <c:pt idx="56">
                  <c:v>0.62829153100000001</c:v>
                </c:pt>
                <c:pt idx="57">
                  <c:v>0.61626229499999996</c:v>
                </c:pt>
                <c:pt idx="58">
                  <c:v>0.82158132699999997</c:v>
                </c:pt>
                <c:pt idx="59">
                  <c:v>0.63174883599999998</c:v>
                </c:pt>
                <c:pt idx="60">
                  <c:v>0.69369776400000005</c:v>
                </c:pt>
                <c:pt idx="61">
                  <c:v>0.72410748800000002</c:v>
                </c:pt>
                <c:pt idx="62">
                  <c:v>0.73021545300000001</c:v>
                </c:pt>
                <c:pt idx="63">
                  <c:v>0.71379293799999999</c:v>
                </c:pt>
                <c:pt idx="64">
                  <c:v>0.71917692099999997</c:v>
                </c:pt>
                <c:pt idx="65">
                  <c:v>0.71338710500000002</c:v>
                </c:pt>
                <c:pt idx="66">
                  <c:v>0.69973695599999997</c:v>
                </c:pt>
                <c:pt idx="67">
                  <c:v>0.70959603599999999</c:v>
                </c:pt>
                <c:pt idx="68">
                  <c:v>0.75719032500000005</c:v>
                </c:pt>
                <c:pt idx="69">
                  <c:v>0.79739467100000005</c:v>
                </c:pt>
                <c:pt idx="70">
                  <c:v>0.83832681099999995</c:v>
                </c:pt>
                <c:pt idx="71">
                  <c:v>0.80638929599999998</c:v>
                </c:pt>
                <c:pt idx="72">
                  <c:v>0.83740164100000003</c:v>
                </c:pt>
                <c:pt idx="73">
                  <c:v>0.84914992300000003</c:v>
                </c:pt>
                <c:pt idx="74">
                  <c:v>0.719660089</c:v>
                </c:pt>
                <c:pt idx="75">
                  <c:v>0.71893659899999995</c:v>
                </c:pt>
                <c:pt idx="76">
                  <c:v>0.714776525</c:v>
                </c:pt>
                <c:pt idx="77">
                  <c:v>0.72553430799999996</c:v>
                </c:pt>
                <c:pt idx="78">
                  <c:v>0.76709635099999995</c:v>
                </c:pt>
                <c:pt idx="79">
                  <c:v>0.78527047299999997</c:v>
                </c:pt>
                <c:pt idx="80">
                  <c:v>0.81979771499999998</c:v>
                </c:pt>
                <c:pt idx="81">
                  <c:v>0.749696115</c:v>
                </c:pt>
                <c:pt idx="82">
                  <c:v>0.79198464099999999</c:v>
                </c:pt>
                <c:pt idx="83">
                  <c:v>0.76394360699999997</c:v>
                </c:pt>
                <c:pt idx="84">
                  <c:v>0.77861278300000003</c:v>
                </c:pt>
                <c:pt idx="85">
                  <c:v>0.786975761</c:v>
                </c:pt>
                <c:pt idx="86">
                  <c:v>0.80334705699999998</c:v>
                </c:pt>
                <c:pt idx="87">
                  <c:v>0.75972058899999995</c:v>
                </c:pt>
                <c:pt idx="88">
                  <c:v>0.75660622099999997</c:v>
                </c:pt>
                <c:pt idx="89">
                  <c:v>0.71574502500000003</c:v>
                </c:pt>
                <c:pt idx="90">
                  <c:v>0.75122159200000005</c:v>
                </c:pt>
                <c:pt idx="91">
                  <c:v>0.67590902799999997</c:v>
                </c:pt>
                <c:pt idx="92">
                  <c:v>0.71128010699999999</c:v>
                </c:pt>
                <c:pt idx="93">
                  <c:v>0.74261552500000005</c:v>
                </c:pt>
                <c:pt idx="94">
                  <c:v>0.78182138599999995</c:v>
                </c:pt>
                <c:pt idx="95">
                  <c:v>0.76075119800000002</c:v>
                </c:pt>
                <c:pt idx="96">
                  <c:v>0.72419323999999996</c:v>
                </c:pt>
                <c:pt idx="97">
                  <c:v>0.76299519900000001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0AA5-E845-B59F-CBCC9B0C192B}"/>
            </c:ext>
          </c:extLst>
        </c:ser>
        <c:ser>
          <c:idx val="1"/>
          <c:order val="1"/>
          <c:tx>
            <c:v>Blackbutt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Calculations!$K$101:$K$115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Calculations!$M$101:$M$115</c:f>
              <c:numCache>
                <c:formatCode>0.000</c:formatCode>
                <c:ptCount val="15"/>
                <c:pt idx="0">
                  <c:v>0.74576722284778385</c:v>
                </c:pt>
                <c:pt idx="1">
                  <c:v>0.76487365437122834</c:v>
                </c:pt>
                <c:pt idx="2">
                  <c:v>0.78694398793005904</c:v>
                </c:pt>
                <c:pt idx="3">
                  <c:v>0.76402825575076982</c:v>
                </c:pt>
                <c:pt idx="4">
                  <c:v>0.76407042813384152</c:v>
                </c:pt>
                <c:pt idx="5">
                  <c:v>0.78901244264395853</c:v>
                </c:pt>
                <c:pt idx="6">
                  <c:v>0.77304250125915308</c:v>
                </c:pt>
                <c:pt idx="7">
                  <c:v>0.62695621932841294</c:v>
                </c:pt>
                <c:pt idx="8">
                  <c:v>0.71905643287520182</c:v>
                </c:pt>
                <c:pt idx="9">
                  <c:v>0.78299768049777252</c:v>
                </c:pt>
                <c:pt idx="10">
                  <c:v>0.72942645413416785</c:v>
                </c:pt>
                <c:pt idx="11">
                  <c:v>0.71819543177788869</c:v>
                </c:pt>
                <c:pt idx="12">
                  <c:v>0.7223393179105615</c:v>
                </c:pt>
                <c:pt idx="13">
                  <c:v>0.73022530402343666</c:v>
                </c:pt>
                <c:pt idx="14">
                  <c:v>0.73792878322134869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0AA5-E845-B59F-CBCC9B0C192B}"/>
            </c:ext>
          </c:extLst>
        </c:ser>
        <c:ser>
          <c:idx val="2"/>
          <c:order val="2"/>
          <c:tx>
            <c:v>Grey Ironbark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Calculations!$K$116:$K$130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Calculations!$M$116:$M$130</c:f>
              <c:numCache>
                <c:formatCode>0.000</c:formatCode>
                <c:ptCount val="15"/>
                <c:pt idx="0">
                  <c:v>0.69329423800000001</c:v>
                </c:pt>
                <c:pt idx="1">
                  <c:v>0.69002488500000003</c:v>
                </c:pt>
                <c:pt idx="2">
                  <c:v>0.68533776499999999</c:v>
                </c:pt>
                <c:pt idx="3">
                  <c:v>0.68110247400000001</c:v>
                </c:pt>
                <c:pt idx="4">
                  <c:v>0.69354122600000001</c:v>
                </c:pt>
                <c:pt idx="5">
                  <c:v>0.63718820899999995</c:v>
                </c:pt>
                <c:pt idx="6">
                  <c:v>0.56940413199999995</c:v>
                </c:pt>
                <c:pt idx="7">
                  <c:v>0.56189359900000002</c:v>
                </c:pt>
                <c:pt idx="8">
                  <c:v>0.53743174199999999</c:v>
                </c:pt>
                <c:pt idx="9">
                  <c:v>0.56346907499999999</c:v>
                </c:pt>
                <c:pt idx="10">
                  <c:v>0.64244506400000001</c:v>
                </c:pt>
                <c:pt idx="11">
                  <c:v>0.72224680799999996</c:v>
                </c:pt>
                <c:pt idx="12">
                  <c:v>0.72465417099999996</c:v>
                </c:pt>
                <c:pt idx="13">
                  <c:v>0.72984070999999995</c:v>
                </c:pt>
                <c:pt idx="14">
                  <c:v>0.681110887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0AA5-E845-B59F-CBCC9B0C192B}"/>
            </c:ext>
          </c:extLst>
        </c:ser>
        <c:ser>
          <c:idx val="3"/>
          <c:order val="3"/>
          <c:tx>
            <c:v>Spotted Gum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Calculations!$K$131:$K$145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Calculations!$M$131:$M$145</c:f>
              <c:numCache>
                <c:formatCode>0.000</c:formatCode>
                <c:ptCount val="15"/>
                <c:pt idx="0">
                  <c:v>0.64618840005284717</c:v>
                </c:pt>
                <c:pt idx="1">
                  <c:v>0.67139050085925633</c:v>
                </c:pt>
                <c:pt idx="2">
                  <c:v>0.66129979294786612</c:v>
                </c:pt>
                <c:pt idx="3">
                  <c:v>0.64911336383481355</c:v>
                </c:pt>
                <c:pt idx="4">
                  <c:v>0.65861431080850008</c:v>
                </c:pt>
                <c:pt idx="5">
                  <c:v>0.62710915430229308</c:v>
                </c:pt>
                <c:pt idx="6">
                  <c:v>0.66610778443113772</c:v>
                </c:pt>
                <c:pt idx="7">
                  <c:v>0.62970924095576242</c:v>
                </c:pt>
                <c:pt idx="8">
                  <c:v>0.65982376138004906</c:v>
                </c:pt>
                <c:pt idx="9">
                  <c:v>0.66624082563062048</c:v>
                </c:pt>
                <c:pt idx="10">
                  <c:v>0.60760287875991881</c:v>
                </c:pt>
                <c:pt idx="11">
                  <c:v>0.56991298128501611</c:v>
                </c:pt>
                <c:pt idx="12">
                  <c:v>0.32172946306043393</c:v>
                </c:pt>
                <c:pt idx="13">
                  <c:v>0.4891564311484049</c:v>
                </c:pt>
                <c:pt idx="14">
                  <c:v>0.6088367175822974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0AA5-E845-B59F-CBCC9B0C192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ID/IG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65012628138464"/>
          <c:y val="0.61229689135678844"/>
          <c:w val="0.12105051255385528"/>
          <c:h val="0.19508807063856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R1 (ID/IG)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7318460192476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Calculations!$K$3:$K$145</c:f>
              <c:numCache>
                <c:formatCode>General</c:formatCode>
                <c:ptCount val="1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</c:numCache>
            </c:numRef>
          </c:xVal>
          <c:yVal>
            <c:numRef>
              <c:f>Calculations!$M$3:$M$145</c:f>
              <c:numCache>
                <c:formatCode>General</c:formatCode>
                <c:ptCount val="143"/>
                <c:pt idx="0">
                  <c:v>0.51779783199999996</c:v>
                </c:pt>
                <c:pt idx="1">
                  <c:v>0.46752300099999999</c:v>
                </c:pt>
                <c:pt idx="2">
                  <c:v>0.42901716099999998</c:v>
                </c:pt>
                <c:pt idx="3">
                  <c:v>0.53874906199999995</c:v>
                </c:pt>
                <c:pt idx="4">
                  <c:v>0.54573990400000005</c:v>
                </c:pt>
                <c:pt idx="5">
                  <c:v>0.57053365700000003</c:v>
                </c:pt>
                <c:pt idx="6">
                  <c:v>0.56987079600000001</c:v>
                </c:pt>
                <c:pt idx="7">
                  <c:v>0.55225785900000002</c:v>
                </c:pt>
                <c:pt idx="8">
                  <c:v>0.51424303299999996</c:v>
                </c:pt>
                <c:pt idx="9">
                  <c:v>0.48873892200000002</c:v>
                </c:pt>
                <c:pt idx="10">
                  <c:v>0.56106354199999997</c:v>
                </c:pt>
                <c:pt idx="11">
                  <c:v>0.50764628300000003</c:v>
                </c:pt>
                <c:pt idx="12">
                  <c:v>0.53339115400000003</c:v>
                </c:pt>
                <c:pt idx="13">
                  <c:v>0.17008802100000001</c:v>
                </c:pt>
                <c:pt idx="14">
                  <c:v>0.19756443400000001</c:v>
                </c:pt>
                <c:pt idx="15">
                  <c:v>0.156235338</c:v>
                </c:pt>
                <c:pt idx="16">
                  <c:v>0.17883037800000001</c:v>
                </c:pt>
                <c:pt idx="17">
                  <c:v>0.71334576199999999</c:v>
                </c:pt>
                <c:pt idx="18">
                  <c:v>0.52777870199999999</c:v>
                </c:pt>
                <c:pt idx="19">
                  <c:v>0.69843337400000005</c:v>
                </c:pt>
                <c:pt idx="20">
                  <c:v>0.73097008200000002</c:v>
                </c:pt>
                <c:pt idx="21">
                  <c:v>0.72598475100000004</c:v>
                </c:pt>
                <c:pt idx="22">
                  <c:v>0.73454623600000002</c:v>
                </c:pt>
                <c:pt idx="23">
                  <c:v>0.73454623600000002</c:v>
                </c:pt>
                <c:pt idx="24">
                  <c:v>0.72092707700000003</c:v>
                </c:pt>
                <c:pt idx="25">
                  <c:v>0.72712802600000004</c:v>
                </c:pt>
                <c:pt idx="26">
                  <c:v>0.73770491800000004</c:v>
                </c:pt>
                <c:pt idx="27">
                  <c:v>0.733303178</c:v>
                </c:pt>
                <c:pt idx="28">
                  <c:v>0.73854846399999996</c:v>
                </c:pt>
                <c:pt idx="29">
                  <c:v>0.73790028500000004</c:v>
                </c:pt>
                <c:pt idx="30">
                  <c:v>0.72417115600000004</c:v>
                </c:pt>
                <c:pt idx="31">
                  <c:v>0.75613380299999999</c:v>
                </c:pt>
                <c:pt idx="32">
                  <c:v>0.73148521600000005</c:v>
                </c:pt>
                <c:pt idx="33">
                  <c:v>0.695633316</c:v>
                </c:pt>
                <c:pt idx="34">
                  <c:v>0.55243503699999996</c:v>
                </c:pt>
                <c:pt idx="35">
                  <c:v>0.60050605300000004</c:v>
                </c:pt>
                <c:pt idx="36">
                  <c:v>0.68848210499999996</c:v>
                </c:pt>
                <c:pt idx="37">
                  <c:v>0.68231720600000001</c:v>
                </c:pt>
                <c:pt idx="38">
                  <c:v>0.616984957</c:v>
                </c:pt>
                <c:pt idx="39">
                  <c:v>0.62606073399999995</c:v>
                </c:pt>
                <c:pt idx="40">
                  <c:v>0.66625183799999999</c:v>
                </c:pt>
                <c:pt idx="41">
                  <c:v>0.56164383600000001</c:v>
                </c:pt>
                <c:pt idx="42">
                  <c:v>0.57426923399999996</c:v>
                </c:pt>
                <c:pt idx="43">
                  <c:v>0.61361747799999999</c:v>
                </c:pt>
                <c:pt idx="44">
                  <c:v>0.56498529399999997</c:v>
                </c:pt>
                <c:pt idx="45">
                  <c:v>0.59044843199999997</c:v>
                </c:pt>
                <c:pt idx="46">
                  <c:v>0.59979337200000005</c:v>
                </c:pt>
                <c:pt idx="47">
                  <c:v>0.59053933700000005</c:v>
                </c:pt>
                <c:pt idx="48">
                  <c:v>0.597225275</c:v>
                </c:pt>
                <c:pt idx="49">
                  <c:v>0.53459877499999997</c:v>
                </c:pt>
                <c:pt idx="50">
                  <c:v>0.59671041000000002</c:v>
                </c:pt>
                <c:pt idx="51">
                  <c:v>0.54771530099999999</c:v>
                </c:pt>
                <c:pt idx="52">
                  <c:v>0.60193803400000001</c:v>
                </c:pt>
                <c:pt idx="53">
                  <c:v>0.62914580200000003</c:v>
                </c:pt>
                <c:pt idx="54">
                  <c:v>0.62061576600000001</c:v>
                </c:pt>
                <c:pt idx="55">
                  <c:v>0.62519327899999999</c:v>
                </c:pt>
                <c:pt idx="56">
                  <c:v>0.62829153100000001</c:v>
                </c:pt>
                <c:pt idx="57">
                  <c:v>0.61626229499999996</c:v>
                </c:pt>
                <c:pt idx="58">
                  <c:v>0.82158132699999997</c:v>
                </c:pt>
                <c:pt idx="59">
                  <c:v>0.63174883599999998</c:v>
                </c:pt>
                <c:pt idx="60">
                  <c:v>0.69369776400000005</c:v>
                </c:pt>
                <c:pt idx="61">
                  <c:v>0.72410748800000002</c:v>
                </c:pt>
                <c:pt idx="62">
                  <c:v>0.73021545300000001</c:v>
                </c:pt>
                <c:pt idx="63">
                  <c:v>0.71379293799999999</c:v>
                </c:pt>
                <c:pt idx="64">
                  <c:v>0.71917692099999997</c:v>
                </c:pt>
                <c:pt idx="65">
                  <c:v>0.71338710500000002</c:v>
                </c:pt>
                <c:pt idx="66">
                  <c:v>0.69973695599999997</c:v>
                </c:pt>
                <c:pt idx="67">
                  <c:v>0.70959603599999999</c:v>
                </c:pt>
                <c:pt idx="68">
                  <c:v>0.75719032500000005</c:v>
                </c:pt>
                <c:pt idx="69">
                  <c:v>0.79739467100000005</c:v>
                </c:pt>
                <c:pt idx="70">
                  <c:v>0.83832681099999995</c:v>
                </c:pt>
                <c:pt idx="71">
                  <c:v>0.80638929599999998</c:v>
                </c:pt>
                <c:pt idx="72">
                  <c:v>0.83740164100000003</c:v>
                </c:pt>
                <c:pt idx="73">
                  <c:v>0.84914992300000003</c:v>
                </c:pt>
                <c:pt idx="74">
                  <c:v>0.719660089</c:v>
                </c:pt>
                <c:pt idx="75">
                  <c:v>0.71893659899999995</c:v>
                </c:pt>
                <c:pt idx="76">
                  <c:v>0.714776525</c:v>
                </c:pt>
                <c:pt idx="77">
                  <c:v>0.72553430799999996</c:v>
                </c:pt>
                <c:pt idx="78">
                  <c:v>0.76709635099999995</c:v>
                </c:pt>
                <c:pt idx="79">
                  <c:v>0.78527047299999997</c:v>
                </c:pt>
                <c:pt idx="80">
                  <c:v>0.81979771499999998</c:v>
                </c:pt>
                <c:pt idx="81">
                  <c:v>0.749696115</c:v>
                </c:pt>
                <c:pt idx="82">
                  <c:v>0.79198464099999999</c:v>
                </c:pt>
                <c:pt idx="83">
                  <c:v>0.76394360699999997</c:v>
                </c:pt>
                <c:pt idx="84">
                  <c:v>0.77861278300000003</c:v>
                </c:pt>
                <c:pt idx="85">
                  <c:v>0.786975761</c:v>
                </c:pt>
                <c:pt idx="86">
                  <c:v>0.80334705699999998</c:v>
                </c:pt>
                <c:pt idx="87">
                  <c:v>0.75972058899999995</c:v>
                </c:pt>
                <c:pt idx="88">
                  <c:v>0.75660622099999997</c:v>
                </c:pt>
                <c:pt idx="89">
                  <c:v>0.71574502500000003</c:v>
                </c:pt>
                <c:pt idx="90">
                  <c:v>0.75122159200000005</c:v>
                </c:pt>
                <c:pt idx="91">
                  <c:v>0.67590902799999997</c:v>
                </c:pt>
                <c:pt idx="92">
                  <c:v>0.71128010699999999</c:v>
                </c:pt>
                <c:pt idx="93">
                  <c:v>0.74261552500000005</c:v>
                </c:pt>
                <c:pt idx="94">
                  <c:v>0.78182138599999995</c:v>
                </c:pt>
                <c:pt idx="95">
                  <c:v>0.76075119800000002</c:v>
                </c:pt>
                <c:pt idx="96">
                  <c:v>0.72419323999999996</c:v>
                </c:pt>
                <c:pt idx="97">
                  <c:v>0.76299519900000001</c:v>
                </c:pt>
                <c:pt idx="98" formatCode="0.000">
                  <c:v>0.74576722284778385</c:v>
                </c:pt>
                <c:pt idx="99" formatCode="0.000">
                  <c:v>0.76487365437122834</c:v>
                </c:pt>
                <c:pt idx="100" formatCode="0.000">
                  <c:v>0.78694398793005904</c:v>
                </c:pt>
                <c:pt idx="101" formatCode="0.000">
                  <c:v>0.76402825575076982</c:v>
                </c:pt>
                <c:pt idx="102" formatCode="0.000">
                  <c:v>0.76407042813384152</c:v>
                </c:pt>
                <c:pt idx="103" formatCode="0.000">
                  <c:v>0.78901244264395853</c:v>
                </c:pt>
                <c:pt idx="104" formatCode="0.000">
                  <c:v>0.77304250125915308</c:v>
                </c:pt>
                <c:pt idx="105" formatCode="0.000">
                  <c:v>0.62695621932841294</c:v>
                </c:pt>
                <c:pt idx="106" formatCode="0.000">
                  <c:v>0.71905643287520182</c:v>
                </c:pt>
                <c:pt idx="107" formatCode="0.000">
                  <c:v>0.78299768049777252</c:v>
                </c:pt>
                <c:pt idx="108" formatCode="0.000">
                  <c:v>0.72942645413416785</c:v>
                </c:pt>
                <c:pt idx="109" formatCode="0.000">
                  <c:v>0.71819543177788869</c:v>
                </c:pt>
                <c:pt idx="110" formatCode="0.000">
                  <c:v>0.7223393179105615</c:v>
                </c:pt>
                <c:pt idx="111" formatCode="0.000">
                  <c:v>0.73022530402343666</c:v>
                </c:pt>
                <c:pt idx="112" formatCode="0.000">
                  <c:v>0.73792878322134869</c:v>
                </c:pt>
                <c:pt idx="113" formatCode="0.000">
                  <c:v>0.69329423800000001</c:v>
                </c:pt>
                <c:pt idx="114" formatCode="0.000">
                  <c:v>0.69002488500000003</c:v>
                </c:pt>
                <c:pt idx="115" formatCode="0.000">
                  <c:v>0.68533776499999999</c:v>
                </c:pt>
                <c:pt idx="116" formatCode="0.000">
                  <c:v>0.68110247400000001</c:v>
                </c:pt>
                <c:pt idx="117" formatCode="0.000">
                  <c:v>0.69354122600000001</c:v>
                </c:pt>
                <c:pt idx="118" formatCode="0.000">
                  <c:v>0.63718820899999995</c:v>
                </c:pt>
                <c:pt idx="119" formatCode="0.000">
                  <c:v>0.56940413199999995</c:v>
                </c:pt>
                <c:pt idx="120" formatCode="0.000">
                  <c:v>0.56189359900000002</c:v>
                </c:pt>
                <c:pt idx="121" formatCode="0.000">
                  <c:v>0.53743174199999999</c:v>
                </c:pt>
                <c:pt idx="122" formatCode="0.000">
                  <c:v>0.56346907499999999</c:v>
                </c:pt>
                <c:pt idx="123" formatCode="0.000">
                  <c:v>0.64244506400000001</c:v>
                </c:pt>
                <c:pt idx="124" formatCode="0.000">
                  <c:v>0.72224680799999996</c:v>
                </c:pt>
                <c:pt idx="125" formatCode="0.000">
                  <c:v>0.72465417099999996</c:v>
                </c:pt>
                <c:pt idx="126" formatCode="0.000">
                  <c:v>0.72984070999999995</c:v>
                </c:pt>
                <c:pt idx="127" formatCode="0.000">
                  <c:v>0.681110887</c:v>
                </c:pt>
                <c:pt idx="128" formatCode="0.000">
                  <c:v>0.64618840005284717</c:v>
                </c:pt>
                <c:pt idx="129" formatCode="0.000">
                  <c:v>0.67139050085925633</c:v>
                </c:pt>
                <c:pt idx="130" formatCode="0.000">
                  <c:v>0.66129979294786612</c:v>
                </c:pt>
                <c:pt idx="131" formatCode="0.000">
                  <c:v>0.64911336383481355</c:v>
                </c:pt>
                <c:pt idx="132" formatCode="0.000">
                  <c:v>0.65861431080850008</c:v>
                </c:pt>
                <c:pt idx="133" formatCode="0.000">
                  <c:v>0.62710915430229308</c:v>
                </c:pt>
                <c:pt idx="134" formatCode="0.000">
                  <c:v>0.66610778443113772</c:v>
                </c:pt>
                <c:pt idx="135" formatCode="0.000">
                  <c:v>0.62970924095576242</c:v>
                </c:pt>
                <c:pt idx="136" formatCode="0.000">
                  <c:v>0.65982376138004906</c:v>
                </c:pt>
                <c:pt idx="137" formatCode="0.000">
                  <c:v>0.66624082563062048</c:v>
                </c:pt>
                <c:pt idx="138" formatCode="0.000">
                  <c:v>0.60760287875991881</c:v>
                </c:pt>
                <c:pt idx="139" formatCode="0.000">
                  <c:v>0.56991298128501611</c:v>
                </c:pt>
                <c:pt idx="140" formatCode="0.000">
                  <c:v>0.32172946306043393</c:v>
                </c:pt>
                <c:pt idx="141" formatCode="0.000">
                  <c:v>0.4891564311484049</c:v>
                </c:pt>
                <c:pt idx="142" formatCode="0.000">
                  <c:v>0.6088367175822974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3A93-C042-994F-947400F3BBF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AD/AG 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447318460192476"/>
                  <c:y val="-0.1670833333333333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Calculations!$K$3:$K$145</c:f>
              <c:numCache>
                <c:formatCode>General</c:formatCode>
                <c:ptCount val="1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</c:numCache>
            </c:numRef>
          </c:xVal>
          <c:yVal>
            <c:numRef>
              <c:f>Calculations!$N$3:$N$145</c:f>
              <c:numCache>
                <c:formatCode>General</c:formatCode>
                <c:ptCount val="143"/>
                <c:pt idx="0">
                  <c:v>0.84194767599999998</c:v>
                </c:pt>
                <c:pt idx="1">
                  <c:v>0.73625666700000003</c:v>
                </c:pt>
                <c:pt idx="2">
                  <c:v>0.79856344800000001</c:v>
                </c:pt>
                <c:pt idx="3">
                  <c:v>0.90546057000000002</c:v>
                </c:pt>
                <c:pt idx="4">
                  <c:v>0.93288873500000002</c:v>
                </c:pt>
                <c:pt idx="5">
                  <c:v>0.89847823999999998</c:v>
                </c:pt>
                <c:pt idx="6">
                  <c:v>0.83192833799999999</c:v>
                </c:pt>
                <c:pt idx="7">
                  <c:v>0.86969720900000003</c:v>
                </c:pt>
                <c:pt idx="8">
                  <c:v>0.73991815100000002</c:v>
                </c:pt>
                <c:pt idx="9">
                  <c:v>0.76966732400000004</c:v>
                </c:pt>
                <c:pt idx="10">
                  <c:v>0.81907081400000004</c:v>
                </c:pt>
                <c:pt idx="11">
                  <c:v>0.74108953899999996</c:v>
                </c:pt>
                <c:pt idx="12">
                  <c:v>0.72570220200000002</c:v>
                </c:pt>
                <c:pt idx="13">
                  <c:v>0.24586986</c:v>
                </c:pt>
                <c:pt idx="14">
                  <c:v>0.27695941800000001</c:v>
                </c:pt>
                <c:pt idx="15">
                  <c:v>0.219657568</c:v>
                </c:pt>
                <c:pt idx="16">
                  <c:v>0.23844047700000001</c:v>
                </c:pt>
                <c:pt idx="17">
                  <c:v>1.3851376129999999</c:v>
                </c:pt>
                <c:pt idx="18">
                  <c:v>0.88702300300000003</c:v>
                </c:pt>
                <c:pt idx="19">
                  <c:v>1.173837569</c:v>
                </c:pt>
                <c:pt idx="20">
                  <c:v>1.2937523390000001</c:v>
                </c:pt>
                <c:pt idx="21">
                  <c:v>1.2849287389999999</c:v>
                </c:pt>
                <c:pt idx="22">
                  <c:v>1.3000819589999999</c:v>
                </c:pt>
                <c:pt idx="23">
                  <c:v>1.3000819589999999</c:v>
                </c:pt>
                <c:pt idx="24">
                  <c:v>1.275977264</c:v>
                </c:pt>
                <c:pt idx="25">
                  <c:v>1.286952364</c:v>
                </c:pt>
                <c:pt idx="26">
                  <c:v>1.3056724909999999</c:v>
                </c:pt>
                <c:pt idx="27">
                  <c:v>1.2978818219999999</c:v>
                </c:pt>
                <c:pt idx="28">
                  <c:v>1.30716532</c:v>
                </c:pt>
                <c:pt idx="29">
                  <c:v>1.329550075</c:v>
                </c:pt>
                <c:pt idx="30">
                  <c:v>1.3048132370000001</c:v>
                </c:pt>
                <c:pt idx="31">
                  <c:v>1.387401536</c:v>
                </c:pt>
                <c:pt idx="32">
                  <c:v>1.3179913910000001</c:v>
                </c:pt>
                <c:pt idx="33">
                  <c:v>1.3774918110000001</c:v>
                </c:pt>
                <c:pt idx="34">
                  <c:v>0.92846214400000004</c:v>
                </c:pt>
                <c:pt idx="35">
                  <c:v>1.0092538639999999</c:v>
                </c:pt>
                <c:pt idx="36">
                  <c:v>1.176892625</c:v>
                </c:pt>
                <c:pt idx="37">
                  <c:v>1.0745153839999999</c:v>
                </c:pt>
                <c:pt idx="38">
                  <c:v>1.1980291089999999</c:v>
                </c:pt>
                <c:pt idx="39">
                  <c:v>1.215651821</c:v>
                </c:pt>
                <c:pt idx="40">
                  <c:v>1.3193106109999999</c:v>
                </c:pt>
                <c:pt idx="41">
                  <c:v>1.0119716919999999</c:v>
                </c:pt>
                <c:pt idx="42">
                  <c:v>0.89033985500000001</c:v>
                </c:pt>
                <c:pt idx="43">
                  <c:v>0.96632668799999999</c:v>
                </c:pt>
                <c:pt idx="44">
                  <c:v>0.96578685799999997</c:v>
                </c:pt>
                <c:pt idx="45">
                  <c:v>1.0268668750000001</c:v>
                </c:pt>
                <c:pt idx="46">
                  <c:v>0.94455631900000003</c:v>
                </c:pt>
                <c:pt idx="47">
                  <c:v>0.92998327000000003</c:v>
                </c:pt>
                <c:pt idx="48">
                  <c:v>0.94051226600000004</c:v>
                </c:pt>
                <c:pt idx="49">
                  <c:v>1.1496746470000001</c:v>
                </c:pt>
                <c:pt idx="50">
                  <c:v>0.93970135499999996</c:v>
                </c:pt>
                <c:pt idx="51">
                  <c:v>1.0845838830000001</c:v>
                </c:pt>
                <c:pt idx="52">
                  <c:v>1.1919569270000001</c:v>
                </c:pt>
                <c:pt idx="53">
                  <c:v>1.2216423700000001</c:v>
                </c:pt>
                <c:pt idx="54">
                  <c:v>1.2050784889999999</c:v>
                </c:pt>
                <c:pt idx="55">
                  <c:v>1.213967596</c:v>
                </c:pt>
                <c:pt idx="56">
                  <c:v>1.2199835240000001</c:v>
                </c:pt>
                <c:pt idx="57">
                  <c:v>1.2203207469999999</c:v>
                </c:pt>
                <c:pt idx="58">
                  <c:v>1.4803265379999999</c:v>
                </c:pt>
                <c:pt idx="59">
                  <c:v>1.4864678010000001</c:v>
                </c:pt>
                <c:pt idx="60">
                  <c:v>1.4604157449999999</c:v>
                </c:pt>
                <c:pt idx="61">
                  <c:v>1.557220525</c:v>
                </c:pt>
                <c:pt idx="62">
                  <c:v>1.5703561960000001</c:v>
                </c:pt>
                <c:pt idx="63">
                  <c:v>1.5350384159999999</c:v>
                </c:pt>
                <c:pt idx="64">
                  <c:v>1.546617329</c:v>
                </c:pt>
                <c:pt idx="65">
                  <c:v>1.5018673520000001</c:v>
                </c:pt>
                <c:pt idx="66">
                  <c:v>1.5378831079999999</c:v>
                </c:pt>
                <c:pt idx="67">
                  <c:v>1.4938863339999999</c:v>
                </c:pt>
                <c:pt idx="68">
                  <c:v>1.499386866</c:v>
                </c:pt>
                <c:pt idx="69">
                  <c:v>1.4367471599999999</c:v>
                </c:pt>
                <c:pt idx="70">
                  <c:v>1.6278192579999999</c:v>
                </c:pt>
                <c:pt idx="71">
                  <c:v>1.565804285</c:v>
                </c:pt>
                <c:pt idx="72">
                  <c:v>1.5088318039999999</c:v>
                </c:pt>
                <c:pt idx="73">
                  <c:v>1.6488347830000001</c:v>
                </c:pt>
                <c:pt idx="74">
                  <c:v>1.515074069</c:v>
                </c:pt>
                <c:pt idx="75">
                  <c:v>1.5461001569999999</c:v>
                </c:pt>
                <c:pt idx="76">
                  <c:v>1.5371538490000001</c:v>
                </c:pt>
                <c:pt idx="77">
                  <c:v>1.560288527</c:v>
                </c:pt>
                <c:pt idx="78">
                  <c:v>1.5190028579999999</c:v>
                </c:pt>
                <c:pt idx="79">
                  <c:v>1.414901953</c:v>
                </c:pt>
                <c:pt idx="80">
                  <c:v>1.504216065</c:v>
                </c:pt>
                <c:pt idx="81">
                  <c:v>1.3508037289999999</c:v>
                </c:pt>
                <c:pt idx="82">
                  <c:v>1.453182545</c:v>
                </c:pt>
                <c:pt idx="83">
                  <c:v>1.2839388819999999</c:v>
                </c:pt>
                <c:pt idx="84">
                  <c:v>1.428647056</c:v>
                </c:pt>
                <c:pt idx="85">
                  <c:v>1.443992347</c:v>
                </c:pt>
                <c:pt idx="86">
                  <c:v>1.447471773</c:v>
                </c:pt>
                <c:pt idx="87">
                  <c:v>1.3939827970000001</c:v>
                </c:pt>
                <c:pt idx="88">
                  <c:v>1.388268287</c:v>
                </c:pt>
                <c:pt idx="89">
                  <c:v>1.4173170530000001</c:v>
                </c:pt>
                <c:pt idx="90">
                  <c:v>1.378388347</c:v>
                </c:pt>
                <c:pt idx="91">
                  <c:v>1.4855141810000001</c:v>
                </c:pt>
                <c:pt idx="92">
                  <c:v>1.4084756140000001</c:v>
                </c:pt>
                <c:pt idx="93">
                  <c:v>1.362597337</c:v>
                </c:pt>
                <c:pt idx="94">
                  <c:v>1.434534679</c:v>
                </c:pt>
                <c:pt idx="95">
                  <c:v>1.2785734580000001</c:v>
                </c:pt>
                <c:pt idx="96">
                  <c:v>1.328794848</c:v>
                </c:pt>
                <c:pt idx="97">
                  <c:v>1.399991129</c:v>
                </c:pt>
                <c:pt idx="98" formatCode="0.000">
                  <c:v>1.3437247130000001</c:v>
                </c:pt>
                <c:pt idx="99" formatCode="0.000">
                  <c:v>1.4034379429999999</c:v>
                </c:pt>
                <c:pt idx="100" formatCode="0.000">
                  <c:v>1.4439339330000001</c:v>
                </c:pt>
                <c:pt idx="101" formatCode="0.000">
                  <c:v>1.512927221</c:v>
                </c:pt>
                <c:pt idx="102" formatCode="0.000">
                  <c:v>1.4260059525</c:v>
                </c:pt>
                <c:pt idx="103" formatCode="0.000">
                  <c:v>1.4477290389999999</c:v>
                </c:pt>
                <c:pt idx="104" formatCode="0.000">
                  <c:v>1.29923108</c:v>
                </c:pt>
                <c:pt idx="105" formatCode="0.000">
                  <c:v>1.241497447</c:v>
                </c:pt>
                <c:pt idx="106" formatCode="0.000">
                  <c:v>1.319369807</c:v>
                </c:pt>
                <c:pt idx="107" formatCode="0.000">
                  <c:v>1.4366928800000001</c:v>
                </c:pt>
                <c:pt idx="108" formatCode="0.000">
                  <c:v>1.3383972049999999</c:v>
                </c:pt>
                <c:pt idx="109" formatCode="0.000">
                  <c:v>1.3177897629999999</c:v>
                </c:pt>
                <c:pt idx="110" formatCode="0.000">
                  <c:v>1.325393126</c:v>
                </c:pt>
                <c:pt idx="111" formatCode="0.000">
                  <c:v>1.339862881</c:v>
                </c:pt>
                <c:pt idx="112" formatCode="0.000">
                  <c:v>1.3296012660000001</c:v>
                </c:pt>
                <c:pt idx="113" formatCode="0.000">
                  <c:v>1.1652004069999999</c:v>
                </c:pt>
                <c:pt idx="114" formatCode="0.000">
                  <c:v>1.159705741</c:v>
                </c:pt>
                <c:pt idx="115" formatCode="0.000">
                  <c:v>1.132789815</c:v>
                </c:pt>
                <c:pt idx="116" formatCode="0.000">
                  <c:v>1.144710117</c:v>
                </c:pt>
                <c:pt idx="117" formatCode="0.000">
                  <c:v>1.165615423</c:v>
                </c:pt>
                <c:pt idx="118" formatCode="0.000">
                  <c:v>1.400416686</c:v>
                </c:pt>
                <c:pt idx="119" formatCode="0.000">
                  <c:v>1.224525123</c:v>
                </c:pt>
                <c:pt idx="120" formatCode="0.000">
                  <c:v>1.2083731010000001</c:v>
                </c:pt>
                <c:pt idx="121" formatCode="0.000">
                  <c:v>1.235476158</c:v>
                </c:pt>
                <c:pt idx="122" formatCode="0.000">
                  <c:v>1.2117614729999999</c:v>
                </c:pt>
                <c:pt idx="123" formatCode="0.000">
                  <c:v>1.5480603630000001</c:v>
                </c:pt>
                <c:pt idx="124" formatCode="0.000">
                  <c:v>1.45908438</c:v>
                </c:pt>
                <c:pt idx="125" formatCode="0.000">
                  <c:v>1.4639477249999999</c:v>
                </c:pt>
                <c:pt idx="126" formatCode="0.000">
                  <c:v>1.60404547</c:v>
                </c:pt>
                <c:pt idx="127" formatCode="0.000">
                  <c:v>1.4647544850000001</c:v>
                </c:pt>
                <c:pt idx="128" formatCode="0.000">
                  <c:v>1.1856667919999999</c:v>
                </c:pt>
                <c:pt idx="129" formatCode="0.000">
                  <c:v>1.1476760779999999</c:v>
                </c:pt>
                <c:pt idx="130" formatCode="0.000">
                  <c:v>1.1114281020000001</c:v>
                </c:pt>
                <c:pt idx="131" formatCode="0.000">
                  <c:v>1.109595323</c:v>
                </c:pt>
                <c:pt idx="132" formatCode="0.000">
                  <c:v>1.1385915737500001</c:v>
                </c:pt>
                <c:pt idx="133" formatCode="0.000">
                  <c:v>1.2418003259999999</c:v>
                </c:pt>
                <c:pt idx="134" formatCode="0.000">
                  <c:v>1.2001941119999999</c:v>
                </c:pt>
                <c:pt idx="135" formatCode="0.000">
                  <c:v>1.2469489650000001</c:v>
                </c:pt>
                <c:pt idx="136" formatCode="0.000">
                  <c:v>1.2106858</c:v>
                </c:pt>
                <c:pt idx="137" formatCode="0.000">
                  <c:v>1.200434014</c:v>
                </c:pt>
                <c:pt idx="138" formatCode="0.000">
                  <c:v>1.0567007530000001</c:v>
                </c:pt>
                <c:pt idx="139" formatCode="0.000">
                  <c:v>1.008695474</c:v>
                </c:pt>
                <c:pt idx="140" formatCode="0.000">
                  <c:v>0.57368629900000001</c:v>
                </c:pt>
                <c:pt idx="141" formatCode="0.000">
                  <c:v>0.98819505799999996</c:v>
                </c:pt>
                <c:pt idx="142" formatCode="0.000">
                  <c:v>1.0588466700000001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8F51-6347-A251-0456468F4448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AD/AG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75724260882489E-2"/>
          <c:y val="0.10718219471121024"/>
          <c:w val="0.84423666617144555"/>
          <c:h val="0.76473032633926541"/>
        </c:manualLayout>
      </c:layout>
      <c:scatterChart>
        <c:scatterStyle val="lineMarker"/>
        <c:varyColors val="0"/>
        <c:ser>
          <c:idx val="0"/>
          <c:order val="0"/>
          <c:tx>
            <c:v>Silvertop Ash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Calculations!$N$3:$N$100</c:f>
              <c:numCache>
                <c:formatCode>General</c:formatCode>
                <c:ptCount val="98"/>
                <c:pt idx="0">
                  <c:v>0.84194767599999998</c:v>
                </c:pt>
                <c:pt idx="1">
                  <c:v>0.73625666700000003</c:v>
                </c:pt>
                <c:pt idx="2">
                  <c:v>0.79856344800000001</c:v>
                </c:pt>
                <c:pt idx="3">
                  <c:v>0.90546057000000002</c:v>
                </c:pt>
                <c:pt idx="4">
                  <c:v>0.93288873500000002</c:v>
                </c:pt>
                <c:pt idx="5">
                  <c:v>0.89847823999999998</c:v>
                </c:pt>
                <c:pt idx="6">
                  <c:v>0.83192833799999999</c:v>
                </c:pt>
                <c:pt idx="7">
                  <c:v>0.86969720900000003</c:v>
                </c:pt>
                <c:pt idx="8">
                  <c:v>0.73991815100000002</c:v>
                </c:pt>
                <c:pt idx="9">
                  <c:v>0.76966732400000004</c:v>
                </c:pt>
                <c:pt idx="10">
                  <c:v>0.81907081400000004</c:v>
                </c:pt>
                <c:pt idx="11">
                  <c:v>0.74108953899999996</c:v>
                </c:pt>
                <c:pt idx="12">
                  <c:v>0.72570220200000002</c:v>
                </c:pt>
                <c:pt idx="13">
                  <c:v>0.24586986</c:v>
                </c:pt>
                <c:pt idx="14">
                  <c:v>0.27695941800000001</c:v>
                </c:pt>
                <c:pt idx="15">
                  <c:v>0.219657568</c:v>
                </c:pt>
                <c:pt idx="16">
                  <c:v>0.23844047700000001</c:v>
                </c:pt>
                <c:pt idx="17">
                  <c:v>1.3851376129999999</c:v>
                </c:pt>
                <c:pt idx="18">
                  <c:v>0.88702300300000003</c:v>
                </c:pt>
                <c:pt idx="19">
                  <c:v>1.173837569</c:v>
                </c:pt>
                <c:pt idx="20">
                  <c:v>1.2937523390000001</c:v>
                </c:pt>
                <c:pt idx="21">
                  <c:v>1.2849287389999999</c:v>
                </c:pt>
                <c:pt idx="22">
                  <c:v>1.3000819589999999</c:v>
                </c:pt>
                <c:pt idx="23">
                  <c:v>1.3000819589999999</c:v>
                </c:pt>
                <c:pt idx="24">
                  <c:v>1.275977264</c:v>
                </c:pt>
                <c:pt idx="25">
                  <c:v>1.286952364</c:v>
                </c:pt>
                <c:pt idx="26">
                  <c:v>1.3056724909999999</c:v>
                </c:pt>
                <c:pt idx="27">
                  <c:v>1.2978818219999999</c:v>
                </c:pt>
                <c:pt idx="28">
                  <c:v>1.30716532</c:v>
                </c:pt>
                <c:pt idx="29">
                  <c:v>1.329550075</c:v>
                </c:pt>
                <c:pt idx="30">
                  <c:v>1.3048132370000001</c:v>
                </c:pt>
                <c:pt idx="31">
                  <c:v>1.387401536</c:v>
                </c:pt>
                <c:pt idx="32">
                  <c:v>1.3179913910000001</c:v>
                </c:pt>
                <c:pt idx="33">
                  <c:v>1.3774918110000001</c:v>
                </c:pt>
                <c:pt idx="34">
                  <c:v>0.92846214400000004</c:v>
                </c:pt>
                <c:pt idx="35">
                  <c:v>1.0092538639999999</c:v>
                </c:pt>
                <c:pt idx="36">
                  <c:v>1.176892625</c:v>
                </c:pt>
                <c:pt idx="37">
                  <c:v>1.0745153839999999</c:v>
                </c:pt>
                <c:pt idx="38">
                  <c:v>1.1980291089999999</c:v>
                </c:pt>
                <c:pt idx="39">
                  <c:v>1.215651821</c:v>
                </c:pt>
                <c:pt idx="40">
                  <c:v>1.3193106109999999</c:v>
                </c:pt>
                <c:pt idx="41">
                  <c:v>1.0119716919999999</c:v>
                </c:pt>
                <c:pt idx="42">
                  <c:v>0.89033985500000001</c:v>
                </c:pt>
                <c:pt idx="43">
                  <c:v>0.96632668799999999</c:v>
                </c:pt>
                <c:pt idx="44">
                  <c:v>0.96578685799999997</c:v>
                </c:pt>
                <c:pt idx="45">
                  <c:v>1.0268668750000001</c:v>
                </c:pt>
                <c:pt idx="46">
                  <c:v>0.94455631900000003</c:v>
                </c:pt>
                <c:pt idx="47">
                  <c:v>0.92998327000000003</c:v>
                </c:pt>
                <c:pt idx="48">
                  <c:v>0.94051226600000004</c:v>
                </c:pt>
                <c:pt idx="49">
                  <c:v>1.1496746470000001</c:v>
                </c:pt>
                <c:pt idx="50">
                  <c:v>0.93970135499999996</c:v>
                </c:pt>
                <c:pt idx="51">
                  <c:v>1.0845838830000001</c:v>
                </c:pt>
                <c:pt idx="52">
                  <c:v>1.1919569270000001</c:v>
                </c:pt>
                <c:pt idx="53">
                  <c:v>1.2216423700000001</c:v>
                </c:pt>
                <c:pt idx="54">
                  <c:v>1.2050784889999999</c:v>
                </c:pt>
                <c:pt idx="55">
                  <c:v>1.213967596</c:v>
                </c:pt>
                <c:pt idx="56">
                  <c:v>1.2199835240000001</c:v>
                </c:pt>
                <c:pt idx="57">
                  <c:v>1.2203207469999999</c:v>
                </c:pt>
                <c:pt idx="58">
                  <c:v>1.4803265379999999</c:v>
                </c:pt>
                <c:pt idx="59">
                  <c:v>1.4864678010000001</c:v>
                </c:pt>
                <c:pt idx="60">
                  <c:v>1.4604157449999999</c:v>
                </c:pt>
                <c:pt idx="61">
                  <c:v>1.557220525</c:v>
                </c:pt>
                <c:pt idx="62">
                  <c:v>1.5703561960000001</c:v>
                </c:pt>
                <c:pt idx="63">
                  <c:v>1.5350384159999999</c:v>
                </c:pt>
                <c:pt idx="64">
                  <c:v>1.546617329</c:v>
                </c:pt>
                <c:pt idx="65">
                  <c:v>1.5018673520000001</c:v>
                </c:pt>
                <c:pt idx="66">
                  <c:v>1.5378831079999999</c:v>
                </c:pt>
                <c:pt idx="67">
                  <c:v>1.4938863339999999</c:v>
                </c:pt>
                <c:pt idx="68">
                  <c:v>1.499386866</c:v>
                </c:pt>
                <c:pt idx="69">
                  <c:v>1.4367471599999999</c:v>
                </c:pt>
                <c:pt idx="70">
                  <c:v>1.6278192579999999</c:v>
                </c:pt>
                <c:pt idx="71">
                  <c:v>1.565804285</c:v>
                </c:pt>
                <c:pt idx="72">
                  <c:v>1.5088318039999999</c:v>
                </c:pt>
                <c:pt idx="73">
                  <c:v>1.6488347830000001</c:v>
                </c:pt>
                <c:pt idx="74">
                  <c:v>1.515074069</c:v>
                </c:pt>
                <c:pt idx="75">
                  <c:v>1.5461001569999999</c:v>
                </c:pt>
                <c:pt idx="76">
                  <c:v>1.5371538490000001</c:v>
                </c:pt>
                <c:pt idx="77">
                  <c:v>1.560288527</c:v>
                </c:pt>
                <c:pt idx="78">
                  <c:v>1.5190028579999999</c:v>
                </c:pt>
                <c:pt idx="79">
                  <c:v>1.414901953</c:v>
                </c:pt>
                <c:pt idx="80">
                  <c:v>1.504216065</c:v>
                </c:pt>
                <c:pt idx="81">
                  <c:v>1.3508037289999999</c:v>
                </c:pt>
                <c:pt idx="82">
                  <c:v>1.453182545</c:v>
                </c:pt>
                <c:pt idx="83">
                  <c:v>1.2839388819999999</c:v>
                </c:pt>
                <c:pt idx="84">
                  <c:v>1.428647056</c:v>
                </c:pt>
                <c:pt idx="85">
                  <c:v>1.443992347</c:v>
                </c:pt>
                <c:pt idx="86">
                  <c:v>1.447471773</c:v>
                </c:pt>
                <c:pt idx="87">
                  <c:v>1.3939827970000001</c:v>
                </c:pt>
                <c:pt idx="88">
                  <c:v>1.388268287</c:v>
                </c:pt>
                <c:pt idx="89">
                  <c:v>1.4173170530000001</c:v>
                </c:pt>
                <c:pt idx="90">
                  <c:v>1.378388347</c:v>
                </c:pt>
                <c:pt idx="91">
                  <c:v>1.4855141810000001</c:v>
                </c:pt>
                <c:pt idx="92">
                  <c:v>1.4084756140000001</c:v>
                </c:pt>
                <c:pt idx="93">
                  <c:v>1.362597337</c:v>
                </c:pt>
                <c:pt idx="94">
                  <c:v>1.434534679</c:v>
                </c:pt>
                <c:pt idx="95">
                  <c:v>1.2785734580000001</c:v>
                </c:pt>
                <c:pt idx="96">
                  <c:v>1.328794848</c:v>
                </c:pt>
                <c:pt idx="97">
                  <c:v>1.399991129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EA99-E845-9214-19207EFD058E}"/>
            </c:ext>
          </c:extLst>
        </c:ser>
        <c:ser>
          <c:idx val="1"/>
          <c:order val="1"/>
          <c:tx>
            <c:v>Blackbutt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Calculations!$K$101:$K$115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Calculations!$N$101:$N$115</c:f>
              <c:numCache>
                <c:formatCode>0.000</c:formatCode>
                <c:ptCount val="15"/>
                <c:pt idx="0">
                  <c:v>1.3437247130000001</c:v>
                </c:pt>
                <c:pt idx="1">
                  <c:v>1.4034379429999999</c:v>
                </c:pt>
                <c:pt idx="2">
                  <c:v>1.4439339330000001</c:v>
                </c:pt>
                <c:pt idx="3">
                  <c:v>1.512927221</c:v>
                </c:pt>
                <c:pt idx="4">
                  <c:v>1.4260059525</c:v>
                </c:pt>
                <c:pt idx="5">
                  <c:v>1.4477290389999999</c:v>
                </c:pt>
                <c:pt idx="6">
                  <c:v>1.29923108</c:v>
                </c:pt>
                <c:pt idx="7">
                  <c:v>1.241497447</c:v>
                </c:pt>
                <c:pt idx="8">
                  <c:v>1.319369807</c:v>
                </c:pt>
                <c:pt idx="9">
                  <c:v>1.4366928800000001</c:v>
                </c:pt>
                <c:pt idx="10">
                  <c:v>1.3383972049999999</c:v>
                </c:pt>
                <c:pt idx="11">
                  <c:v>1.3177897629999999</c:v>
                </c:pt>
                <c:pt idx="12">
                  <c:v>1.325393126</c:v>
                </c:pt>
                <c:pt idx="13">
                  <c:v>1.339862881</c:v>
                </c:pt>
                <c:pt idx="14">
                  <c:v>1.3296012660000001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EA99-E845-9214-19207EFD058E}"/>
            </c:ext>
          </c:extLst>
        </c:ser>
        <c:ser>
          <c:idx val="2"/>
          <c:order val="2"/>
          <c:tx>
            <c:v>Grey Ironbark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Calculations!$K$116:$K$130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Calculations!$N$116:$N$130</c:f>
              <c:numCache>
                <c:formatCode>0.000</c:formatCode>
                <c:ptCount val="15"/>
                <c:pt idx="0">
                  <c:v>1.1652004069999999</c:v>
                </c:pt>
                <c:pt idx="1">
                  <c:v>1.159705741</c:v>
                </c:pt>
                <c:pt idx="2">
                  <c:v>1.132789815</c:v>
                </c:pt>
                <c:pt idx="3">
                  <c:v>1.144710117</c:v>
                </c:pt>
                <c:pt idx="4">
                  <c:v>1.165615423</c:v>
                </c:pt>
                <c:pt idx="5">
                  <c:v>1.400416686</c:v>
                </c:pt>
                <c:pt idx="6">
                  <c:v>1.224525123</c:v>
                </c:pt>
                <c:pt idx="7">
                  <c:v>1.2083731010000001</c:v>
                </c:pt>
                <c:pt idx="8">
                  <c:v>1.235476158</c:v>
                </c:pt>
                <c:pt idx="9">
                  <c:v>1.2117614729999999</c:v>
                </c:pt>
                <c:pt idx="10">
                  <c:v>1.5480603630000001</c:v>
                </c:pt>
                <c:pt idx="11">
                  <c:v>1.45908438</c:v>
                </c:pt>
                <c:pt idx="12">
                  <c:v>1.4639477249999999</c:v>
                </c:pt>
                <c:pt idx="13">
                  <c:v>1.60404547</c:v>
                </c:pt>
                <c:pt idx="14">
                  <c:v>1.4647544850000001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EA99-E845-9214-19207EFD058E}"/>
            </c:ext>
          </c:extLst>
        </c:ser>
        <c:ser>
          <c:idx val="3"/>
          <c:order val="3"/>
          <c:tx>
            <c:v>Spotted Gum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Calculations!$K$131:$K$145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Calculations!$N$131:$N$145</c:f>
              <c:numCache>
                <c:formatCode>0.000</c:formatCode>
                <c:ptCount val="15"/>
                <c:pt idx="0">
                  <c:v>1.1856667919999999</c:v>
                </c:pt>
                <c:pt idx="1">
                  <c:v>1.1476760779999999</c:v>
                </c:pt>
                <c:pt idx="2">
                  <c:v>1.1114281020000001</c:v>
                </c:pt>
                <c:pt idx="3">
                  <c:v>1.109595323</c:v>
                </c:pt>
                <c:pt idx="4">
                  <c:v>1.1385915737500001</c:v>
                </c:pt>
                <c:pt idx="5">
                  <c:v>1.2418003259999999</c:v>
                </c:pt>
                <c:pt idx="6">
                  <c:v>1.2001941119999999</c:v>
                </c:pt>
                <c:pt idx="7">
                  <c:v>1.2469489650000001</c:v>
                </c:pt>
                <c:pt idx="8">
                  <c:v>1.2106858</c:v>
                </c:pt>
                <c:pt idx="9">
                  <c:v>1.200434014</c:v>
                </c:pt>
                <c:pt idx="10">
                  <c:v>1.0567007530000001</c:v>
                </c:pt>
                <c:pt idx="11">
                  <c:v>1.008695474</c:v>
                </c:pt>
                <c:pt idx="12">
                  <c:v>0.57368629900000001</c:v>
                </c:pt>
                <c:pt idx="13">
                  <c:v>0.98819505799999996</c:v>
                </c:pt>
                <c:pt idx="14">
                  <c:v>1.0588466700000001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EA99-E845-9214-19207EFD058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AD/AG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65565012628138464"/>
          <c:y val="0.61229689135678844"/>
          <c:w val="0.12105051255385528"/>
          <c:h val="0.19508807063856906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D-FWHM/G-FWHM 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7199828541491372"/>
                  <c:y val="-0.28216316710411199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Calculations!$K$3:$K$145</c:f>
              <c:numCache>
                <c:formatCode>General</c:formatCode>
                <c:ptCount val="143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  <c:pt idx="98">
                  <c:v>25</c:v>
                </c:pt>
                <c:pt idx="99">
                  <c:v>25</c:v>
                </c:pt>
                <c:pt idx="100">
                  <c:v>25</c:v>
                </c:pt>
                <c:pt idx="101">
                  <c:v>25</c:v>
                </c:pt>
                <c:pt idx="102">
                  <c:v>25</c:v>
                </c:pt>
                <c:pt idx="103">
                  <c:v>35</c:v>
                </c:pt>
                <c:pt idx="104">
                  <c:v>35</c:v>
                </c:pt>
                <c:pt idx="105">
                  <c:v>35</c:v>
                </c:pt>
                <c:pt idx="106">
                  <c:v>35</c:v>
                </c:pt>
                <c:pt idx="107">
                  <c:v>35</c:v>
                </c:pt>
                <c:pt idx="108">
                  <c:v>50</c:v>
                </c:pt>
                <c:pt idx="109">
                  <c:v>50</c:v>
                </c:pt>
                <c:pt idx="110">
                  <c:v>50</c:v>
                </c:pt>
                <c:pt idx="111">
                  <c:v>50</c:v>
                </c:pt>
                <c:pt idx="112">
                  <c:v>50</c:v>
                </c:pt>
                <c:pt idx="113">
                  <c:v>25</c:v>
                </c:pt>
                <c:pt idx="114">
                  <c:v>25</c:v>
                </c:pt>
                <c:pt idx="115">
                  <c:v>25</c:v>
                </c:pt>
                <c:pt idx="116">
                  <c:v>25</c:v>
                </c:pt>
                <c:pt idx="117">
                  <c:v>25</c:v>
                </c:pt>
                <c:pt idx="118">
                  <c:v>35</c:v>
                </c:pt>
                <c:pt idx="119">
                  <c:v>35</c:v>
                </c:pt>
                <c:pt idx="120">
                  <c:v>35</c:v>
                </c:pt>
                <c:pt idx="121">
                  <c:v>35</c:v>
                </c:pt>
                <c:pt idx="122">
                  <c:v>35</c:v>
                </c:pt>
                <c:pt idx="123">
                  <c:v>50</c:v>
                </c:pt>
                <c:pt idx="124">
                  <c:v>50</c:v>
                </c:pt>
                <c:pt idx="125">
                  <c:v>50</c:v>
                </c:pt>
                <c:pt idx="126">
                  <c:v>50</c:v>
                </c:pt>
                <c:pt idx="127">
                  <c:v>50</c:v>
                </c:pt>
                <c:pt idx="128">
                  <c:v>25</c:v>
                </c:pt>
                <c:pt idx="129">
                  <c:v>25</c:v>
                </c:pt>
                <c:pt idx="130">
                  <c:v>25</c:v>
                </c:pt>
                <c:pt idx="131">
                  <c:v>25</c:v>
                </c:pt>
                <c:pt idx="132">
                  <c:v>25</c:v>
                </c:pt>
                <c:pt idx="133">
                  <c:v>35</c:v>
                </c:pt>
                <c:pt idx="134">
                  <c:v>35</c:v>
                </c:pt>
                <c:pt idx="135">
                  <c:v>35</c:v>
                </c:pt>
                <c:pt idx="136">
                  <c:v>35</c:v>
                </c:pt>
                <c:pt idx="137">
                  <c:v>35</c:v>
                </c:pt>
                <c:pt idx="138">
                  <c:v>50</c:v>
                </c:pt>
                <c:pt idx="139">
                  <c:v>50</c:v>
                </c:pt>
                <c:pt idx="140">
                  <c:v>50</c:v>
                </c:pt>
                <c:pt idx="141">
                  <c:v>50</c:v>
                </c:pt>
                <c:pt idx="142">
                  <c:v>50</c:v>
                </c:pt>
              </c:numCache>
            </c:numRef>
          </c:xVal>
          <c:yVal>
            <c:numRef>
              <c:f>Calculations!$L$3:$L$145</c:f>
              <c:numCache>
                <c:formatCode>General</c:formatCode>
                <c:ptCount val="143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  <c:pt idx="78">
                  <c:v>1.98019802</c:v>
                </c:pt>
                <c:pt idx="79">
                  <c:v>1.801801802</c:v>
                </c:pt>
                <c:pt idx="80">
                  <c:v>1.8348623850000001</c:v>
                </c:pt>
                <c:pt idx="81">
                  <c:v>1.801801802</c:v>
                </c:pt>
                <c:pt idx="82">
                  <c:v>1.8348623850000001</c:v>
                </c:pt>
                <c:pt idx="83">
                  <c:v>1.680672269</c:v>
                </c:pt>
                <c:pt idx="84">
                  <c:v>1.8348623850000001</c:v>
                </c:pt>
                <c:pt idx="85">
                  <c:v>1.8348623850000001</c:v>
                </c:pt>
                <c:pt idx="86">
                  <c:v>1.801801802</c:v>
                </c:pt>
                <c:pt idx="87">
                  <c:v>1.8348623850000001</c:v>
                </c:pt>
                <c:pt idx="88">
                  <c:v>1.8348623850000001</c:v>
                </c:pt>
                <c:pt idx="89">
                  <c:v>1.98019802</c:v>
                </c:pt>
                <c:pt idx="90">
                  <c:v>1.8348623850000001</c:v>
                </c:pt>
                <c:pt idx="91">
                  <c:v>2.1978021980000002</c:v>
                </c:pt>
                <c:pt idx="92">
                  <c:v>1.98019802</c:v>
                </c:pt>
                <c:pt idx="93">
                  <c:v>1.8348623850000001</c:v>
                </c:pt>
                <c:pt idx="94">
                  <c:v>1.8348623850000001</c:v>
                </c:pt>
                <c:pt idx="95">
                  <c:v>1.680672269</c:v>
                </c:pt>
                <c:pt idx="96">
                  <c:v>1.8348623850000001</c:v>
                </c:pt>
                <c:pt idx="97">
                  <c:v>1.8348623850000001</c:v>
                </c:pt>
                <c:pt idx="98" formatCode="0.000">
                  <c:v>1.801801802</c:v>
                </c:pt>
                <c:pt idx="99" formatCode="0.000">
                  <c:v>1.8348623850000001</c:v>
                </c:pt>
                <c:pt idx="100" formatCode="0.000">
                  <c:v>1.8348623850000001</c:v>
                </c:pt>
                <c:pt idx="101" formatCode="0.000">
                  <c:v>1.98019802</c:v>
                </c:pt>
                <c:pt idx="102" formatCode="0.000">
                  <c:v>1.8629311479999999</c:v>
                </c:pt>
                <c:pt idx="103" formatCode="0.000">
                  <c:v>1.8348623850000001</c:v>
                </c:pt>
                <c:pt idx="104" formatCode="0.000">
                  <c:v>1.680672269</c:v>
                </c:pt>
                <c:pt idx="105" formatCode="0.000">
                  <c:v>1.98019802</c:v>
                </c:pt>
                <c:pt idx="106" formatCode="0.000">
                  <c:v>1.8348623850000001</c:v>
                </c:pt>
                <c:pt idx="107" formatCode="0.000">
                  <c:v>1.8348623850000001</c:v>
                </c:pt>
                <c:pt idx="108" formatCode="0.000">
                  <c:v>1.8348623850000001</c:v>
                </c:pt>
                <c:pt idx="109" formatCode="0.000">
                  <c:v>1.8348623850000001</c:v>
                </c:pt>
                <c:pt idx="110" formatCode="0.000">
                  <c:v>1.8348623850000001</c:v>
                </c:pt>
                <c:pt idx="111" formatCode="0.000">
                  <c:v>1.8348623850000001</c:v>
                </c:pt>
                <c:pt idx="112" formatCode="0.000">
                  <c:v>1.801801802</c:v>
                </c:pt>
                <c:pt idx="113" formatCode="0.000">
                  <c:v>1.680672269</c:v>
                </c:pt>
                <c:pt idx="114" formatCode="0.000">
                  <c:v>1.680672269</c:v>
                </c:pt>
                <c:pt idx="115" formatCode="0.000">
                  <c:v>1.6528925619999999</c:v>
                </c:pt>
                <c:pt idx="116" formatCode="0.000">
                  <c:v>1.680672269</c:v>
                </c:pt>
                <c:pt idx="117" formatCode="0.000">
                  <c:v>1.680672269</c:v>
                </c:pt>
                <c:pt idx="118" formatCode="0.000">
                  <c:v>2.1978021980000002</c:v>
                </c:pt>
                <c:pt idx="119" formatCode="0.000">
                  <c:v>2.150537634</c:v>
                </c:pt>
                <c:pt idx="120" formatCode="0.000">
                  <c:v>2.150537634</c:v>
                </c:pt>
                <c:pt idx="121" formatCode="0.000">
                  <c:v>2.2988505749999999</c:v>
                </c:pt>
                <c:pt idx="122" formatCode="0.000">
                  <c:v>2.150537634</c:v>
                </c:pt>
                <c:pt idx="123" formatCode="0.000">
                  <c:v>2.4096385539999998</c:v>
                </c:pt>
                <c:pt idx="124" formatCode="0.000">
                  <c:v>2.0202020200000002</c:v>
                </c:pt>
                <c:pt idx="125" formatCode="0.000">
                  <c:v>2.0202020200000002</c:v>
                </c:pt>
                <c:pt idx="126" formatCode="0.000">
                  <c:v>2.1978021980000002</c:v>
                </c:pt>
                <c:pt idx="127" formatCode="0.000">
                  <c:v>2.150537634</c:v>
                </c:pt>
                <c:pt idx="128" formatCode="0.000">
                  <c:v>1.8348623850000001</c:v>
                </c:pt>
                <c:pt idx="129" formatCode="0.000">
                  <c:v>1.709401709</c:v>
                </c:pt>
                <c:pt idx="130" formatCode="0.000">
                  <c:v>1.680672269</c:v>
                </c:pt>
                <c:pt idx="131" formatCode="0.000">
                  <c:v>1.709401709</c:v>
                </c:pt>
                <c:pt idx="132" formatCode="0.000">
                  <c:v>1.7335845179999998</c:v>
                </c:pt>
                <c:pt idx="133" formatCode="0.000">
                  <c:v>1.98019802</c:v>
                </c:pt>
                <c:pt idx="134" formatCode="0.000">
                  <c:v>1.801801802</c:v>
                </c:pt>
                <c:pt idx="135" formatCode="0.000">
                  <c:v>1.98019802</c:v>
                </c:pt>
                <c:pt idx="136" formatCode="0.000">
                  <c:v>1.8348623850000001</c:v>
                </c:pt>
                <c:pt idx="137" formatCode="0.000">
                  <c:v>1.801801802</c:v>
                </c:pt>
                <c:pt idx="138" formatCode="0.000">
                  <c:v>1.7391304350000001</c:v>
                </c:pt>
                <c:pt idx="139" formatCode="0.000">
                  <c:v>1.769911504</c:v>
                </c:pt>
                <c:pt idx="140" formatCode="0.000">
                  <c:v>1.78313253</c:v>
                </c:pt>
                <c:pt idx="141" formatCode="0.000">
                  <c:v>2.0202020200000002</c:v>
                </c:pt>
                <c:pt idx="142" formatCode="0.000">
                  <c:v>1.7391304350000001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D66-1749-B75E-9CE12351CEB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D-FWHM/G-FWHM all data &lt;35kW/m2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Calculations!$A$75</c:f>
              <c:strCache>
                <c:ptCount val="1"/>
                <c:pt idx="0">
                  <c:v>Silvertop Ash</c:v>
                </c:pt>
              </c:strCache>
            </c:strRef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2806517935258094"/>
                  <c:y val="-0.19853382910469525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Calculations!$K$3:$K$80</c:f>
              <c:numCache>
                <c:formatCode>General</c:formatCode>
                <c:ptCount val="7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</c:numCache>
            </c:numRef>
          </c:xVal>
          <c:yVal>
            <c:numRef>
              <c:f>Calculations!$L$3:$L$80</c:f>
              <c:numCache>
                <c:formatCode>General</c:formatCode>
                <c:ptCount val="78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7437-614A-B3DC-7EC86925BD74}"/>
            </c:ext>
          </c:extLst>
        </c:ser>
        <c:ser>
          <c:idx val="1"/>
          <c:order val="1"/>
          <c:tx>
            <c:v>blackbutt 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Calculations!$K$101:$K$110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xVal>
          <c:yVal>
            <c:numRef>
              <c:f>Calculations!$L$101:$L$110</c:f>
              <c:numCache>
                <c:formatCode>0.000</c:formatCode>
                <c:ptCount val="10"/>
                <c:pt idx="0">
                  <c:v>1.801801802</c:v>
                </c:pt>
                <c:pt idx="1">
                  <c:v>1.8348623850000001</c:v>
                </c:pt>
                <c:pt idx="2">
                  <c:v>1.8348623850000001</c:v>
                </c:pt>
                <c:pt idx="3">
                  <c:v>1.98019802</c:v>
                </c:pt>
                <c:pt idx="4">
                  <c:v>1.8629311479999999</c:v>
                </c:pt>
                <c:pt idx="5">
                  <c:v>1.8348623850000001</c:v>
                </c:pt>
                <c:pt idx="6">
                  <c:v>1.680672269</c:v>
                </c:pt>
                <c:pt idx="7">
                  <c:v>1.98019802</c:v>
                </c:pt>
                <c:pt idx="8">
                  <c:v>1.8348623850000001</c:v>
                </c:pt>
                <c:pt idx="9">
                  <c:v>1.8348623850000001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7437-614A-B3DC-7EC86925BD74}"/>
            </c:ext>
          </c:extLst>
        </c:ser>
        <c:ser>
          <c:idx val="2"/>
          <c:order val="2"/>
          <c:tx>
            <c:strRef>
              <c:f>Calculations!$A$116</c:f>
              <c:strCache>
                <c:ptCount val="1"/>
                <c:pt idx="0">
                  <c:v>Grey Ironbark</c:v>
                </c:pt>
              </c:strCache>
            </c:strRef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Calculations!$K$116:$K$125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xVal>
          <c:yVal>
            <c:numRef>
              <c:f>Calculations!$L$116:$L$125</c:f>
              <c:numCache>
                <c:formatCode>0.000</c:formatCode>
                <c:ptCount val="10"/>
                <c:pt idx="0">
                  <c:v>1.680672269</c:v>
                </c:pt>
                <c:pt idx="1">
                  <c:v>1.680672269</c:v>
                </c:pt>
                <c:pt idx="2">
                  <c:v>1.6528925619999999</c:v>
                </c:pt>
                <c:pt idx="3">
                  <c:v>1.680672269</c:v>
                </c:pt>
                <c:pt idx="4">
                  <c:v>1.680672269</c:v>
                </c:pt>
                <c:pt idx="5">
                  <c:v>2.1978021980000002</c:v>
                </c:pt>
                <c:pt idx="6">
                  <c:v>2.150537634</c:v>
                </c:pt>
                <c:pt idx="7">
                  <c:v>2.150537634</c:v>
                </c:pt>
                <c:pt idx="8">
                  <c:v>2.2988505749999999</c:v>
                </c:pt>
                <c:pt idx="9">
                  <c:v>2.150537634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4-7437-614A-B3DC-7EC86925BD74}"/>
            </c:ext>
          </c:extLst>
        </c:ser>
        <c:ser>
          <c:idx val="3"/>
          <c:order val="3"/>
          <c:tx>
            <c:v>Spotted Gum low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Calculations!$K$131:$K$140</c:f>
              <c:numCache>
                <c:formatCode>General</c:formatCode>
                <c:ptCount val="10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</c:numCache>
            </c:numRef>
          </c:xVal>
          <c:yVal>
            <c:numRef>
              <c:f>Calculations!$L$131:$L$140</c:f>
              <c:numCache>
                <c:formatCode>0.000</c:formatCode>
                <c:ptCount val="10"/>
                <c:pt idx="0">
                  <c:v>1.8348623850000001</c:v>
                </c:pt>
                <c:pt idx="1">
                  <c:v>1.709401709</c:v>
                </c:pt>
                <c:pt idx="2">
                  <c:v>1.680672269</c:v>
                </c:pt>
                <c:pt idx="3">
                  <c:v>1.709401709</c:v>
                </c:pt>
                <c:pt idx="4">
                  <c:v>1.7335845179999998</c:v>
                </c:pt>
                <c:pt idx="5">
                  <c:v>1.98019802</c:v>
                </c:pt>
                <c:pt idx="6">
                  <c:v>1.801801802</c:v>
                </c:pt>
                <c:pt idx="7">
                  <c:v>1.98019802</c:v>
                </c:pt>
                <c:pt idx="8">
                  <c:v>1.8348623850000001</c:v>
                </c:pt>
                <c:pt idx="9">
                  <c:v>1.801801802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5-7437-614A-B3DC-7EC86925BD7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  <c:max val="40"/>
          <c:min val="15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  <c:min val="1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GB"/>
              <a:t>DFWHM/GFWHM</a:t>
            </a:r>
            <a:r>
              <a:rPr lang="en-GB" baseline="0"/>
              <a:t> </a:t>
            </a:r>
            <a:r>
              <a:rPr lang="en-GB"/>
              <a:t>All spp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9.3375724260882489E-2"/>
          <c:y val="0.10718219471121024"/>
          <c:w val="0.84423666617144555"/>
          <c:h val="0.76473032633926541"/>
        </c:manualLayout>
      </c:layout>
      <c:scatterChart>
        <c:scatterStyle val="lineMarker"/>
        <c:varyColors val="0"/>
        <c:ser>
          <c:idx val="0"/>
          <c:order val="0"/>
          <c:tx>
            <c:v>Silvertop Ash</c:v>
          </c:tx>
          <c:spPr>
            <a:ln w="381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Calculations!$K$3:$K$100</c:f>
              <c:numCache>
                <c:formatCode>General</c:formatCode>
                <c:ptCount val="98"/>
                <c:pt idx="0">
                  <c:v>20</c:v>
                </c:pt>
                <c:pt idx="1">
                  <c:v>20</c:v>
                </c:pt>
                <c:pt idx="2">
                  <c:v>20</c:v>
                </c:pt>
                <c:pt idx="3">
                  <c:v>20</c:v>
                </c:pt>
                <c:pt idx="4">
                  <c:v>20</c:v>
                </c:pt>
                <c:pt idx="5">
                  <c:v>20</c:v>
                </c:pt>
                <c:pt idx="6">
                  <c:v>20</c:v>
                </c:pt>
                <c:pt idx="7">
                  <c:v>20</c:v>
                </c:pt>
                <c:pt idx="8">
                  <c:v>20</c:v>
                </c:pt>
                <c:pt idx="9">
                  <c:v>20</c:v>
                </c:pt>
                <c:pt idx="10">
                  <c:v>20</c:v>
                </c:pt>
                <c:pt idx="11">
                  <c:v>20</c:v>
                </c:pt>
                <c:pt idx="12">
                  <c:v>20</c:v>
                </c:pt>
                <c:pt idx="13">
                  <c:v>20</c:v>
                </c:pt>
                <c:pt idx="14">
                  <c:v>20</c:v>
                </c:pt>
                <c:pt idx="15">
                  <c:v>20</c:v>
                </c:pt>
                <c:pt idx="16">
                  <c:v>20</c:v>
                </c:pt>
                <c:pt idx="17">
                  <c:v>25</c:v>
                </c:pt>
                <c:pt idx="18">
                  <c:v>25</c:v>
                </c:pt>
                <c:pt idx="19">
                  <c:v>25</c:v>
                </c:pt>
                <c:pt idx="20">
                  <c:v>25</c:v>
                </c:pt>
                <c:pt idx="21">
                  <c:v>25</c:v>
                </c:pt>
                <c:pt idx="22">
                  <c:v>25</c:v>
                </c:pt>
                <c:pt idx="23">
                  <c:v>25</c:v>
                </c:pt>
                <c:pt idx="24">
                  <c:v>25</c:v>
                </c:pt>
                <c:pt idx="25">
                  <c:v>25</c:v>
                </c:pt>
                <c:pt idx="26">
                  <c:v>25</c:v>
                </c:pt>
                <c:pt idx="27">
                  <c:v>25</c:v>
                </c:pt>
                <c:pt idx="28">
                  <c:v>25</c:v>
                </c:pt>
                <c:pt idx="29">
                  <c:v>25</c:v>
                </c:pt>
                <c:pt idx="30">
                  <c:v>25</c:v>
                </c:pt>
                <c:pt idx="31">
                  <c:v>25</c:v>
                </c:pt>
                <c:pt idx="32">
                  <c:v>25</c:v>
                </c:pt>
                <c:pt idx="33">
                  <c:v>25</c:v>
                </c:pt>
                <c:pt idx="34">
                  <c:v>25</c:v>
                </c:pt>
                <c:pt idx="35">
                  <c:v>25</c:v>
                </c:pt>
                <c:pt idx="36">
                  <c:v>25</c:v>
                </c:pt>
                <c:pt idx="37">
                  <c:v>25</c:v>
                </c:pt>
                <c:pt idx="38">
                  <c:v>30</c:v>
                </c:pt>
                <c:pt idx="39">
                  <c:v>30</c:v>
                </c:pt>
                <c:pt idx="40">
                  <c:v>30</c:v>
                </c:pt>
                <c:pt idx="41">
                  <c:v>30</c:v>
                </c:pt>
                <c:pt idx="42">
                  <c:v>30</c:v>
                </c:pt>
                <c:pt idx="43">
                  <c:v>30</c:v>
                </c:pt>
                <c:pt idx="44">
                  <c:v>30</c:v>
                </c:pt>
                <c:pt idx="45">
                  <c:v>30</c:v>
                </c:pt>
                <c:pt idx="46">
                  <c:v>30</c:v>
                </c:pt>
                <c:pt idx="47">
                  <c:v>30</c:v>
                </c:pt>
                <c:pt idx="48">
                  <c:v>30</c:v>
                </c:pt>
                <c:pt idx="49">
                  <c:v>30</c:v>
                </c:pt>
                <c:pt idx="50">
                  <c:v>30</c:v>
                </c:pt>
                <c:pt idx="51">
                  <c:v>30</c:v>
                </c:pt>
                <c:pt idx="52">
                  <c:v>30</c:v>
                </c:pt>
                <c:pt idx="53">
                  <c:v>30</c:v>
                </c:pt>
                <c:pt idx="54">
                  <c:v>30</c:v>
                </c:pt>
                <c:pt idx="55">
                  <c:v>30</c:v>
                </c:pt>
                <c:pt idx="56">
                  <c:v>30</c:v>
                </c:pt>
                <c:pt idx="57">
                  <c:v>30</c:v>
                </c:pt>
                <c:pt idx="58">
                  <c:v>35</c:v>
                </c:pt>
                <c:pt idx="59">
                  <c:v>35</c:v>
                </c:pt>
                <c:pt idx="60">
                  <c:v>35</c:v>
                </c:pt>
                <c:pt idx="61">
                  <c:v>35</c:v>
                </c:pt>
                <c:pt idx="62">
                  <c:v>35</c:v>
                </c:pt>
                <c:pt idx="63">
                  <c:v>35</c:v>
                </c:pt>
                <c:pt idx="64">
                  <c:v>35</c:v>
                </c:pt>
                <c:pt idx="65">
                  <c:v>35</c:v>
                </c:pt>
                <c:pt idx="66">
                  <c:v>35</c:v>
                </c:pt>
                <c:pt idx="67">
                  <c:v>35</c:v>
                </c:pt>
                <c:pt idx="68">
                  <c:v>35</c:v>
                </c:pt>
                <c:pt idx="69">
                  <c:v>35</c:v>
                </c:pt>
                <c:pt idx="70">
                  <c:v>35</c:v>
                </c:pt>
                <c:pt idx="71">
                  <c:v>35</c:v>
                </c:pt>
                <c:pt idx="72">
                  <c:v>35</c:v>
                </c:pt>
                <c:pt idx="73">
                  <c:v>35</c:v>
                </c:pt>
                <c:pt idx="74">
                  <c:v>35</c:v>
                </c:pt>
                <c:pt idx="75">
                  <c:v>35</c:v>
                </c:pt>
                <c:pt idx="76">
                  <c:v>35</c:v>
                </c:pt>
                <c:pt idx="77">
                  <c:v>35</c:v>
                </c:pt>
                <c:pt idx="78">
                  <c:v>50</c:v>
                </c:pt>
                <c:pt idx="79">
                  <c:v>50</c:v>
                </c:pt>
                <c:pt idx="80">
                  <c:v>50</c:v>
                </c:pt>
                <c:pt idx="81">
                  <c:v>50</c:v>
                </c:pt>
                <c:pt idx="82">
                  <c:v>50</c:v>
                </c:pt>
                <c:pt idx="83">
                  <c:v>50</c:v>
                </c:pt>
                <c:pt idx="84">
                  <c:v>50</c:v>
                </c:pt>
                <c:pt idx="85">
                  <c:v>50</c:v>
                </c:pt>
                <c:pt idx="86">
                  <c:v>50</c:v>
                </c:pt>
                <c:pt idx="87">
                  <c:v>50</c:v>
                </c:pt>
                <c:pt idx="88">
                  <c:v>50</c:v>
                </c:pt>
                <c:pt idx="89">
                  <c:v>50</c:v>
                </c:pt>
                <c:pt idx="90">
                  <c:v>50</c:v>
                </c:pt>
                <c:pt idx="91">
                  <c:v>50</c:v>
                </c:pt>
                <c:pt idx="92">
                  <c:v>50</c:v>
                </c:pt>
                <c:pt idx="93">
                  <c:v>50</c:v>
                </c:pt>
                <c:pt idx="94">
                  <c:v>50</c:v>
                </c:pt>
                <c:pt idx="95">
                  <c:v>50</c:v>
                </c:pt>
                <c:pt idx="96">
                  <c:v>50</c:v>
                </c:pt>
                <c:pt idx="97">
                  <c:v>50</c:v>
                </c:pt>
              </c:numCache>
            </c:numRef>
          </c:xVal>
          <c:yVal>
            <c:numRef>
              <c:f>Calculations!$L$3:$L$100</c:f>
              <c:numCache>
                <c:formatCode>General</c:formatCode>
                <c:ptCount val="98"/>
                <c:pt idx="0">
                  <c:v>1.6260162600000001</c:v>
                </c:pt>
                <c:pt idx="1">
                  <c:v>1.5748031499999999</c:v>
                </c:pt>
                <c:pt idx="2">
                  <c:v>1.8613861389999999</c:v>
                </c:pt>
                <c:pt idx="3">
                  <c:v>1.680672269</c:v>
                </c:pt>
                <c:pt idx="4">
                  <c:v>1.709401709</c:v>
                </c:pt>
                <c:pt idx="5">
                  <c:v>1.5748031499999999</c:v>
                </c:pt>
                <c:pt idx="6">
                  <c:v>1.4598540149999999</c:v>
                </c:pt>
                <c:pt idx="7">
                  <c:v>1.5748031499999999</c:v>
                </c:pt>
                <c:pt idx="8">
                  <c:v>1.4388489209999999</c:v>
                </c:pt>
                <c:pt idx="9">
                  <c:v>1.5748031499999999</c:v>
                </c:pt>
                <c:pt idx="10">
                  <c:v>1.4598540149999999</c:v>
                </c:pt>
                <c:pt idx="11">
                  <c:v>1.4598540149999999</c:v>
                </c:pt>
                <c:pt idx="12">
                  <c:v>1.360544218</c:v>
                </c:pt>
                <c:pt idx="13">
                  <c:v>1.445544554</c:v>
                </c:pt>
                <c:pt idx="14">
                  <c:v>1.4018691590000001</c:v>
                </c:pt>
                <c:pt idx="15">
                  <c:v>1.405940594</c:v>
                </c:pt>
                <c:pt idx="16">
                  <c:v>1.3333333329999999</c:v>
                </c:pt>
                <c:pt idx="17">
                  <c:v>1.941747573</c:v>
                </c:pt>
                <c:pt idx="18">
                  <c:v>1.680672269</c:v>
                </c:pt>
                <c:pt idx="19">
                  <c:v>1.680672269</c:v>
                </c:pt>
                <c:pt idx="20">
                  <c:v>1.769911504</c:v>
                </c:pt>
                <c:pt idx="21">
                  <c:v>1.769911504</c:v>
                </c:pt>
                <c:pt idx="22">
                  <c:v>1.769911504</c:v>
                </c:pt>
                <c:pt idx="23">
                  <c:v>1.769911504</c:v>
                </c:pt>
                <c:pt idx="24">
                  <c:v>1.769911504</c:v>
                </c:pt>
                <c:pt idx="25">
                  <c:v>1.769911504</c:v>
                </c:pt>
                <c:pt idx="26">
                  <c:v>1.769911504</c:v>
                </c:pt>
                <c:pt idx="27">
                  <c:v>1.769911504</c:v>
                </c:pt>
                <c:pt idx="28">
                  <c:v>1.769911504</c:v>
                </c:pt>
                <c:pt idx="29">
                  <c:v>1.801801802</c:v>
                </c:pt>
                <c:pt idx="30">
                  <c:v>1.801801802</c:v>
                </c:pt>
                <c:pt idx="31">
                  <c:v>1.8348623850000001</c:v>
                </c:pt>
                <c:pt idx="32">
                  <c:v>1.801801802</c:v>
                </c:pt>
                <c:pt idx="33">
                  <c:v>1.98019802</c:v>
                </c:pt>
                <c:pt idx="34">
                  <c:v>1.680672269</c:v>
                </c:pt>
                <c:pt idx="35">
                  <c:v>1.680672269</c:v>
                </c:pt>
                <c:pt idx="36">
                  <c:v>1.709401709</c:v>
                </c:pt>
                <c:pt idx="37">
                  <c:v>1.5748031499999999</c:v>
                </c:pt>
                <c:pt idx="38">
                  <c:v>1.941747573</c:v>
                </c:pt>
                <c:pt idx="39">
                  <c:v>1.941747573</c:v>
                </c:pt>
                <c:pt idx="40">
                  <c:v>1.98019802</c:v>
                </c:pt>
                <c:pt idx="41">
                  <c:v>1.801801802</c:v>
                </c:pt>
                <c:pt idx="42">
                  <c:v>1.5503875970000001</c:v>
                </c:pt>
                <c:pt idx="43">
                  <c:v>1.5748031499999999</c:v>
                </c:pt>
                <c:pt idx="44">
                  <c:v>1.709401709</c:v>
                </c:pt>
                <c:pt idx="45">
                  <c:v>1.7391304350000001</c:v>
                </c:pt>
                <c:pt idx="46">
                  <c:v>1.5748031499999999</c:v>
                </c:pt>
                <c:pt idx="47">
                  <c:v>1.5748031499999999</c:v>
                </c:pt>
                <c:pt idx="48">
                  <c:v>1.5748031499999999</c:v>
                </c:pt>
                <c:pt idx="49">
                  <c:v>2.150537634</c:v>
                </c:pt>
                <c:pt idx="50">
                  <c:v>1.5748031499999999</c:v>
                </c:pt>
                <c:pt idx="51">
                  <c:v>1.98019802</c:v>
                </c:pt>
                <c:pt idx="52">
                  <c:v>1.98019802</c:v>
                </c:pt>
                <c:pt idx="53">
                  <c:v>1.941747573</c:v>
                </c:pt>
                <c:pt idx="54">
                  <c:v>1.941747573</c:v>
                </c:pt>
                <c:pt idx="55">
                  <c:v>1.941747573</c:v>
                </c:pt>
                <c:pt idx="56">
                  <c:v>1.941747573</c:v>
                </c:pt>
                <c:pt idx="57">
                  <c:v>1.98019802</c:v>
                </c:pt>
                <c:pt idx="58">
                  <c:v>1.801801802</c:v>
                </c:pt>
                <c:pt idx="59">
                  <c:v>2.3529411759999999</c:v>
                </c:pt>
                <c:pt idx="60">
                  <c:v>2.1052631580000001</c:v>
                </c:pt>
                <c:pt idx="61">
                  <c:v>2.150537634</c:v>
                </c:pt>
                <c:pt idx="62">
                  <c:v>2.150537634</c:v>
                </c:pt>
                <c:pt idx="63">
                  <c:v>2.150537634</c:v>
                </c:pt>
                <c:pt idx="64">
                  <c:v>2.150537634</c:v>
                </c:pt>
                <c:pt idx="65">
                  <c:v>2.1052631580000001</c:v>
                </c:pt>
                <c:pt idx="66">
                  <c:v>2.1978021980000002</c:v>
                </c:pt>
                <c:pt idx="67">
                  <c:v>2.1052631580000001</c:v>
                </c:pt>
                <c:pt idx="68">
                  <c:v>1.98019802</c:v>
                </c:pt>
                <c:pt idx="69">
                  <c:v>1.801801802</c:v>
                </c:pt>
                <c:pt idx="70">
                  <c:v>1.941747573</c:v>
                </c:pt>
                <c:pt idx="71">
                  <c:v>1.941747573</c:v>
                </c:pt>
                <c:pt idx="72">
                  <c:v>1.801801802</c:v>
                </c:pt>
                <c:pt idx="73">
                  <c:v>1.941747573</c:v>
                </c:pt>
                <c:pt idx="74">
                  <c:v>2.1052631580000001</c:v>
                </c:pt>
                <c:pt idx="75">
                  <c:v>2.150537634</c:v>
                </c:pt>
                <c:pt idx="76">
                  <c:v>2.150537634</c:v>
                </c:pt>
                <c:pt idx="77">
                  <c:v>2.150537634</c:v>
                </c:pt>
                <c:pt idx="78">
                  <c:v>1.98019802</c:v>
                </c:pt>
                <c:pt idx="79">
                  <c:v>1.801801802</c:v>
                </c:pt>
                <c:pt idx="80">
                  <c:v>1.8348623850000001</c:v>
                </c:pt>
                <c:pt idx="81">
                  <c:v>1.801801802</c:v>
                </c:pt>
                <c:pt idx="82">
                  <c:v>1.8348623850000001</c:v>
                </c:pt>
                <c:pt idx="83">
                  <c:v>1.680672269</c:v>
                </c:pt>
                <c:pt idx="84">
                  <c:v>1.8348623850000001</c:v>
                </c:pt>
                <c:pt idx="85">
                  <c:v>1.8348623850000001</c:v>
                </c:pt>
                <c:pt idx="86">
                  <c:v>1.801801802</c:v>
                </c:pt>
                <c:pt idx="87">
                  <c:v>1.8348623850000001</c:v>
                </c:pt>
                <c:pt idx="88">
                  <c:v>1.8348623850000001</c:v>
                </c:pt>
                <c:pt idx="89">
                  <c:v>1.98019802</c:v>
                </c:pt>
                <c:pt idx="90">
                  <c:v>1.8348623850000001</c:v>
                </c:pt>
                <c:pt idx="91">
                  <c:v>2.1978021980000002</c:v>
                </c:pt>
                <c:pt idx="92">
                  <c:v>1.98019802</c:v>
                </c:pt>
                <c:pt idx="93">
                  <c:v>1.8348623850000001</c:v>
                </c:pt>
                <c:pt idx="94">
                  <c:v>1.8348623850000001</c:v>
                </c:pt>
                <c:pt idx="95">
                  <c:v>1.680672269</c:v>
                </c:pt>
                <c:pt idx="96">
                  <c:v>1.8348623850000001</c:v>
                </c:pt>
                <c:pt idx="97">
                  <c:v>1.8348623850000001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C4B-6448-982C-08F1B4F3283A}"/>
            </c:ext>
          </c:extLst>
        </c:ser>
        <c:ser>
          <c:idx val="1"/>
          <c:order val="1"/>
          <c:tx>
            <c:v>Blackbutt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2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layout>
                <c:manualLayout>
                  <c:x val="0.15832016045164166"/>
                  <c:y val="1.9719175276500843E-3"/>
                </c:manualLayout>
              </c:layout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Calculations!$K$101:$K$115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Calculations!$L$101:$L$115</c:f>
              <c:numCache>
                <c:formatCode>0.000</c:formatCode>
                <c:ptCount val="15"/>
                <c:pt idx="0">
                  <c:v>1.801801802</c:v>
                </c:pt>
                <c:pt idx="1">
                  <c:v>1.8348623850000001</c:v>
                </c:pt>
                <c:pt idx="2">
                  <c:v>1.8348623850000001</c:v>
                </c:pt>
                <c:pt idx="3">
                  <c:v>1.98019802</c:v>
                </c:pt>
                <c:pt idx="4">
                  <c:v>1.8629311479999999</c:v>
                </c:pt>
                <c:pt idx="5">
                  <c:v>1.8348623850000001</c:v>
                </c:pt>
                <c:pt idx="6">
                  <c:v>1.680672269</c:v>
                </c:pt>
                <c:pt idx="7">
                  <c:v>1.98019802</c:v>
                </c:pt>
                <c:pt idx="8">
                  <c:v>1.8348623850000001</c:v>
                </c:pt>
                <c:pt idx="9">
                  <c:v>1.8348623850000001</c:v>
                </c:pt>
                <c:pt idx="10">
                  <c:v>1.8348623850000001</c:v>
                </c:pt>
                <c:pt idx="11">
                  <c:v>1.8348623850000001</c:v>
                </c:pt>
                <c:pt idx="12">
                  <c:v>1.8348623850000001</c:v>
                </c:pt>
                <c:pt idx="13">
                  <c:v>1.8348623850000001</c:v>
                </c:pt>
                <c:pt idx="14">
                  <c:v>1.801801802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C4B-6448-982C-08F1B4F3283A}"/>
            </c:ext>
          </c:extLst>
        </c:ser>
        <c:ser>
          <c:idx val="2"/>
          <c:order val="2"/>
          <c:tx>
            <c:v>Grey Ironbark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trendline>
            <c:spPr>
              <a:ln w="19050" cap="rnd">
                <a:solidFill>
                  <a:schemeClr val="accent3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Calculations!$K$116:$K$130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Calculations!$L$116:$L$130</c:f>
              <c:numCache>
                <c:formatCode>0.000</c:formatCode>
                <c:ptCount val="15"/>
                <c:pt idx="0">
                  <c:v>1.680672269</c:v>
                </c:pt>
                <c:pt idx="1">
                  <c:v>1.680672269</c:v>
                </c:pt>
                <c:pt idx="2">
                  <c:v>1.6528925619999999</c:v>
                </c:pt>
                <c:pt idx="3">
                  <c:v>1.680672269</c:v>
                </c:pt>
                <c:pt idx="4">
                  <c:v>1.680672269</c:v>
                </c:pt>
                <c:pt idx="5">
                  <c:v>2.1978021980000002</c:v>
                </c:pt>
                <c:pt idx="6">
                  <c:v>2.150537634</c:v>
                </c:pt>
                <c:pt idx="7">
                  <c:v>2.150537634</c:v>
                </c:pt>
                <c:pt idx="8">
                  <c:v>2.2988505749999999</c:v>
                </c:pt>
                <c:pt idx="9">
                  <c:v>2.150537634</c:v>
                </c:pt>
                <c:pt idx="10">
                  <c:v>2.4096385539999998</c:v>
                </c:pt>
                <c:pt idx="11">
                  <c:v>2.0202020200000002</c:v>
                </c:pt>
                <c:pt idx="12">
                  <c:v>2.0202020200000002</c:v>
                </c:pt>
                <c:pt idx="13">
                  <c:v>2.1978021980000002</c:v>
                </c:pt>
                <c:pt idx="14">
                  <c:v>2.150537634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C4B-6448-982C-08F1B4F3283A}"/>
            </c:ext>
          </c:extLst>
        </c:ser>
        <c:ser>
          <c:idx val="3"/>
          <c:order val="3"/>
          <c:tx>
            <c:v>Spotted Gum</c:v>
          </c:tx>
          <c:spPr>
            <a:ln w="25400" cap="rnd">
              <a:noFill/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trendline>
            <c:spPr>
              <a:ln w="19050" cap="rnd">
                <a:solidFill>
                  <a:schemeClr val="accent4"/>
                </a:solidFill>
                <a:prstDash val="sysDot"/>
              </a:ln>
              <a:effectLst/>
            </c:spPr>
            <c:trendlineType val="linear"/>
            <c:dispRSqr val="1"/>
            <c:dispEq val="1"/>
            <c:trendlineLbl>
              <c:numFmt formatCode="General" sourceLinked="0"/>
              <c:spPr>
                <a:noFill/>
                <a:ln>
                  <a:noFill/>
                </a:ln>
                <a:effectLst/>
              </c:spPr>
              <c:txPr>
                <a:bodyPr rot="0" spcFirstLastPara="1" vertOverflow="ellipsis" vert="horz" wrap="square" anchor="ctr" anchorCtr="1"/>
                <a:lstStyle/>
                <a:p>
                  <a:pPr>
                    <a:defRPr sz="900" b="0" i="0" u="none" strike="noStrike" kern="1200" baseline="0">
                      <a:solidFill>
                        <a:schemeClr val="tx1">
                          <a:lumMod val="65000"/>
                          <a:lumOff val="35000"/>
                        </a:schemeClr>
                      </a:solidFill>
                      <a:latin typeface="+mn-lt"/>
                      <a:ea typeface="+mn-ea"/>
                      <a:cs typeface="+mn-cs"/>
                    </a:defRPr>
                  </a:pPr>
                  <a:endParaRPr lang="en-US"/>
                </a:p>
              </c:txPr>
            </c:trendlineLbl>
          </c:trendline>
          <c:xVal>
            <c:numRef>
              <c:f>Calculations!$K$131:$K$145</c:f>
              <c:numCache>
                <c:formatCode>General</c:formatCode>
                <c:ptCount val="15"/>
                <c:pt idx="0">
                  <c:v>25</c:v>
                </c:pt>
                <c:pt idx="1">
                  <c:v>25</c:v>
                </c:pt>
                <c:pt idx="2">
                  <c:v>25</c:v>
                </c:pt>
                <c:pt idx="3">
                  <c:v>25</c:v>
                </c:pt>
                <c:pt idx="4">
                  <c:v>25</c:v>
                </c:pt>
                <c:pt idx="5">
                  <c:v>35</c:v>
                </c:pt>
                <c:pt idx="6">
                  <c:v>35</c:v>
                </c:pt>
                <c:pt idx="7">
                  <c:v>35</c:v>
                </c:pt>
                <c:pt idx="8">
                  <c:v>35</c:v>
                </c:pt>
                <c:pt idx="9">
                  <c:v>35</c:v>
                </c:pt>
                <c:pt idx="10">
                  <c:v>50</c:v>
                </c:pt>
                <c:pt idx="11">
                  <c:v>50</c:v>
                </c:pt>
                <c:pt idx="12">
                  <c:v>50</c:v>
                </c:pt>
                <c:pt idx="13">
                  <c:v>50</c:v>
                </c:pt>
                <c:pt idx="14">
                  <c:v>50</c:v>
                </c:pt>
              </c:numCache>
            </c:numRef>
          </c:xVal>
          <c:yVal>
            <c:numRef>
              <c:f>Calculations!$L$131:$L$145</c:f>
              <c:numCache>
                <c:formatCode>0.000</c:formatCode>
                <c:ptCount val="15"/>
                <c:pt idx="0">
                  <c:v>1.8348623850000001</c:v>
                </c:pt>
                <c:pt idx="1">
                  <c:v>1.709401709</c:v>
                </c:pt>
                <c:pt idx="2">
                  <c:v>1.680672269</c:v>
                </c:pt>
                <c:pt idx="3">
                  <c:v>1.709401709</c:v>
                </c:pt>
                <c:pt idx="4">
                  <c:v>1.7335845179999998</c:v>
                </c:pt>
                <c:pt idx="5">
                  <c:v>1.98019802</c:v>
                </c:pt>
                <c:pt idx="6">
                  <c:v>1.801801802</c:v>
                </c:pt>
                <c:pt idx="7">
                  <c:v>1.98019802</c:v>
                </c:pt>
                <c:pt idx="8">
                  <c:v>1.8348623850000001</c:v>
                </c:pt>
                <c:pt idx="9">
                  <c:v>1.801801802</c:v>
                </c:pt>
                <c:pt idx="10">
                  <c:v>1.7391304350000001</c:v>
                </c:pt>
                <c:pt idx="11">
                  <c:v>1.769911504</c:v>
                </c:pt>
                <c:pt idx="12">
                  <c:v>1.78313253</c:v>
                </c:pt>
                <c:pt idx="13">
                  <c:v>2.0202020200000002</c:v>
                </c:pt>
                <c:pt idx="14">
                  <c:v>1.7391304350000001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C4B-6448-982C-08F1B4F3283A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493998735"/>
        <c:axId val="1084713711"/>
      </c:scatterChart>
      <c:valAx>
        <c:axId val="1493998735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Applied Energy (kW/m</a:t>
                </a:r>
                <a:r>
                  <a:rPr lang="en-GB" strike="noStrike" baseline="30000"/>
                  <a:t>2</a:t>
                </a:r>
                <a:r>
                  <a:rPr lang="en-GB"/>
                  <a:t>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84713711"/>
        <c:crosses val="autoZero"/>
        <c:crossBetween val="midCat"/>
      </c:valAx>
      <c:valAx>
        <c:axId val="1084713711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GB"/>
                  <a:t>AD/AG (unitless)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9399873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31036710741346007"/>
          <c:y val="0.54235182594217179"/>
          <c:w val="0.46633353142177975"/>
          <c:h val="0.2650331892353687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Ex1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_xlchart.v1.6</cx:f>
      </cx:strDim>
      <cx:numDim type="val">
        <cx:f>_xlchart.v1.7</cx:f>
      </cx:numDim>
    </cx:data>
  </cx:chartData>
  <cx:chart>
    <cx:title pos="t" align="ctr" overlay="0">
      <cx:tx>
        <cx:txData>
          <cx:v>D-FWHM/G-FWHM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D-FWHM/G-FWHM</a:t>
          </a:r>
        </a:p>
      </cx:txPr>
    </cx:title>
    <cx:plotArea>
      <cx:plotAreaRegion>
        <cx:series layoutId="boxWhisker" uniqueId="{A591FBFA-1E5C-E249-B57A-25A0D4A0EA79}">
          <cx:spPr>
            <a:solidFill>
              <a:schemeClr val="tx2">
                <a:lumMod val="25000"/>
                <a:lumOff val="75000"/>
              </a:schemeClr>
            </a:solidFill>
            <a:ln w="15875">
              <a:solidFill>
                <a:schemeClr val="accent1"/>
              </a:solidFill>
            </a:ln>
          </cx:spPr>
          <cx:dataId val="0"/>
          <cx:layoutPr>
            <cx:visibility meanLine="0"/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spcBef>
                    <a:spcPts val="0"/>
                  </a:spcBef>
                  <a:spcAft>
                    <a:spcPts val="0"/>
                  </a:spcAft>
                </a:pP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Applied Energy (kw/m</a:t>
                </a:r>
                <a:r>
                  <a:rPr lang="en-GB" sz="1000" b="0" i="0" kern="1200" baseline="30000">
                    <a:solidFill>
                      <a:srgbClr val="595959"/>
                    </a:solidFill>
                    <a:effectLst/>
                  </a:rPr>
                  <a:t>2</a:t>
                </a: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)</a:t>
                </a:r>
                <a:endParaRPr lang="en-AU" sz="1000"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2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_xlchart.v1.0</cx:f>
      </cx:strDim>
      <cx:numDim type="val">
        <cx:f>_xlchart.v1.1</cx:f>
      </cx:numDim>
    </cx:data>
  </cx:chartData>
  <cx:chart>
    <cx:title pos="t" align="ctr" overlay="0">
      <cx:tx>
        <cx:txData>
          <cx:v>RBS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RBS</a:t>
          </a:r>
        </a:p>
      </cx:txPr>
    </cx:title>
    <cx:plotArea>
      <cx:plotAreaRegion>
        <cx:series layoutId="boxWhisker" uniqueId="{7F91AB15-FB9D-044C-A529-A14034637910}">
          <cx:spPr>
            <a:solidFill>
              <a:schemeClr val="tx2">
                <a:lumMod val="25000"/>
                <a:lumOff val="75000"/>
              </a:schemeClr>
            </a:solidFill>
            <a:ln w="15875">
              <a:solidFill>
                <a:schemeClr val="tx1"/>
              </a:solidFill>
            </a:ln>
          </cx:spPr>
          <cx:dataId val="0"/>
          <cx:layoutPr>
            <cx:visibility meanLine="0"/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spcBef>
                    <a:spcPts val="0"/>
                  </a:spcBef>
                  <a:spcAft>
                    <a:spcPts val="0"/>
                  </a:spcAft>
                </a:pP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Applied Energy (kw/m</a:t>
                </a:r>
                <a:r>
                  <a:rPr lang="en-GB" sz="1000" b="0" i="0" kern="1200" baseline="30000">
                    <a:solidFill>
                      <a:srgbClr val="595959"/>
                    </a:solidFill>
                    <a:effectLst/>
                  </a:rPr>
                  <a:t>2</a:t>
                </a: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)</a:t>
                </a:r>
                <a:endParaRPr lang="en-AU" sz="1000"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3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_xlchart.v1.2</cx:f>
      </cx:strDim>
      <cx:numDim type="val">
        <cx:f>_xlchart.v1.3</cx:f>
      </cx:numDim>
    </cx:data>
  </cx:chartData>
  <cx:chart>
    <cx:title pos="t" align="ctr" overlay="0">
      <cx:tx>
        <cx:txData>
          <cx:v>AD/AG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AD/AG</a:t>
          </a:r>
        </a:p>
      </cx:txPr>
    </cx:title>
    <cx:plotArea>
      <cx:plotAreaRegion>
        <cx:series layoutId="boxWhisker" uniqueId="{F22F0363-ABCA-6743-8C82-62A424875EF5}">
          <cx:spPr>
            <a:solidFill>
              <a:schemeClr val="tx2">
                <a:lumMod val="25000"/>
                <a:lumOff val="75000"/>
              </a:schemeClr>
            </a:solidFill>
            <a:ln w="158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spcBef>
                    <a:spcPts val="0"/>
                  </a:spcBef>
                  <a:spcAft>
                    <a:spcPts val="0"/>
                  </a:spcAft>
                </a:pP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Applied Energy (kw/m</a:t>
                </a:r>
                <a:r>
                  <a:rPr lang="en-GB" sz="1000" b="0" i="0" kern="1200" baseline="30000">
                    <a:solidFill>
                      <a:srgbClr val="595959"/>
                    </a:solidFill>
                    <a:effectLst/>
                  </a:rPr>
                  <a:t>2</a:t>
                </a: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)</a:t>
                </a:r>
                <a:endParaRPr lang="en-AU" sz="1000"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hartEx4.xml><?xml version="1.0" encoding="utf-8"?>
<cx:chartSpace xmlns:a="http://schemas.openxmlformats.org/drawingml/2006/main" xmlns:r="http://schemas.openxmlformats.org/officeDocument/2006/relationships" xmlns:cx="http://schemas.microsoft.com/office/drawing/2014/chartex">
  <cx:chartData>
    <cx:data id="0">
      <cx:strDim type="cat">
        <cx:f>_xlchart.v1.4</cx:f>
      </cx:strDim>
      <cx:numDim type="val">
        <cx:f>_xlchart.v1.5</cx:f>
      </cx:numDim>
    </cx:data>
  </cx:chartData>
  <cx:chart>
    <cx:title pos="t" align="ctr" overlay="0">
      <cx:tx>
        <cx:txData>
          <cx:v>R1 (ID/IG)</cx:v>
        </cx:txData>
      </cx:tx>
      <cx:txPr>
        <a:bodyPr rot="0" spcFirstLastPara="1" vertOverflow="ellipsis" vert="horz" wrap="square" lIns="38100" tIns="19050" rIns="38100" bIns="19050" anchor="ctr" anchorCtr="1" compatLnSpc="0"/>
        <a:lstStyle/>
        <a:p>
          <a:pPr algn="ctr" rtl="0">
            <a:defRPr sz="1400" b="0" i="0" u="none" strike="noStrike" kern="1200" spc="0" baseline="0">
              <a:solidFill>
                <a:sysClr val="windowText" lastClr="000000">
                  <a:lumMod val="65000"/>
                  <a:lumOff val="35000"/>
                </a:sysClr>
              </a:solidFill>
              <a:latin typeface="+mn-lt"/>
              <a:ea typeface="+mn-ea"/>
              <a:cs typeface="+mn-cs"/>
            </a:defRPr>
          </a:pPr>
          <a:r>
            <a:rPr kumimoji="0" lang="en-GB" sz="1400" b="0" i="0" u="none" strike="noStrike" kern="1200" cap="none" spc="0" normalizeH="0" baseline="0" noProof="0">
              <a:ln>
                <a:noFill/>
              </a:ln>
              <a:solidFill>
                <a:sysClr val="windowText" lastClr="000000">
                  <a:lumMod val="65000"/>
                  <a:lumOff val="35000"/>
                </a:sysClr>
              </a:solidFill>
              <a:effectLst/>
              <a:uLnTx/>
              <a:uFillTx/>
              <a:latin typeface="Aptos Narrow" panose="02110004020202020204"/>
            </a:rPr>
            <a:t>R1 (ID/IG)</a:t>
          </a:r>
        </a:p>
      </cx:txPr>
    </cx:title>
    <cx:plotArea>
      <cx:plotAreaRegion>
        <cx:series layoutId="boxWhisker" uniqueId="{B2BC2D3A-91F4-E940-852B-847C9392CF8B}">
          <cx:spPr>
            <a:solidFill>
              <a:schemeClr val="tx2">
                <a:lumMod val="25000"/>
                <a:lumOff val="75000"/>
              </a:schemeClr>
            </a:solidFill>
            <a:ln w="15875">
              <a:solidFill>
                <a:schemeClr val="tx1"/>
              </a:solidFill>
            </a:ln>
          </cx:spPr>
          <cx:dataId val="0"/>
          <cx:layoutPr>
            <cx:statistics quartileMethod="exclusive"/>
          </cx:layoutPr>
        </cx:series>
      </cx:plotAreaRegion>
      <cx:axis id="0">
        <cx:catScaling/>
        <cx:title>
          <cx:tx>
            <cx:rich>
              <a:bodyPr spcFirstLastPara="1" vertOverflow="ellipsis" horzOverflow="overflow" wrap="square" lIns="0" tIns="0" rIns="0" bIns="0" anchor="ctr" anchorCtr="1"/>
              <a:lstStyle/>
              <a:p>
                <a:pPr algn="ctr" rtl="0">
                  <a:spcBef>
                    <a:spcPts val="0"/>
                  </a:spcBef>
                  <a:spcAft>
                    <a:spcPts val="0"/>
                  </a:spcAft>
                </a:pP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Applied Energy (kw/m</a:t>
                </a:r>
                <a:r>
                  <a:rPr lang="en-GB" sz="1000" b="0" i="0" kern="1200" baseline="30000">
                    <a:solidFill>
                      <a:srgbClr val="595959"/>
                    </a:solidFill>
                    <a:effectLst/>
                  </a:rPr>
                  <a:t>2</a:t>
                </a:r>
                <a:r>
                  <a:rPr lang="en-GB" sz="1000" b="0" i="0" kern="1200" baseline="0">
                    <a:solidFill>
                      <a:srgbClr val="595959"/>
                    </a:solidFill>
                    <a:effectLst/>
                  </a:rPr>
                  <a:t>)</a:t>
                </a:r>
                <a:endParaRPr lang="en-AU" sz="1000">
                  <a:effectLst/>
                </a:endParaRPr>
              </a:p>
            </cx:rich>
          </cx:tx>
        </cx:title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  <cx:axis id="1">
        <cx:valScaling/>
        <cx:majorGridlines/>
        <cx:tickLabels/>
        <cx:txPr>
          <a:bodyPr vertOverflow="overflow" horzOverflow="overflow" wrap="square" lIns="0" tIns="0" rIns="0" bIns="0"/>
          <a:lstStyle/>
          <a:p>
            <a:pPr algn="ctr" rtl="0">
              <a:defRPr sz="1200" b="0" i="0">
                <a:solidFill>
                  <a:srgbClr val="000000"/>
                </a:solidFill>
                <a:latin typeface="Calibri" panose="020F0502020204030204" pitchFamily="34" charset="0"/>
                <a:ea typeface="Calibri" panose="020F0502020204030204" pitchFamily="34" charset="0"/>
                <a:cs typeface="Calibri" panose="020F0502020204030204" pitchFamily="34" charset="0"/>
              </a:defRPr>
            </a:pPr>
            <a:endParaRPr/>
          </a:p>
        </cx:txPr>
      </cx:axis>
    </cx:plotArea>
  </cx:chart>
</cx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3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6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8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9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8" Type="http://schemas.microsoft.com/office/2014/relationships/chartEx" Target="../charts/chartEx2.xml"/><Relationship Id="rId13" Type="http://schemas.openxmlformats.org/officeDocument/2006/relationships/chart" Target="../charts/chart9.xml"/><Relationship Id="rId18" Type="http://schemas.openxmlformats.org/officeDocument/2006/relationships/chart" Target="../charts/chart14.xml"/><Relationship Id="rId3" Type="http://schemas.openxmlformats.org/officeDocument/2006/relationships/chart" Target="../charts/chart3.xml"/><Relationship Id="rId7" Type="http://schemas.microsoft.com/office/2014/relationships/chartEx" Target="../charts/chartEx1.xml"/><Relationship Id="rId12" Type="http://schemas.openxmlformats.org/officeDocument/2006/relationships/chart" Target="../charts/chart8.xml"/><Relationship Id="rId17" Type="http://schemas.openxmlformats.org/officeDocument/2006/relationships/chart" Target="../charts/chart13.xml"/><Relationship Id="rId2" Type="http://schemas.openxmlformats.org/officeDocument/2006/relationships/chart" Target="../charts/chart2.xml"/><Relationship Id="rId16" Type="http://schemas.openxmlformats.org/officeDocument/2006/relationships/chart" Target="../charts/chart1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11" Type="http://schemas.openxmlformats.org/officeDocument/2006/relationships/chart" Target="../charts/chart7.xml"/><Relationship Id="rId5" Type="http://schemas.openxmlformats.org/officeDocument/2006/relationships/chart" Target="../charts/chart5.xml"/><Relationship Id="rId15" Type="http://schemas.openxmlformats.org/officeDocument/2006/relationships/chart" Target="../charts/chart11.xml"/><Relationship Id="rId10" Type="http://schemas.microsoft.com/office/2014/relationships/chartEx" Target="../charts/chartEx4.xml"/><Relationship Id="rId19" Type="http://schemas.openxmlformats.org/officeDocument/2006/relationships/chart" Target="../charts/chart15.xml"/><Relationship Id="rId4" Type="http://schemas.openxmlformats.org/officeDocument/2006/relationships/chart" Target="../charts/chart4.xml"/><Relationship Id="rId9" Type="http://schemas.microsoft.com/office/2014/relationships/chartEx" Target="../charts/chartEx3.xml"/><Relationship Id="rId14" Type="http://schemas.openxmlformats.org/officeDocument/2006/relationships/chart" Target="../charts/chart10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16</xdr:col>
      <xdr:colOff>1862259</xdr:colOff>
      <xdr:row>4</xdr:row>
      <xdr:rowOff>58126</xdr:rowOff>
    </xdr:from>
    <xdr:to>
      <xdr:col>24</xdr:col>
      <xdr:colOff>210526</xdr:colOff>
      <xdr:row>34</xdr:row>
      <xdr:rowOff>176334</xdr:rowOff>
    </xdr:to>
    <xdr:graphicFrame macro="">
      <xdr:nvGraphicFramePr>
        <xdr:cNvPr id="5" name="Chart 4">
          <a:extLst>
            <a:ext uri="{FF2B5EF4-FFF2-40B4-BE49-F238E27FC236}">
              <a16:creationId xmlns:a16="http://schemas.microsoft.com/office/drawing/2014/main" id="{69EB138B-CC11-CD48-98C8-D286C53A5B1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17</xdr:col>
      <xdr:colOff>546100</xdr:colOff>
      <xdr:row>28</xdr:row>
      <xdr:rowOff>63500</xdr:rowOff>
    </xdr:from>
    <xdr:to>
      <xdr:col>24</xdr:col>
      <xdr:colOff>406400</xdr:colOff>
      <xdr:row>42</xdr:row>
      <xdr:rowOff>139700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84299639-CDD8-6748-B50F-AA40C0280C8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17</xdr:col>
      <xdr:colOff>545612</xdr:colOff>
      <xdr:row>41</xdr:row>
      <xdr:rowOff>150446</xdr:rowOff>
    </xdr:from>
    <xdr:to>
      <xdr:col>24</xdr:col>
      <xdr:colOff>485531</xdr:colOff>
      <xdr:row>56</xdr:row>
      <xdr:rowOff>36146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DC0BD31E-6A70-F84A-B180-FE3904E8A46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26</xdr:col>
      <xdr:colOff>0</xdr:colOff>
      <xdr:row>5</xdr:row>
      <xdr:rowOff>0</xdr:rowOff>
    </xdr:from>
    <xdr:to>
      <xdr:col>32</xdr:col>
      <xdr:colOff>533400</xdr:colOff>
      <xdr:row>19</xdr:row>
      <xdr:rowOff>76200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E3AE26A-D8F4-894D-8F8D-78C22165123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34</xdr:col>
      <xdr:colOff>0</xdr:colOff>
      <xdr:row>5</xdr:row>
      <xdr:rowOff>0</xdr:rowOff>
    </xdr:from>
    <xdr:to>
      <xdr:col>40</xdr:col>
      <xdr:colOff>533400</xdr:colOff>
      <xdr:row>19</xdr:row>
      <xdr:rowOff>76200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7980F969-44F1-8040-AB49-982B3B6B684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42</xdr:col>
      <xdr:colOff>0</xdr:colOff>
      <xdr:row>5</xdr:row>
      <xdr:rowOff>0</xdr:rowOff>
    </xdr:from>
    <xdr:to>
      <xdr:col>48</xdr:col>
      <xdr:colOff>533400</xdr:colOff>
      <xdr:row>19</xdr:row>
      <xdr:rowOff>76200</xdr:rowOff>
    </xdr:to>
    <xdr:graphicFrame macro="">
      <xdr:nvGraphicFramePr>
        <xdr:cNvPr id="10" name="Chart 9">
          <a:extLst>
            <a:ext uri="{FF2B5EF4-FFF2-40B4-BE49-F238E27FC236}">
              <a16:creationId xmlns:a16="http://schemas.microsoft.com/office/drawing/2014/main" id="{A8D5F9B0-7194-FA46-8B55-6A5800AEA0F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18</xdr:col>
      <xdr:colOff>0</xdr:colOff>
      <xdr:row>58</xdr:row>
      <xdr:rowOff>0</xdr:rowOff>
    </xdr:from>
    <xdr:to>
      <xdr:col>24</xdr:col>
      <xdr:colOff>533400</xdr:colOff>
      <xdr:row>72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2" name="Chart 1">
              <a:extLst>
                <a:ext uri="{FF2B5EF4-FFF2-40B4-BE49-F238E27FC236}">
                  <a16:creationId xmlns:a16="http://schemas.microsoft.com/office/drawing/2014/main" id="{24F142DD-6F83-D041-9CAC-FD740159ACD3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7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15779750" y="10706100"/>
              <a:ext cx="42291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42</xdr:col>
      <xdr:colOff>0</xdr:colOff>
      <xdr:row>22</xdr:row>
      <xdr:rowOff>0</xdr:rowOff>
    </xdr:from>
    <xdr:to>
      <xdr:col>48</xdr:col>
      <xdr:colOff>533400</xdr:colOff>
      <xdr:row>36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4" name="Chart 3">
              <a:extLst>
                <a:ext uri="{FF2B5EF4-FFF2-40B4-BE49-F238E27FC236}">
                  <a16:creationId xmlns:a16="http://schemas.microsoft.com/office/drawing/2014/main" id="{C7173481-9931-0E46-8D7E-214B6507228C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8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30562550" y="4076700"/>
              <a:ext cx="431165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34</xdr:col>
      <xdr:colOff>0</xdr:colOff>
      <xdr:row>21</xdr:row>
      <xdr:rowOff>0</xdr:rowOff>
    </xdr:from>
    <xdr:to>
      <xdr:col>40</xdr:col>
      <xdr:colOff>533400</xdr:colOff>
      <xdr:row>35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2" name="Chart 11">
              <a:extLst>
                <a:ext uri="{FF2B5EF4-FFF2-40B4-BE49-F238E27FC236}">
                  <a16:creationId xmlns:a16="http://schemas.microsoft.com/office/drawing/2014/main" id="{26D2937D-6D33-874D-A10C-390916A317EB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9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5634950" y="3892550"/>
              <a:ext cx="42291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26</xdr:col>
      <xdr:colOff>0</xdr:colOff>
      <xdr:row>22</xdr:row>
      <xdr:rowOff>0</xdr:rowOff>
    </xdr:from>
    <xdr:to>
      <xdr:col>32</xdr:col>
      <xdr:colOff>533400</xdr:colOff>
      <xdr:row>36</xdr:row>
      <xdr:rowOff>76200</xdr:rowOff>
    </xdr:to>
    <mc:AlternateContent xmlns:mc="http://schemas.openxmlformats.org/markup-compatibility/2006">
      <mc:Choice xmlns:cx1="http://schemas.microsoft.com/office/drawing/2015/9/8/chartex" Requires="cx1">
        <xdr:graphicFrame macro="">
          <xdr:nvGraphicFramePr>
            <xdr:cNvPr id="13" name="Chart 12">
              <a:extLst>
                <a:ext uri="{FF2B5EF4-FFF2-40B4-BE49-F238E27FC236}">
                  <a16:creationId xmlns:a16="http://schemas.microsoft.com/office/drawing/2014/main" id="{2A158657-2862-A648-BAF4-4E49FA86B270}"/>
                </a:ext>
              </a:extLst>
            </xdr:cNvPr>
            <xdr:cNvGraphicFramePr>
              <a:graphicFrameLocks/>
            </xdr:cNvGraphicFramePr>
          </xdr:nvGraphicFramePr>
          <xdr:xfrm>
            <a:off x="0" y="0"/>
            <a:ext cx="0" cy="0"/>
          </xdr:xfrm>
          <a:graphic>
            <a:graphicData uri="http://schemas.microsoft.com/office/drawing/2014/chartex">
              <cx:chart xmlns:cx="http://schemas.microsoft.com/office/drawing/2014/chartex" xmlns:r="http://schemas.openxmlformats.org/officeDocument/2006/relationships" r:id="rId10"/>
            </a:graphicData>
          </a:graphic>
        </xdr:graphicFrame>
      </mc:Choice>
      <mc:Fallback>
        <xdr:sp macro="" textlink="">
          <xdr:nvSpPr>
            <xdr:cNvPr id="0" name=""/>
            <xdr:cNvSpPr>
              <a:spLocks noTextEdit="1"/>
            </xdr:cNvSpPr>
          </xdr:nvSpPr>
          <xdr:spPr>
            <a:xfrm>
              <a:off x="20707350" y="4076700"/>
              <a:ext cx="4229100" cy="2654300"/>
            </a:xfrm>
            <a:prstGeom prst="rect">
              <a:avLst/>
            </a:prstGeom>
            <a:solidFill>
              <a:prstClr val="white"/>
            </a:solidFill>
            <a:ln w="1">
              <a:solidFill>
                <a:prstClr val="green"/>
              </a:solidFill>
            </a:ln>
          </xdr:spPr>
          <xdr:txBody>
            <a:bodyPr vertOverflow="clip" horzOverflow="clip"/>
            <a:lstStyle/>
            <a:p>
              <a:r>
                <a:rPr lang="en-AU" sz="1100"/>
                <a:t>This chart isn't available in your version of Excel.
Editing this shape or saving this workbook into a different file format will permanently break the chart.</a:t>
              </a:r>
            </a:p>
          </xdr:txBody>
        </xdr:sp>
      </mc:Fallback>
    </mc:AlternateContent>
    <xdr:clientData/>
  </xdr:twoCellAnchor>
  <xdr:twoCellAnchor>
    <xdr:from>
      <xdr:col>49</xdr:col>
      <xdr:colOff>0</xdr:colOff>
      <xdr:row>5</xdr:row>
      <xdr:rowOff>0</xdr:rowOff>
    </xdr:from>
    <xdr:to>
      <xdr:col>59</xdr:col>
      <xdr:colOff>0</xdr:colOff>
      <xdr:row>28</xdr:row>
      <xdr:rowOff>12700</xdr:rowOff>
    </xdr:to>
    <xdr:graphicFrame macro="">
      <xdr:nvGraphicFramePr>
        <xdr:cNvPr id="11" name="Chart 10">
          <a:extLst>
            <a:ext uri="{FF2B5EF4-FFF2-40B4-BE49-F238E27FC236}">
              <a16:creationId xmlns:a16="http://schemas.microsoft.com/office/drawing/2014/main" id="{763FB1F7-96BB-BB4F-9C74-FCCAFC0D9335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1"/>
        </a:graphicData>
      </a:graphic>
    </xdr:graphicFrame>
    <xdr:clientData/>
  </xdr:twoCellAnchor>
  <xdr:twoCellAnchor>
    <xdr:from>
      <xdr:col>59</xdr:col>
      <xdr:colOff>0</xdr:colOff>
      <xdr:row>5</xdr:row>
      <xdr:rowOff>0</xdr:rowOff>
    </xdr:from>
    <xdr:to>
      <xdr:col>65</xdr:col>
      <xdr:colOff>533400</xdr:colOff>
      <xdr:row>19</xdr:row>
      <xdr:rowOff>76200</xdr:rowOff>
    </xdr:to>
    <xdr:graphicFrame macro="">
      <xdr:nvGraphicFramePr>
        <xdr:cNvPr id="14" name="Chart 13">
          <a:extLst>
            <a:ext uri="{FF2B5EF4-FFF2-40B4-BE49-F238E27FC236}">
              <a16:creationId xmlns:a16="http://schemas.microsoft.com/office/drawing/2014/main" id="{190D7885-30B7-1144-9780-13100C5482B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2"/>
        </a:graphicData>
      </a:graphic>
    </xdr:graphicFrame>
    <xdr:clientData/>
  </xdr:twoCellAnchor>
  <xdr:twoCellAnchor>
    <xdr:from>
      <xdr:col>27</xdr:col>
      <xdr:colOff>0</xdr:colOff>
      <xdr:row>40</xdr:row>
      <xdr:rowOff>0</xdr:rowOff>
    </xdr:from>
    <xdr:to>
      <xdr:col>37</xdr:col>
      <xdr:colOff>0</xdr:colOff>
      <xdr:row>63</xdr:row>
      <xdr:rowOff>12700</xdr:rowOff>
    </xdr:to>
    <xdr:graphicFrame macro="">
      <xdr:nvGraphicFramePr>
        <xdr:cNvPr id="15" name="Chart 14">
          <a:extLst>
            <a:ext uri="{FF2B5EF4-FFF2-40B4-BE49-F238E27FC236}">
              <a16:creationId xmlns:a16="http://schemas.microsoft.com/office/drawing/2014/main" id="{916EE013-6EC9-DE4A-8B96-D98BB6045829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3"/>
        </a:graphicData>
      </a:graphic>
    </xdr:graphicFrame>
    <xdr:clientData/>
  </xdr:twoCellAnchor>
  <xdr:twoCellAnchor>
    <xdr:from>
      <xdr:col>27</xdr:col>
      <xdr:colOff>0</xdr:colOff>
      <xdr:row>64</xdr:row>
      <xdr:rowOff>0</xdr:rowOff>
    </xdr:from>
    <xdr:to>
      <xdr:col>33</xdr:col>
      <xdr:colOff>533400</xdr:colOff>
      <xdr:row>78</xdr:row>
      <xdr:rowOff>76200</xdr:rowOff>
    </xdr:to>
    <xdr:graphicFrame macro="">
      <xdr:nvGraphicFramePr>
        <xdr:cNvPr id="16" name="Chart 15">
          <a:extLst>
            <a:ext uri="{FF2B5EF4-FFF2-40B4-BE49-F238E27FC236}">
              <a16:creationId xmlns:a16="http://schemas.microsoft.com/office/drawing/2014/main" id="{F09D16F4-D049-1147-98A0-9B7432C58C9B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4"/>
        </a:graphicData>
      </a:graphic>
    </xdr:graphicFrame>
    <xdr:clientData/>
  </xdr:twoCellAnchor>
  <xdr:twoCellAnchor>
    <xdr:from>
      <xdr:col>39</xdr:col>
      <xdr:colOff>0</xdr:colOff>
      <xdr:row>40</xdr:row>
      <xdr:rowOff>0</xdr:rowOff>
    </xdr:from>
    <xdr:to>
      <xdr:col>45</xdr:col>
      <xdr:colOff>533400</xdr:colOff>
      <xdr:row>54</xdr:row>
      <xdr:rowOff>76200</xdr:rowOff>
    </xdr:to>
    <xdr:graphicFrame macro="">
      <xdr:nvGraphicFramePr>
        <xdr:cNvPr id="17" name="Chart 16">
          <a:extLst>
            <a:ext uri="{FF2B5EF4-FFF2-40B4-BE49-F238E27FC236}">
              <a16:creationId xmlns:a16="http://schemas.microsoft.com/office/drawing/2014/main" id="{83DE8BB6-B842-2B4E-AB47-B8F0BF8CD79E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5"/>
        </a:graphicData>
      </a:graphic>
    </xdr:graphicFrame>
    <xdr:clientData/>
  </xdr:twoCellAnchor>
  <xdr:twoCellAnchor>
    <xdr:from>
      <xdr:col>39</xdr:col>
      <xdr:colOff>0</xdr:colOff>
      <xdr:row>55</xdr:row>
      <xdr:rowOff>0</xdr:rowOff>
    </xdr:from>
    <xdr:to>
      <xdr:col>49</xdr:col>
      <xdr:colOff>0</xdr:colOff>
      <xdr:row>78</xdr:row>
      <xdr:rowOff>12700</xdr:rowOff>
    </xdr:to>
    <xdr:graphicFrame macro="">
      <xdr:nvGraphicFramePr>
        <xdr:cNvPr id="18" name="Chart 17">
          <a:extLst>
            <a:ext uri="{FF2B5EF4-FFF2-40B4-BE49-F238E27FC236}">
              <a16:creationId xmlns:a16="http://schemas.microsoft.com/office/drawing/2014/main" id="{29A530E7-C8B2-E149-AB59-EF977913AD6A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6"/>
        </a:graphicData>
      </a:graphic>
    </xdr:graphicFrame>
    <xdr:clientData/>
  </xdr:twoCellAnchor>
  <xdr:twoCellAnchor>
    <xdr:from>
      <xdr:col>18</xdr:col>
      <xdr:colOff>0</xdr:colOff>
      <xdr:row>53</xdr:row>
      <xdr:rowOff>0</xdr:rowOff>
    </xdr:from>
    <xdr:to>
      <xdr:col>24</xdr:col>
      <xdr:colOff>533400</xdr:colOff>
      <xdr:row>67</xdr:row>
      <xdr:rowOff>76200</xdr:rowOff>
    </xdr:to>
    <xdr:graphicFrame macro="">
      <xdr:nvGraphicFramePr>
        <xdr:cNvPr id="19" name="Chart 18">
          <a:extLst>
            <a:ext uri="{FF2B5EF4-FFF2-40B4-BE49-F238E27FC236}">
              <a16:creationId xmlns:a16="http://schemas.microsoft.com/office/drawing/2014/main" id="{F553BED9-1232-494C-8A84-5D449B35A58F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7"/>
        </a:graphicData>
      </a:graphic>
    </xdr:graphicFrame>
    <xdr:clientData/>
  </xdr:twoCellAnchor>
  <xdr:twoCellAnchor>
    <xdr:from>
      <xdr:col>18</xdr:col>
      <xdr:colOff>0</xdr:colOff>
      <xdr:row>75</xdr:row>
      <xdr:rowOff>0</xdr:rowOff>
    </xdr:from>
    <xdr:to>
      <xdr:col>24</xdr:col>
      <xdr:colOff>533400</xdr:colOff>
      <xdr:row>89</xdr:row>
      <xdr:rowOff>76200</xdr:rowOff>
    </xdr:to>
    <xdr:graphicFrame macro="">
      <xdr:nvGraphicFramePr>
        <xdr:cNvPr id="20" name="Chart 19">
          <a:extLst>
            <a:ext uri="{FF2B5EF4-FFF2-40B4-BE49-F238E27FC236}">
              <a16:creationId xmlns:a16="http://schemas.microsoft.com/office/drawing/2014/main" id="{A568DADA-6860-6C44-AFBB-F1CFABC5777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8"/>
        </a:graphicData>
      </a:graphic>
    </xdr:graphicFrame>
    <xdr:clientData/>
  </xdr:twoCellAnchor>
  <xdr:twoCellAnchor>
    <xdr:from>
      <xdr:col>18</xdr:col>
      <xdr:colOff>0</xdr:colOff>
      <xdr:row>91</xdr:row>
      <xdr:rowOff>0</xdr:rowOff>
    </xdr:from>
    <xdr:to>
      <xdr:col>28</xdr:col>
      <xdr:colOff>0</xdr:colOff>
      <xdr:row>111</xdr:row>
      <xdr:rowOff>165100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0E295E68-2AF1-6C4B-ABD3-A8D3FE5CBE8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9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A0B990-9461-40DB-8F09-F7387145A332}">
  <dimension ref="A1:AT145"/>
  <sheetViews>
    <sheetView tabSelected="1" zoomScale="130" zoomScaleNormal="130" workbookViewId="0">
      <pane ySplit="1" topLeftCell="A2" activePane="bottomLeft" state="frozen"/>
      <selection pane="bottomLeft" activeCell="K32" sqref="K32:P36"/>
    </sheetView>
  </sheetViews>
  <sheetFormatPr defaultColWidth="8.81640625" defaultRowHeight="14.5"/>
  <cols>
    <col min="1" max="1" width="18.1796875" style="3" customWidth="1"/>
    <col min="2" max="2" width="13.1796875" style="3" bestFit="1" customWidth="1"/>
    <col min="3" max="8" width="8.7265625" style="3"/>
    <col min="9" max="9" width="8.81640625" style="3" customWidth="1"/>
    <col min="10" max="10" width="9.453125" style="3" customWidth="1"/>
    <col min="11" max="11" width="15" style="6" bestFit="1" customWidth="1"/>
    <col min="12" max="12" width="17.1796875" style="4" bestFit="1" customWidth="1"/>
    <col min="13" max="13" width="19.1796875" style="4" bestFit="1" customWidth="1"/>
    <col min="14" max="14" width="12.453125" style="4" customWidth="1"/>
    <col min="15" max="15" width="11.7265625" style="4" customWidth="1"/>
    <col min="17" max="17" width="30.7265625" bestFit="1" customWidth="1"/>
    <col min="45" max="45" width="10" customWidth="1"/>
  </cols>
  <sheetData>
    <row r="1" spans="1:46" s="1" customForma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18" t="s">
        <v>1</v>
      </c>
      <c r="L1" s="11" t="s">
        <v>10</v>
      </c>
      <c r="M1" s="11" t="s">
        <v>11</v>
      </c>
      <c r="N1" s="11" t="s">
        <v>12</v>
      </c>
      <c r="O1" s="11" t="s">
        <v>13</v>
      </c>
      <c r="Q1" s="11" t="s">
        <v>10</v>
      </c>
      <c r="Z1" s="1" t="s">
        <v>11</v>
      </c>
      <c r="AH1" s="1" t="s">
        <v>12</v>
      </c>
      <c r="AP1" s="1" t="s">
        <v>13</v>
      </c>
    </row>
    <row r="2" spans="1:46" s="1" customFormat="1" ht="16.5">
      <c r="A2" s="2"/>
      <c r="B2" s="2"/>
      <c r="C2" s="2"/>
      <c r="D2" s="2"/>
      <c r="E2" s="2"/>
      <c r="F2" s="2"/>
      <c r="G2" s="2"/>
      <c r="H2" s="2"/>
      <c r="I2" s="2"/>
      <c r="J2" s="2"/>
      <c r="K2" s="18" t="s">
        <v>14</v>
      </c>
      <c r="L2" s="5"/>
      <c r="M2" s="5"/>
      <c r="N2" s="5"/>
      <c r="O2" s="5"/>
      <c r="Q2" s="1" t="s">
        <v>15</v>
      </c>
      <c r="T2" t="s">
        <v>16</v>
      </c>
    </row>
    <row r="3" spans="1:46">
      <c r="A3" s="3" t="s">
        <v>17</v>
      </c>
      <c r="B3" s="6" t="s">
        <v>18</v>
      </c>
      <c r="C3" s="3">
        <v>1367</v>
      </c>
      <c r="D3" s="3">
        <v>31959</v>
      </c>
      <c r="E3" s="3">
        <v>200</v>
      </c>
      <c r="F3" s="3">
        <v>6803860</v>
      </c>
      <c r="G3" s="3">
        <v>1584</v>
      </c>
      <c r="H3" s="3">
        <v>61721</v>
      </c>
      <c r="I3" s="3">
        <v>123</v>
      </c>
      <c r="J3" s="3">
        <v>8081096</v>
      </c>
      <c r="K3" s="6">
        <v>20</v>
      </c>
      <c r="L3" s="4">
        <v>1.6260162600000001</v>
      </c>
      <c r="M3" s="4">
        <v>0.51779783199999996</v>
      </c>
      <c r="N3" s="4">
        <v>0.84194767599999998</v>
      </c>
      <c r="O3" s="4">
        <v>217</v>
      </c>
      <c r="Q3">
        <f>CORREL(K3:K100,L3:L100)</f>
        <v>0.44115016101194426</v>
      </c>
      <c r="R3" t="s">
        <v>19</v>
      </c>
      <c r="T3" t="s">
        <v>20</v>
      </c>
      <c r="U3" t="s">
        <v>21</v>
      </c>
      <c r="Z3">
        <f>CORREL(K3:K100,M3:M100)</f>
        <v>0.60088383045002636</v>
      </c>
      <c r="AA3" t="s">
        <v>19</v>
      </c>
      <c r="AC3" t="s">
        <v>20</v>
      </c>
      <c r="AD3" t="s">
        <v>21</v>
      </c>
      <c r="AH3">
        <f>CORREL(K3:K100, N3:N100)</f>
        <v>0.62632444833868606</v>
      </c>
      <c r="AI3" t="s">
        <v>19</v>
      </c>
      <c r="AK3" t="s">
        <v>20</v>
      </c>
      <c r="AL3" t="s">
        <v>21</v>
      </c>
      <c r="AP3">
        <f>CORREL(K3:K100,O3:O100)</f>
        <v>0.26085854514887086</v>
      </c>
      <c r="AQ3" t="s">
        <v>19</v>
      </c>
      <c r="AS3" t="s">
        <v>20</v>
      </c>
      <c r="AT3" t="s">
        <v>21</v>
      </c>
    </row>
    <row r="4" spans="1:46">
      <c r="A4" s="3" t="s">
        <v>17</v>
      </c>
      <c r="B4" s="6" t="s">
        <v>18</v>
      </c>
      <c r="C4" s="3">
        <v>1367</v>
      </c>
      <c r="D4" s="3">
        <v>33995</v>
      </c>
      <c r="E4" s="3">
        <v>200</v>
      </c>
      <c r="F4" s="3">
        <v>7237311</v>
      </c>
      <c r="G4" s="3">
        <v>1586</v>
      </c>
      <c r="H4" s="3">
        <v>72713</v>
      </c>
      <c r="I4" s="3">
        <v>127</v>
      </c>
      <c r="J4" s="3">
        <v>9829875</v>
      </c>
      <c r="K4" s="6">
        <v>20</v>
      </c>
      <c r="L4" s="4">
        <v>1.5748031499999999</v>
      </c>
      <c r="M4" s="4">
        <v>0.46752300099999999</v>
      </c>
      <c r="N4" s="4">
        <v>0.73625666700000003</v>
      </c>
      <c r="O4" s="4">
        <v>219</v>
      </c>
      <c r="Q4">
        <f>CORREL(K3:K145,L3:L145)</f>
        <v>0.43236186789037501</v>
      </c>
      <c r="R4" t="s">
        <v>22</v>
      </c>
      <c r="T4" s="23" t="s">
        <v>20</v>
      </c>
      <c r="U4" t="s">
        <v>21</v>
      </c>
      <c r="V4" t="s">
        <v>23</v>
      </c>
      <c r="Z4">
        <f>CORREL(K3:K145,M3:M145)</f>
        <v>0.40302890316890344</v>
      </c>
      <c r="AA4" t="s">
        <v>22</v>
      </c>
      <c r="AC4" s="23" t="s">
        <v>20</v>
      </c>
      <c r="AD4" t="s">
        <v>21</v>
      </c>
      <c r="AH4">
        <f>CORREL(K3:K145, N3:N145)</f>
        <v>0.49583864321016752</v>
      </c>
      <c r="AI4" t="s">
        <v>22</v>
      </c>
      <c r="AK4" s="23" t="s">
        <v>20</v>
      </c>
      <c r="AL4" t="s">
        <v>21</v>
      </c>
      <c r="AP4">
        <f>CORREL(K3:K145,O3:O145)</f>
        <v>0.18527831355268282</v>
      </c>
      <c r="AQ4" t="s">
        <v>22</v>
      </c>
      <c r="AS4" s="23">
        <v>2.7820000000000001E-2</v>
      </c>
      <c r="AT4" t="s">
        <v>21</v>
      </c>
    </row>
    <row r="5" spans="1:46">
      <c r="A5" s="3" t="s">
        <v>17</v>
      </c>
      <c r="B5" s="6" t="s">
        <v>18</v>
      </c>
      <c r="C5" s="3">
        <v>1369</v>
      </c>
      <c r="D5" s="3">
        <v>275</v>
      </c>
      <c r="E5" s="3">
        <v>188</v>
      </c>
      <c r="F5" s="3">
        <v>55033</v>
      </c>
      <c r="G5" s="3">
        <v>1584</v>
      </c>
      <c r="H5" s="3">
        <v>641</v>
      </c>
      <c r="I5" s="3">
        <v>101</v>
      </c>
      <c r="J5" s="3">
        <v>68915</v>
      </c>
      <c r="K5" s="6">
        <v>20</v>
      </c>
      <c r="L5" s="4">
        <v>1.8613861389999999</v>
      </c>
      <c r="M5" s="4">
        <v>0.42901716099999998</v>
      </c>
      <c r="N5" s="4">
        <v>0.79856344800000001</v>
      </c>
      <c r="O5" s="4">
        <v>215</v>
      </c>
    </row>
    <row r="6" spans="1:46">
      <c r="A6" s="3" t="s">
        <v>17</v>
      </c>
      <c r="B6" s="6" t="s">
        <v>18</v>
      </c>
      <c r="C6" s="3">
        <v>1367</v>
      </c>
      <c r="D6" s="3">
        <v>39493</v>
      </c>
      <c r="E6" s="3">
        <v>200</v>
      </c>
      <c r="F6" s="3">
        <v>8407799</v>
      </c>
      <c r="G6" s="3">
        <v>1588</v>
      </c>
      <c r="H6" s="3">
        <v>73305</v>
      </c>
      <c r="I6" s="3">
        <v>119</v>
      </c>
      <c r="J6" s="3">
        <v>9285660</v>
      </c>
      <c r="K6" s="6">
        <v>20</v>
      </c>
      <c r="L6" s="4">
        <v>1.680672269</v>
      </c>
      <c r="M6" s="4">
        <v>0.53874906199999995</v>
      </c>
      <c r="N6" s="4">
        <v>0.90546057000000002</v>
      </c>
      <c r="O6" s="4">
        <v>221</v>
      </c>
    </row>
    <row r="7" spans="1:46">
      <c r="A7" s="3" t="s">
        <v>17</v>
      </c>
      <c r="B7" s="6" t="s">
        <v>18</v>
      </c>
      <c r="C7" s="3">
        <v>1367</v>
      </c>
      <c r="D7" s="3">
        <v>36337</v>
      </c>
      <c r="E7" s="3">
        <v>200</v>
      </c>
      <c r="F7" s="3">
        <v>7735908</v>
      </c>
      <c r="G7" s="3">
        <v>1588</v>
      </c>
      <c r="H7" s="3">
        <v>66583</v>
      </c>
      <c r="I7" s="3">
        <v>117</v>
      </c>
      <c r="J7" s="3">
        <v>8292423</v>
      </c>
      <c r="K7" s="6">
        <v>20</v>
      </c>
      <c r="L7" s="4">
        <v>1.709401709</v>
      </c>
      <c r="M7" s="4">
        <v>0.54573990400000005</v>
      </c>
      <c r="N7" s="4">
        <v>0.93288873500000002</v>
      </c>
      <c r="O7" s="4">
        <v>221</v>
      </c>
    </row>
    <row r="8" spans="1:46">
      <c r="A8" s="3" t="s">
        <v>17</v>
      </c>
      <c r="B8" s="6" t="s">
        <v>18</v>
      </c>
      <c r="C8" s="3">
        <v>1365</v>
      </c>
      <c r="D8" s="3">
        <v>45811</v>
      </c>
      <c r="E8" s="3">
        <v>200</v>
      </c>
      <c r="F8" s="3">
        <v>9752860</v>
      </c>
      <c r="G8" s="3">
        <v>1584</v>
      </c>
      <c r="H8" s="3">
        <v>80295</v>
      </c>
      <c r="I8" s="3">
        <v>127</v>
      </c>
      <c r="J8" s="3">
        <v>10854865</v>
      </c>
      <c r="K8" s="6">
        <v>20</v>
      </c>
      <c r="L8" s="4">
        <v>1.5748031499999999</v>
      </c>
      <c r="M8" s="4">
        <v>0.57053365700000003</v>
      </c>
      <c r="N8" s="4">
        <v>0.89847823999999998</v>
      </c>
      <c r="O8" s="4">
        <v>219</v>
      </c>
    </row>
    <row r="9" spans="1:46">
      <c r="A9" s="3" t="s">
        <v>17</v>
      </c>
      <c r="B9" s="6" t="s">
        <v>18</v>
      </c>
      <c r="C9" s="3">
        <v>1365</v>
      </c>
      <c r="D9" s="3">
        <v>6219</v>
      </c>
      <c r="E9" s="3">
        <v>200</v>
      </c>
      <c r="F9" s="3">
        <v>1323984</v>
      </c>
      <c r="G9" s="3">
        <v>1584</v>
      </c>
      <c r="H9" s="3">
        <v>10913</v>
      </c>
      <c r="I9" s="3">
        <v>137</v>
      </c>
      <c r="J9" s="3">
        <v>1591464</v>
      </c>
      <c r="K9" s="6">
        <v>20</v>
      </c>
      <c r="L9" s="4">
        <v>1.4598540149999999</v>
      </c>
      <c r="M9" s="4">
        <v>0.56987079600000001</v>
      </c>
      <c r="N9" s="4">
        <v>0.83192833799999999</v>
      </c>
      <c r="O9" s="4">
        <v>219</v>
      </c>
    </row>
    <row r="10" spans="1:46">
      <c r="A10" s="3" t="s">
        <v>17</v>
      </c>
      <c r="B10" s="6" t="s">
        <v>18</v>
      </c>
      <c r="C10" s="3">
        <v>1367</v>
      </c>
      <c r="D10" s="3">
        <v>10383</v>
      </c>
      <c r="E10" s="3">
        <v>200</v>
      </c>
      <c r="F10" s="3">
        <v>2210472</v>
      </c>
      <c r="G10" s="3">
        <v>1586</v>
      </c>
      <c r="H10" s="3">
        <v>18801</v>
      </c>
      <c r="I10" s="3">
        <v>127</v>
      </c>
      <c r="J10" s="3">
        <v>2541657</v>
      </c>
      <c r="K10" s="6">
        <v>20</v>
      </c>
      <c r="L10" s="4">
        <v>1.5748031499999999</v>
      </c>
      <c r="M10" s="4">
        <v>0.55225785900000002</v>
      </c>
      <c r="N10" s="4">
        <v>0.86969720900000003</v>
      </c>
      <c r="O10" s="4">
        <v>219</v>
      </c>
    </row>
    <row r="11" spans="1:46">
      <c r="A11" s="3" t="s">
        <v>17</v>
      </c>
      <c r="B11" s="6" t="s">
        <v>18</v>
      </c>
      <c r="C11" s="3">
        <v>1365</v>
      </c>
      <c r="D11" s="3">
        <v>9983</v>
      </c>
      <c r="E11" s="3">
        <v>200</v>
      </c>
      <c r="F11" s="3">
        <v>2125315</v>
      </c>
      <c r="G11" s="3">
        <v>1586</v>
      </c>
      <c r="H11" s="3">
        <v>19413</v>
      </c>
      <c r="I11" s="3">
        <v>139</v>
      </c>
      <c r="J11" s="3">
        <v>2872365</v>
      </c>
      <c r="K11" s="6">
        <v>20</v>
      </c>
      <c r="L11" s="4">
        <v>1.4388489209999999</v>
      </c>
      <c r="M11" s="4">
        <v>0.51424303299999996</v>
      </c>
      <c r="N11" s="4">
        <v>0.73991815100000002</v>
      </c>
      <c r="O11" s="4">
        <v>221</v>
      </c>
    </row>
    <row r="12" spans="1:46">
      <c r="A12" s="3" t="s">
        <v>17</v>
      </c>
      <c r="B12" s="6" t="s">
        <v>18</v>
      </c>
      <c r="C12" s="3">
        <v>1367</v>
      </c>
      <c r="D12" s="3">
        <v>6011</v>
      </c>
      <c r="E12" s="3">
        <v>200</v>
      </c>
      <c r="F12" s="3">
        <v>1279702</v>
      </c>
      <c r="G12" s="3">
        <v>1586</v>
      </c>
      <c r="H12" s="3">
        <v>12299</v>
      </c>
      <c r="I12" s="3">
        <v>127</v>
      </c>
      <c r="J12" s="3">
        <v>1662669</v>
      </c>
      <c r="K12" s="6">
        <v>20</v>
      </c>
      <c r="L12" s="4">
        <v>1.5748031499999999</v>
      </c>
      <c r="M12" s="4">
        <v>0.48873892200000002</v>
      </c>
      <c r="N12" s="4">
        <v>0.76966732400000004</v>
      </c>
      <c r="O12" s="4">
        <v>219</v>
      </c>
    </row>
    <row r="13" spans="1:46">
      <c r="A13" s="3" t="s">
        <v>17</v>
      </c>
      <c r="B13" s="6" t="s">
        <v>18</v>
      </c>
      <c r="C13" s="3">
        <v>1367</v>
      </c>
      <c r="D13" s="3">
        <v>36105</v>
      </c>
      <c r="E13" s="3">
        <v>200</v>
      </c>
      <c r="F13" s="3">
        <v>7686516</v>
      </c>
      <c r="G13" s="3">
        <v>1584</v>
      </c>
      <c r="H13" s="3">
        <v>64351</v>
      </c>
      <c r="I13" s="3">
        <v>137</v>
      </c>
      <c r="J13" s="3">
        <v>9384434</v>
      </c>
      <c r="K13" s="6">
        <v>20</v>
      </c>
      <c r="L13" s="4">
        <v>1.4598540149999999</v>
      </c>
      <c r="M13" s="4">
        <v>0.56106354199999997</v>
      </c>
      <c r="N13" s="4">
        <v>0.81907081400000004</v>
      </c>
      <c r="O13" s="4">
        <v>217</v>
      </c>
    </row>
    <row r="14" spans="1:46">
      <c r="A14" s="3" t="s">
        <v>17</v>
      </c>
      <c r="B14" s="6" t="s">
        <v>18</v>
      </c>
      <c r="C14" s="3">
        <v>1365</v>
      </c>
      <c r="D14" s="3">
        <v>25793</v>
      </c>
      <c r="E14" s="3">
        <v>200</v>
      </c>
      <c r="F14" s="3">
        <v>5491160</v>
      </c>
      <c r="G14" s="3">
        <v>1584</v>
      </c>
      <c r="H14" s="3">
        <v>50809</v>
      </c>
      <c r="I14" s="3">
        <v>137</v>
      </c>
      <c r="J14" s="3">
        <v>7409577</v>
      </c>
      <c r="K14" s="6">
        <v>20</v>
      </c>
      <c r="L14" s="4">
        <v>1.4598540149999999</v>
      </c>
      <c r="M14" s="4">
        <v>0.50764628300000003</v>
      </c>
      <c r="N14" s="4">
        <v>0.74108953899999996</v>
      </c>
      <c r="O14" s="4">
        <v>219</v>
      </c>
    </row>
    <row r="15" spans="1:46">
      <c r="A15" s="3" t="s">
        <v>17</v>
      </c>
      <c r="B15" s="6" t="s">
        <v>18</v>
      </c>
      <c r="C15" s="3">
        <v>1365</v>
      </c>
      <c r="D15" s="3">
        <v>25215</v>
      </c>
      <c r="E15" s="3">
        <v>200</v>
      </c>
      <c r="F15" s="3">
        <v>5368107</v>
      </c>
      <c r="G15" s="3">
        <v>1584</v>
      </c>
      <c r="H15" s="3">
        <v>47273</v>
      </c>
      <c r="I15" s="3">
        <v>147</v>
      </c>
      <c r="J15" s="3">
        <v>7397121</v>
      </c>
      <c r="K15" s="6">
        <v>20</v>
      </c>
      <c r="L15" s="4">
        <v>1.360544218</v>
      </c>
      <c r="M15" s="4">
        <v>0.53339115400000003</v>
      </c>
      <c r="N15" s="4">
        <v>0.72570220200000002</v>
      </c>
      <c r="O15" s="4">
        <v>219</v>
      </c>
    </row>
    <row r="16" spans="1:46">
      <c r="A16" s="3" t="s">
        <v>17</v>
      </c>
      <c r="B16" s="6" t="s">
        <v>18</v>
      </c>
      <c r="C16" s="3">
        <v>1369</v>
      </c>
      <c r="D16" s="3">
        <v>11227</v>
      </c>
      <c r="E16" s="3">
        <v>146</v>
      </c>
      <c r="F16" s="3">
        <v>1744813</v>
      </c>
      <c r="G16" s="3">
        <v>1584</v>
      </c>
      <c r="H16" s="3">
        <v>66007</v>
      </c>
      <c r="I16" s="3">
        <v>101</v>
      </c>
      <c r="J16" s="3">
        <v>7096490</v>
      </c>
      <c r="K16" s="6">
        <v>20</v>
      </c>
      <c r="L16" s="4">
        <v>1.445544554</v>
      </c>
      <c r="M16" s="6">
        <v>0.17008802100000001</v>
      </c>
      <c r="N16" s="4">
        <v>0.24586986</v>
      </c>
      <c r="O16" s="4">
        <v>215</v>
      </c>
      <c r="Q16">
        <f>AVERAGE(M16:M19)</f>
        <v>0.17567954275</v>
      </c>
    </row>
    <row r="17" spans="1:15">
      <c r="A17" s="3" t="s">
        <v>17</v>
      </c>
      <c r="B17" s="6" t="s">
        <v>18</v>
      </c>
      <c r="C17" s="3">
        <v>1369</v>
      </c>
      <c r="D17" s="3">
        <v>11843</v>
      </c>
      <c r="E17" s="3">
        <v>150</v>
      </c>
      <c r="F17" s="3">
        <v>1890972</v>
      </c>
      <c r="G17" s="3">
        <v>1586</v>
      </c>
      <c r="H17" s="3">
        <v>59945</v>
      </c>
      <c r="I17" s="3">
        <v>107</v>
      </c>
      <c r="J17" s="3">
        <v>6827614</v>
      </c>
      <c r="K17" s="6">
        <v>20</v>
      </c>
      <c r="L17" s="4">
        <v>1.4018691590000001</v>
      </c>
      <c r="M17" s="6">
        <v>0.19756443400000001</v>
      </c>
      <c r="N17" s="4">
        <v>0.27695941800000001</v>
      </c>
      <c r="O17" s="4">
        <v>217</v>
      </c>
    </row>
    <row r="18" spans="1:15">
      <c r="A18" s="3" t="s">
        <v>17</v>
      </c>
      <c r="B18" s="6" t="s">
        <v>18</v>
      </c>
      <c r="C18" s="3">
        <v>1369</v>
      </c>
      <c r="D18" s="3">
        <v>1665</v>
      </c>
      <c r="E18" s="3">
        <v>142</v>
      </c>
      <c r="F18" s="3">
        <v>251672</v>
      </c>
      <c r="G18" s="3">
        <v>1590</v>
      </c>
      <c r="H18" s="3">
        <v>10657</v>
      </c>
      <c r="I18" s="3">
        <v>101</v>
      </c>
      <c r="J18" s="3">
        <v>1145747</v>
      </c>
      <c r="K18" s="6">
        <v>20</v>
      </c>
      <c r="L18" s="4">
        <v>1.405940594</v>
      </c>
      <c r="M18" s="6">
        <v>0.156235338</v>
      </c>
      <c r="N18" s="4">
        <v>0.219657568</v>
      </c>
      <c r="O18" s="4">
        <v>221</v>
      </c>
    </row>
    <row r="19" spans="1:15">
      <c r="A19" s="3" t="s">
        <v>17</v>
      </c>
      <c r="B19" s="6" t="s">
        <v>18</v>
      </c>
      <c r="C19" s="3">
        <v>1369</v>
      </c>
      <c r="D19" s="3">
        <v>3379</v>
      </c>
      <c r="E19" s="3">
        <v>156</v>
      </c>
      <c r="F19" s="3">
        <v>561106</v>
      </c>
      <c r="G19" s="3">
        <v>1584</v>
      </c>
      <c r="H19" s="3">
        <v>18895</v>
      </c>
      <c r="I19" s="3">
        <v>117</v>
      </c>
      <c r="J19" s="3">
        <v>2353233</v>
      </c>
      <c r="K19" s="6">
        <v>20</v>
      </c>
      <c r="L19" s="4">
        <v>1.3333333329999999</v>
      </c>
      <c r="M19" s="6">
        <v>0.17883037800000001</v>
      </c>
      <c r="N19" s="4">
        <v>0.23844047700000001</v>
      </c>
      <c r="O19" s="4">
        <v>215</v>
      </c>
    </row>
    <row r="20" spans="1:15">
      <c r="A20" s="3" t="s">
        <v>17</v>
      </c>
      <c r="B20" s="7" t="s">
        <v>24</v>
      </c>
      <c r="C20" s="3">
        <v>1365</v>
      </c>
      <c r="D20" s="3">
        <v>19515</v>
      </c>
      <c r="E20" s="3">
        <v>200</v>
      </c>
      <c r="F20" s="3">
        <v>4154615</v>
      </c>
      <c r="G20" s="3">
        <v>1590</v>
      </c>
      <c r="H20" s="3">
        <v>27357</v>
      </c>
      <c r="I20" s="3">
        <v>103</v>
      </c>
      <c r="J20" s="3">
        <v>2999424</v>
      </c>
      <c r="K20" s="6">
        <v>25</v>
      </c>
      <c r="L20" s="4">
        <v>1.941747573</v>
      </c>
      <c r="M20" s="4">
        <v>0.71334576199999999</v>
      </c>
      <c r="N20" s="4">
        <v>1.3851376129999999</v>
      </c>
      <c r="O20" s="4">
        <v>225</v>
      </c>
    </row>
    <row r="21" spans="1:15">
      <c r="A21" s="3" t="s">
        <v>17</v>
      </c>
      <c r="B21" s="7" t="s">
        <v>24</v>
      </c>
      <c r="C21" s="3">
        <v>1367</v>
      </c>
      <c r="D21" s="3">
        <v>15855</v>
      </c>
      <c r="E21" s="3">
        <v>200</v>
      </c>
      <c r="F21" s="3">
        <v>3375425</v>
      </c>
      <c r="G21" s="3">
        <v>1588</v>
      </c>
      <c r="H21" s="3">
        <v>30041</v>
      </c>
      <c r="I21" s="3">
        <v>119</v>
      </c>
      <c r="J21" s="3">
        <v>3805341</v>
      </c>
      <c r="K21" s="6">
        <v>25</v>
      </c>
      <c r="L21" s="4">
        <v>1.680672269</v>
      </c>
      <c r="M21" s="4">
        <v>0.52777870199999999</v>
      </c>
      <c r="N21" s="4">
        <v>0.88702300300000003</v>
      </c>
      <c r="O21" s="4">
        <v>221</v>
      </c>
    </row>
    <row r="22" spans="1:15">
      <c r="A22" s="3" t="s">
        <v>17</v>
      </c>
      <c r="B22" s="7" t="s">
        <v>24</v>
      </c>
      <c r="C22" s="3">
        <v>1365</v>
      </c>
      <c r="D22" s="3">
        <v>19839</v>
      </c>
      <c r="E22" s="3">
        <v>200</v>
      </c>
      <c r="F22" s="3">
        <v>4223592</v>
      </c>
      <c r="G22" s="3">
        <v>1584</v>
      </c>
      <c r="H22" s="3">
        <v>28405</v>
      </c>
      <c r="I22" s="3">
        <v>119</v>
      </c>
      <c r="J22" s="3">
        <v>3598106</v>
      </c>
      <c r="K22" s="6">
        <v>25</v>
      </c>
      <c r="L22" s="4">
        <v>1.680672269</v>
      </c>
      <c r="M22" s="4">
        <v>0.69843337400000005</v>
      </c>
      <c r="N22" s="4">
        <v>1.173837569</v>
      </c>
      <c r="O22" s="4">
        <v>219</v>
      </c>
    </row>
    <row r="23" spans="1:15">
      <c r="A23" s="3" t="s">
        <v>17</v>
      </c>
      <c r="B23" s="7" t="s">
        <v>24</v>
      </c>
      <c r="C23" s="3">
        <v>1365</v>
      </c>
      <c r="D23" s="3">
        <v>28415</v>
      </c>
      <c r="E23" s="3">
        <v>200</v>
      </c>
      <c r="F23" s="3">
        <v>6049366</v>
      </c>
      <c r="G23" s="3">
        <v>1592</v>
      </c>
      <c r="H23" s="3">
        <v>38873</v>
      </c>
      <c r="I23" s="3">
        <v>113</v>
      </c>
      <c r="J23" s="3">
        <v>4675830</v>
      </c>
      <c r="K23" s="6">
        <v>25</v>
      </c>
      <c r="L23" s="4">
        <v>1.769911504</v>
      </c>
      <c r="M23" s="4">
        <v>0.73097008200000002</v>
      </c>
      <c r="N23" s="4">
        <v>1.2937523390000001</v>
      </c>
      <c r="O23" s="4">
        <v>227</v>
      </c>
    </row>
    <row r="24" spans="1:15">
      <c r="A24" s="3" t="s">
        <v>17</v>
      </c>
      <c r="B24" s="7" t="s">
        <v>24</v>
      </c>
      <c r="C24" s="3">
        <v>1365</v>
      </c>
      <c r="D24" s="3">
        <v>27517</v>
      </c>
      <c r="E24" s="3">
        <v>200</v>
      </c>
      <c r="F24" s="3">
        <v>5858188</v>
      </c>
      <c r="G24" s="3">
        <v>1590</v>
      </c>
      <c r="H24" s="3">
        <v>37903</v>
      </c>
      <c r="I24" s="3">
        <v>113</v>
      </c>
      <c r="J24" s="3">
        <v>4559154</v>
      </c>
      <c r="K24" s="6">
        <v>25</v>
      </c>
      <c r="L24" s="4">
        <v>1.769911504</v>
      </c>
      <c r="M24" s="4">
        <v>0.72598475100000004</v>
      </c>
      <c r="N24" s="4">
        <v>1.2849287389999999</v>
      </c>
      <c r="O24" s="4">
        <v>225</v>
      </c>
    </row>
    <row r="25" spans="1:15">
      <c r="A25" s="3" t="s">
        <v>17</v>
      </c>
      <c r="B25" s="7" t="s">
        <v>24</v>
      </c>
      <c r="C25" s="3">
        <v>1367</v>
      </c>
      <c r="D25" s="3">
        <v>30765</v>
      </c>
      <c r="E25" s="3">
        <v>200</v>
      </c>
      <c r="F25" s="3">
        <v>6549666</v>
      </c>
      <c r="G25" s="3">
        <v>1590</v>
      </c>
      <c r="H25" s="3">
        <v>41883</v>
      </c>
      <c r="I25" s="3">
        <v>113</v>
      </c>
      <c r="J25" s="3">
        <v>5037887</v>
      </c>
      <c r="K25" s="6">
        <v>25</v>
      </c>
      <c r="L25" s="4">
        <v>1.769911504</v>
      </c>
      <c r="M25" s="4">
        <v>0.73454623600000002</v>
      </c>
      <c r="N25" s="4">
        <v>1.3000819589999999</v>
      </c>
      <c r="O25" s="4">
        <v>223</v>
      </c>
    </row>
    <row r="26" spans="1:15">
      <c r="A26" s="3" t="s">
        <v>17</v>
      </c>
      <c r="B26" s="7" t="s">
        <v>24</v>
      </c>
      <c r="C26" s="3">
        <v>1367</v>
      </c>
      <c r="D26" s="3">
        <v>30765</v>
      </c>
      <c r="E26" s="3">
        <v>200</v>
      </c>
      <c r="F26" s="3">
        <v>6549666</v>
      </c>
      <c r="G26" s="3">
        <v>1590</v>
      </c>
      <c r="H26" s="3">
        <v>41883</v>
      </c>
      <c r="I26" s="3">
        <v>113</v>
      </c>
      <c r="J26" s="3">
        <v>5037887</v>
      </c>
      <c r="K26" s="6">
        <v>25</v>
      </c>
      <c r="L26" s="4">
        <v>1.769911504</v>
      </c>
      <c r="M26" s="4">
        <v>0.73454623600000002</v>
      </c>
      <c r="N26" s="4">
        <v>1.3000819589999999</v>
      </c>
      <c r="O26" s="4">
        <v>223</v>
      </c>
    </row>
    <row r="27" spans="1:15">
      <c r="A27" s="3" t="s">
        <v>17</v>
      </c>
      <c r="B27" s="7" t="s">
        <v>24</v>
      </c>
      <c r="C27" s="3">
        <v>1365</v>
      </c>
      <c r="D27" s="3">
        <v>31883</v>
      </c>
      <c r="E27" s="3">
        <v>200</v>
      </c>
      <c r="F27" s="3">
        <v>6787681</v>
      </c>
      <c r="G27" s="3">
        <v>1590</v>
      </c>
      <c r="H27" s="3">
        <v>44225</v>
      </c>
      <c r="I27" s="3">
        <v>113</v>
      </c>
      <c r="J27" s="3">
        <v>5319594</v>
      </c>
      <c r="K27" s="6">
        <v>25</v>
      </c>
      <c r="L27" s="4">
        <v>1.769911504</v>
      </c>
      <c r="M27" s="4">
        <v>0.72092707700000003</v>
      </c>
      <c r="N27" s="4">
        <v>1.275977264</v>
      </c>
      <c r="O27" s="4">
        <v>225</v>
      </c>
    </row>
    <row r="28" spans="1:15">
      <c r="A28" s="3" t="s">
        <v>17</v>
      </c>
      <c r="B28" s="7" t="s">
        <v>24</v>
      </c>
      <c r="C28" s="3">
        <v>1367</v>
      </c>
      <c r="D28" s="3">
        <v>30607</v>
      </c>
      <c r="E28" s="3">
        <v>200</v>
      </c>
      <c r="F28" s="3">
        <v>6516029</v>
      </c>
      <c r="G28" s="3">
        <v>1590</v>
      </c>
      <c r="H28" s="3">
        <v>42093</v>
      </c>
      <c r="I28" s="3">
        <v>113</v>
      </c>
      <c r="J28" s="3">
        <v>5063147</v>
      </c>
      <c r="K28" s="6">
        <v>25</v>
      </c>
      <c r="L28" s="4">
        <v>1.769911504</v>
      </c>
      <c r="M28" s="4">
        <v>0.72712802600000004</v>
      </c>
      <c r="N28" s="4">
        <v>1.286952364</v>
      </c>
      <c r="O28" s="4">
        <v>223</v>
      </c>
    </row>
    <row r="29" spans="1:15">
      <c r="A29" s="3" t="s">
        <v>17</v>
      </c>
      <c r="B29" s="7" t="s">
        <v>24</v>
      </c>
      <c r="C29" s="3">
        <v>1367</v>
      </c>
      <c r="D29" s="3">
        <v>28485</v>
      </c>
      <c r="E29" s="3">
        <v>200</v>
      </c>
      <c r="F29" s="3">
        <v>6064269</v>
      </c>
      <c r="G29" s="3">
        <v>1588</v>
      </c>
      <c r="H29" s="3">
        <v>38613</v>
      </c>
      <c r="I29" s="3">
        <v>113</v>
      </c>
      <c r="J29" s="3">
        <v>4644556</v>
      </c>
      <c r="K29" s="6">
        <v>25</v>
      </c>
      <c r="L29" s="4">
        <v>1.769911504</v>
      </c>
      <c r="M29" s="4">
        <v>0.73770491800000004</v>
      </c>
      <c r="N29" s="4">
        <v>1.3056724909999999</v>
      </c>
      <c r="O29" s="4">
        <v>221</v>
      </c>
    </row>
    <row r="30" spans="1:15">
      <c r="A30" s="3" t="s">
        <v>17</v>
      </c>
      <c r="B30" s="7" t="s">
        <v>24</v>
      </c>
      <c r="C30" s="3">
        <v>1365</v>
      </c>
      <c r="D30" s="3">
        <v>32423</v>
      </c>
      <c r="E30" s="3">
        <v>200</v>
      </c>
      <c r="F30" s="3">
        <v>6902643</v>
      </c>
      <c r="G30" s="3">
        <v>1590</v>
      </c>
      <c r="H30" s="3">
        <v>44215</v>
      </c>
      <c r="I30" s="3">
        <v>113</v>
      </c>
      <c r="J30" s="3">
        <v>5318391</v>
      </c>
      <c r="K30" s="6">
        <v>25</v>
      </c>
      <c r="L30" s="4">
        <v>1.769911504</v>
      </c>
      <c r="M30" s="4">
        <v>0.733303178</v>
      </c>
      <c r="N30" s="4">
        <v>1.2978818219999999</v>
      </c>
      <c r="O30" s="4">
        <v>225</v>
      </c>
    </row>
    <row r="31" spans="1:15">
      <c r="A31" s="3" t="s">
        <v>17</v>
      </c>
      <c r="B31" s="7" t="s">
        <v>24</v>
      </c>
      <c r="C31" s="3">
        <v>1367</v>
      </c>
      <c r="D31" s="3">
        <v>35423</v>
      </c>
      <c r="E31" s="3">
        <v>200</v>
      </c>
      <c r="F31" s="3">
        <v>7541323</v>
      </c>
      <c r="G31" s="3">
        <v>1590</v>
      </c>
      <c r="H31" s="3">
        <v>47963</v>
      </c>
      <c r="I31" s="3">
        <v>113</v>
      </c>
      <c r="J31" s="3">
        <v>5769219</v>
      </c>
      <c r="K31" s="6">
        <v>25</v>
      </c>
      <c r="L31" s="4">
        <v>1.769911504</v>
      </c>
      <c r="M31" s="4">
        <v>0.73854846399999996</v>
      </c>
      <c r="N31" s="4">
        <v>1.30716532</v>
      </c>
      <c r="O31" s="4">
        <v>223</v>
      </c>
    </row>
    <row r="32" spans="1:15">
      <c r="A32" s="3" t="s">
        <v>17</v>
      </c>
      <c r="B32" s="7" t="s">
        <v>24</v>
      </c>
      <c r="C32" s="3">
        <v>1365</v>
      </c>
      <c r="D32" s="3">
        <v>35417</v>
      </c>
      <c r="E32" s="3">
        <v>200</v>
      </c>
      <c r="F32" s="3">
        <v>7540046</v>
      </c>
      <c r="G32" s="3">
        <v>1586</v>
      </c>
      <c r="H32" s="3">
        <v>47997</v>
      </c>
      <c r="I32" s="3">
        <v>111</v>
      </c>
      <c r="J32" s="3">
        <v>5671126</v>
      </c>
      <c r="K32" s="6">
        <v>25</v>
      </c>
      <c r="L32" s="4">
        <v>1.801801802</v>
      </c>
      <c r="M32" s="4">
        <v>0.73790028500000004</v>
      </c>
      <c r="N32" s="4">
        <v>1.329550075</v>
      </c>
      <c r="O32" s="4">
        <v>221</v>
      </c>
    </row>
    <row r="33" spans="1:18">
      <c r="A33" s="3" t="s">
        <v>17</v>
      </c>
      <c r="B33" s="7" t="s">
        <v>24</v>
      </c>
      <c r="C33" s="3">
        <v>1365</v>
      </c>
      <c r="D33" s="3">
        <v>16535</v>
      </c>
      <c r="E33" s="3">
        <v>200</v>
      </c>
      <c r="F33" s="3">
        <v>3520193</v>
      </c>
      <c r="G33" s="3">
        <v>1592</v>
      </c>
      <c r="H33" s="3">
        <v>22833</v>
      </c>
      <c r="I33" s="3">
        <v>111</v>
      </c>
      <c r="J33" s="3">
        <v>2697852</v>
      </c>
      <c r="K33" s="6">
        <v>25</v>
      </c>
      <c r="L33" s="4">
        <v>1.801801802</v>
      </c>
      <c r="M33" s="4">
        <v>0.72417115600000004</v>
      </c>
      <c r="N33" s="4">
        <v>1.3048132370000001</v>
      </c>
      <c r="O33" s="4">
        <v>227</v>
      </c>
    </row>
    <row r="34" spans="1:18">
      <c r="A34" s="3" t="s">
        <v>17</v>
      </c>
      <c r="B34" s="7" t="s">
        <v>24</v>
      </c>
      <c r="C34" s="3">
        <v>1365</v>
      </c>
      <c r="D34" s="3">
        <v>42745</v>
      </c>
      <c r="E34" s="3">
        <v>200</v>
      </c>
      <c r="F34" s="3">
        <v>9100129</v>
      </c>
      <c r="G34" s="3">
        <v>1588</v>
      </c>
      <c r="H34" s="3">
        <v>56531</v>
      </c>
      <c r="I34" s="3">
        <v>109</v>
      </c>
      <c r="J34" s="3">
        <v>6559117</v>
      </c>
      <c r="K34" s="6">
        <v>25</v>
      </c>
      <c r="L34" s="4">
        <v>1.8348623850000001</v>
      </c>
      <c r="M34" s="4">
        <v>0.75613380299999999</v>
      </c>
      <c r="N34" s="4">
        <v>1.387401536</v>
      </c>
      <c r="O34" s="4">
        <v>223</v>
      </c>
    </row>
    <row r="35" spans="1:18">
      <c r="A35" s="3" t="s">
        <v>17</v>
      </c>
      <c r="B35" s="7" t="s">
        <v>24</v>
      </c>
      <c r="C35" s="3">
        <v>1365</v>
      </c>
      <c r="D35" s="3">
        <v>34461</v>
      </c>
      <c r="E35" s="3">
        <v>200</v>
      </c>
      <c r="F35" s="3">
        <v>7336520</v>
      </c>
      <c r="G35" s="3">
        <v>1586</v>
      </c>
      <c r="H35" s="3">
        <v>47111</v>
      </c>
      <c r="I35" s="3">
        <v>111</v>
      </c>
      <c r="J35" s="3">
        <v>5566440</v>
      </c>
      <c r="K35" s="6">
        <v>25</v>
      </c>
      <c r="L35" s="4">
        <v>1.801801802</v>
      </c>
      <c r="M35" s="4">
        <v>0.73148521600000005</v>
      </c>
      <c r="N35" s="4">
        <v>1.3179913910000001</v>
      </c>
      <c r="O35" s="4">
        <v>221</v>
      </c>
    </row>
    <row r="36" spans="1:18">
      <c r="A36" s="3" t="s">
        <v>17</v>
      </c>
      <c r="B36" s="7" t="s">
        <v>24</v>
      </c>
      <c r="C36" s="3">
        <v>1365</v>
      </c>
      <c r="D36" s="3">
        <v>59341</v>
      </c>
      <c r="E36" s="3">
        <v>200</v>
      </c>
      <c r="F36" s="3">
        <v>12633308</v>
      </c>
      <c r="G36" s="3">
        <v>1588</v>
      </c>
      <c r="H36" s="3">
        <v>85305</v>
      </c>
      <c r="I36" s="3">
        <v>101</v>
      </c>
      <c r="J36" s="3">
        <v>9171240</v>
      </c>
      <c r="K36" s="6">
        <v>25</v>
      </c>
      <c r="L36" s="4">
        <v>1.98019802</v>
      </c>
      <c r="M36" s="4">
        <v>0.695633316</v>
      </c>
      <c r="N36" s="4">
        <v>1.3774918110000001</v>
      </c>
      <c r="O36" s="4">
        <v>223</v>
      </c>
    </row>
    <row r="37" spans="1:18">
      <c r="A37" s="3" t="s">
        <v>17</v>
      </c>
      <c r="B37" s="7" t="s">
        <v>24</v>
      </c>
      <c r="C37" s="3">
        <v>1365</v>
      </c>
      <c r="D37" s="3">
        <v>16051</v>
      </c>
      <c r="E37" s="3">
        <v>200</v>
      </c>
      <c r="F37" s="3">
        <v>3417152</v>
      </c>
      <c r="G37" s="3">
        <v>1588</v>
      </c>
      <c r="H37" s="3">
        <v>29055</v>
      </c>
      <c r="I37" s="3">
        <v>119</v>
      </c>
      <c r="J37" s="3">
        <v>3680443</v>
      </c>
      <c r="K37" s="6">
        <v>25</v>
      </c>
      <c r="L37" s="4">
        <v>1.680672269</v>
      </c>
      <c r="M37" s="4">
        <v>0.55243503699999996</v>
      </c>
      <c r="N37" s="4">
        <v>0.92846214400000004</v>
      </c>
      <c r="O37" s="4">
        <v>223</v>
      </c>
    </row>
    <row r="38" spans="1:18">
      <c r="A38" s="3" t="s">
        <v>17</v>
      </c>
      <c r="B38" s="7" t="s">
        <v>24</v>
      </c>
      <c r="C38" s="3">
        <v>1367</v>
      </c>
      <c r="D38" s="3">
        <v>20885</v>
      </c>
      <c r="E38" s="3">
        <v>200</v>
      </c>
      <c r="F38" s="3">
        <v>4446279</v>
      </c>
      <c r="G38" s="3">
        <v>1588</v>
      </c>
      <c r="H38" s="3">
        <v>34779</v>
      </c>
      <c r="I38" s="3">
        <v>119</v>
      </c>
      <c r="J38" s="3">
        <v>4405511</v>
      </c>
      <c r="K38" s="6">
        <v>25</v>
      </c>
      <c r="L38" s="4">
        <v>1.680672269</v>
      </c>
      <c r="M38" s="4">
        <v>0.60050605300000004</v>
      </c>
      <c r="N38" s="4">
        <v>1.0092538639999999</v>
      </c>
      <c r="O38" s="4">
        <v>221</v>
      </c>
      <c r="Q38" t="s">
        <v>25</v>
      </c>
    </row>
    <row r="39" spans="1:18">
      <c r="A39" s="3" t="s">
        <v>17</v>
      </c>
      <c r="B39" s="7" t="s">
        <v>24</v>
      </c>
      <c r="C39" s="3">
        <v>1365</v>
      </c>
      <c r="D39" s="3">
        <v>20987</v>
      </c>
      <c r="E39" s="3">
        <v>200</v>
      </c>
      <c r="F39" s="3">
        <v>4467994</v>
      </c>
      <c r="G39" s="3">
        <v>1584</v>
      </c>
      <c r="H39" s="3">
        <v>30483</v>
      </c>
      <c r="I39" s="3">
        <v>117</v>
      </c>
      <c r="J39" s="3">
        <v>3796433</v>
      </c>
      <c r="K39" s="6">
        <v>25</v>
      </c>
      <c r="L39" s="4">
        <v>1.709401709</v>
      </c>
      <c r="M39" s="4">
        <v>0.68848210499999996</v>
      </c>
      <c r="N39" s="4">
        <v>1.176892625</v>
      </c>
      <c r="O39" s="4">
        <v>219</v>
      </c>
    </row>
    <row r="40" spans="1:18">
      <c r="A40" s="3" t="s">
        <v>17</v>
      </c>
      <c r="B40" s="7" t="s">
        <v>24</v>
      </c>
      <c r="C40" s="3">
        <v>1365</v>
      </c>
      <c r="D40" s="3">
        <v>34369</v>
      </c>
      <c r="E40" s="3">
        <v>200</v>
      </c>
      <c r="F40" s="3">
        <v>7316934</v>
      </c>
      <c r="G40" s="3">
        <v>1584</v>
      </c>
      <c r="H40" s="3">
        <v>50371</v>
      </c>
      <c r="I40" s="3">
        <v>127</v>
      </c>
      <c r="J40" s="3">
        <v>6809520</v>
      </c>
      <c r="K40" s="6">
        <v>25</v>
      </c>
      <c r="L40" s="4">
        <v>1.5748031499999999</v>
      </c>
      <c r="M40" s="4">
        <v>0.68231720600000001</v>
      </c>
      <c r="N40" s="4">
        <v>1.0745153839999999</v>
      </c>
      <c r="O40" s="4">
        <v>219</v>
      </c>
      <c r="Q40" s="1" t="s">
        <v>15</v>
      </c>
    </row>
    <row r="41" spans="1:18">
      <c r="A41" s="3" t="s">
        <v>17</v>
      </c>
      <c r="B41" s="8" t="s">
        <v>26</v>
      </c>
      <c r="C41" s="3">
        <v>1365</v>
      </c>
      <c r="D41" s="3">
        <v>5783</v>
      </c>
      <c r="E41" s="3">
        <v>200</v>
      </c>
      <c r="F41" s="3">
        <v>1231163</v>
      </c>
      <c r="G41" s="3">
        <v>1592</v>
      </c>
      <c r="H41" s="3">
        <v>9373</v>
      </c>
      <c r="I41" s="3">
        <v>103</v>
      </c>
      <c r="J41" s="3">
        <v>1027657</v>
      </c>
      <c r="K41" s="6">
        <v>30</v>
      </c>
      <c r="L41" s="4">
        <v>1.941747573</v>
      </c>
      <c r="M41" s="4">
        <v>0.616984957</v>
      </c>
      <c r="N41" s="4">
        <v>1.1980291089999999</v>
      </c>
      <c r="O41" s="4">
        <v>227</v>
      </c>
      <c r="Q41">
        <f>CORREL(K3:K80,L3:L80)</f>
        <v>0.7717582072250595</v>
      </c>
      <c r="R41" t="s">
        <v>27</v>
      </c>
    </row>
    <row r="42" spans="1:18">
      <c r="A42" s="3" t="s">
        <v>17</v>
      </c>
      <c r="B42" s="8" t="s">
        <v>26</v>
      </c>
      <c r="C42" s="3">
        <v>1365</v>
      </c>
      <c r="D42" s="3">
        <v>8927</v>
      </c>
      <c r="E42" s="3">
        <v>200</v>
      </c>
      <c r="F42" s="3">
        <v>1900499</v>
      </c>
      <c r="G42" s="3">
        <v>1594</v>
      </c>
      <c r="H42" s="3">
        <v>14259</v>
      </c>
      <c r="I42" s="3">
        <v>103</v>
      </c>
      <c r="J42" s="3">
        <v>1563358</v>
      </c>
      <c r="K42" s="6">
        <v>30</v>
      </c>
      <c r="L42" s="4">
        <v>1.941747573</v>
      </c>
      <c r="M42" s="4">
        <v>0.62606073399999995</v>
      </c>
      <c r="N42" s="4">
        <v>1.215651821</v>
      </c>
      <c r="O42" s="4">
        <v>229</v>
      </c>
      <c r="Q42" t="s">
        <v>16</v>
      </c>
    </row>
    <row r="43" spans="1:18">
      <c r="A43" s="3" t="s">
        <v>17</v>
      </c>
      <c r="B43" s="8" t="s">
        <v>26</v>
      </c>
      <c r="C43" s="3">
        <v>1365</v>
      </c>
      <c r="D43" s="3">
        <v>5889</v>
      </c>
      <c r="E43" s="3">
        <v>200</v>
      </c>
      <c r="F43" s="3">
        <v>1253729</v>
      </c>
      <c r="G43" s="3">
        <v>1596</v>
      </c>
      <c r="H43" s="3">
        <v>8839</v>
      </c>
      <c r="I43" s="3">
        <v>101</v>
      </c>
      <c r="J43" s="3">
        <v>950291</v>
      </c>
      <c r="K43" s="6">
        <v>30</v>
      </c>
      <c r="L43" s="4">
        <v>1.98019802</v>
      </c>
      <c r="M43" s="4">
        <v>0.66625183799999999</v>
      </c>
      <c r="N43" s="4">
        <v>1.3193106109999999</v>
      </c>
      <c r="O43" s="4">
        <v>231</v>
      </c>
      <c r="Q43" t="s">
        <v>20</v>
      </c>
    </row>
    <row r="44" spans="1:18">
      <c r="A44" s="3" t="s">
        <v>17</v>
      </c>
      <c r="B44" s="8" t="s">
        <v>26</v>
      </c>
      <c r="C44" s="3">
        <v>1365</v>
      </c>
      <c r="D44" s="3">
        <v>2993</v>
      </c>
      <c r="E44" s="3">
        <v>200</v>
      </c>
      <c r="F44" s="3">
        <v>637190</v>
      </c>
      <c r="G44" s="3">
        <v>1588</v>
      </c>
      <c r="H44" s="3">
        <v>5329</v>
      </c>
      <c r="I44" s="3">
        <v>111</v>
      </c>
      <c r="J44" s="3">
        <v>629652</v>
      </c>
      <c r="K44" s="6">
        <v>30</v>
      </c>
      <c r="L44" s="4">
        <v>1.801801802</v>
      </c>
      <c r="M44" s="4">
        <v>0.56164383600000001</v>
      </c>
      <c r="N44" s="4">
        <v>1.0119716919999999</v>
      </c>
      <c r="O44" s="4">
        <v>223</v>
      </c>
      <c r="Q44" t="s">
        <v>21</v>
      </c>
    </row>
    <row r="45" spans="1:18">
      <c r="A45" s="3" t="s">
        <v>17</v>
      </c>
      <c r="B45" s="8" t="s">
        <v>26</v>
      </c>
      <c r="C45" s="3">
        <v>1365</v>
      </c>
      <c r="D45" s="3">
        <v>23595</v>
      </c>
      <c r="E45" s="3">
        <v>200</v>
      </c>
      <c r="F45" s="3">
        <v>5023220</v>
      </c>
      <c r="G45" s="3">
        <v>1588</v>
      </c>
      <c r="H45" s="3">
        <v>41087</v>
      </c>
      <c r="I45" s="3">
        <v>129</v>
      </c>
      <c r="J45" s="3">
        <v>5641913</v>
      </c>
      <c r="K45" s="6">
        <v>30</v>
      </c>
      <c r="L45" s="4">
        <v>1.5503875970000001</v>
      </c>
      <c r="M45" s="4">
        <v>0.57426923399999996</v>
      </c>
      <c r="N45" s="4">
        <v>0.89033985500000001</v>
      </c>
      <c r="O45" s="4">
        <v>223</v>
      </c>
      <c r="R45" t="s">
        <v>28</v>
      </c>
    </row>
    <row r="46" spans="1:18">
      <c r="A46" s="3" t="s">
        <v>17</v>
      </c>
      <c r="B46" s="8" t="s">
        <v>26</v>
      </c>
      <c r="C46" s="3">
        <v>1365</v>
      </c>
      <c r="D46" s="3">
        <v>22891</v>
      </c>
      <c r="E46" s="3">
        <v>200</v>
      </c>
      <c r="F46" s="3">
        <v>4873343</v>
      </c>
      <c r="G46" s="3">
        <v>1584</v>
      </c>
      <c r="H46" s="3">
        <v>37305</v>
      </c>
      <c r="I46" s="3">
        <v>127</v>
      </c>
      <c r="J46" s="3">
        <v>5043163</v>
      </c>
      <c r="K46" s="6">
        <v>30</v>
      </c>
      <c r="L46" s="4">
        <v>1.5748031499999999</v>
      </c>
      <c r="M46" s="4">
        <v>0.61361747799999999</v>
      </c>
      <c r="N46" s="4">
        <v>0.96632668799999999</v>
      </c>
      <c r="O46" s="4">
        <v>219</v>
      </c>
    </row>
    <row r="47" spans="1:18">
      <c r="A47" s="3" t="s">
        <v>17</v>
      </c>
      <c r="B47" s="8" t="s">
        <v>26</v>
      </c>
      <c r="C47" s="3">
        <v>1365</v>
      </c>
      <c r="D47" s="3">
        <v>33233</v>
      </c>
      <c r="E47" s="3">
        <v>200</v>
      </c>
      <c r="F47" s="3">
        <v>7075087</v>
      </c>
      <c r="G47" s="3">
        <v>1586</v>
      </c>
      <c r="H47" s="3">
        <v>58821</v>
      </c>
      <c r="I47" s="3">
        <v>117</v>
      </c>
      <c r="J47" s="3">
        <v>7325723</v>
      </c>
      <c r="K47" s="6">
        <v>30</v>
      </c>
      <c r="L47" s="4">
        <v>1.709401709</v>
      </c>
      <c r="M47" s="4">
        <v>0.56498529399999997</v>
      </c>
      <c r="N47" s="4">
        <v>0.96578685799999997</v>
      </c>
      <c r="O47" s="4">
        <v>221</v>
      </c>
    </row>
    <row r="48" spans="1:18">
      <c r="A48" s="3" t="s">
        <v>17</v>
      </c>
      <c r="B48" s="8" t="s">
        <v>26</v>
      </c>
      <c r="C48" s="3">
        <v>1367</v>
      </c>
      <c r="D48" s="3">
        <v>22081</v>
      </c>
      <c r="E48" s="3">
        <v>200</v>
      </c>
      <c r="F48" s="3">
        <v>4700899</v>
      </c>
      <c r="G48" s="3">
        <v>1586</v>
      </c>
      <c r="H48" s="3">
        <v>37397</v>
      </c>
      <c r="I48" s="3">
        <v>115</v>
      </c>
      <c r="J48" s="3">
        <v>4577905</v>
      </c>
      <c r="K48" s="6">
        <v>30</v>
      </c>
      <c r="L48" s="4">
        <v>1.7391304350000001</v>
      </c>
      <c r="M48" s="4">
        <v>0.59044843199999997</v>
      </c>
      <c r="N48" s="4">
        <v>1.0268668750000001</v>
      </c>
      <c r="O48" s="4">
        <v>219</v>
      </c>
    </row>
    <row r="49" spans="1:15">
      <c r="A49" s="3" t="s">
        <v>17</v>
      </c>
      <c r="B49" s="8" t="s">
        <v>26</v>
      </c>
      <c r="C49" s="3">
        <v>1365</v>
      </c>
      <c r="D49" s="3">
        <v>22061</v>
      </c>
      <c r="E49" s="3">
        <v>200</v>
      </c>
      <c r="F49" s="3">
        <v>4696641</v>
      </c>
      <c r="G49" s="3">
        <v>1584</v>
      </c>
      <c r="H49" s="3">
        <v>36781</v>
      </c>
      <c r="I49" s="3">
        <v>127</v>
      </c>
      <c r="J49" s="3">
        <v>4972325</v>
      </c>
      <c r="K49" s="6">
        <v>30</v>
      </c>
      <c r="L49" s="4">
        <v>1.5748031499999999</v>
      </c>
      <c r="M49" s="4">
        <v>0.59979337200000005</v>
      </c>
      <c r="N49" s="4">
        <v>0.94455631900000003</v>
      </c>
      <c r="O49" s="4">
        <v>219</v>
      </c>
    </row>
    <row r="50" spans="1:15">
      <c r="A50" s="3" t="s">
        <v>17</v>
      </c>
      <c r="B50" s="8" t="s">
        <v>26</v>
      </c>
      <c r="C50" s="3">
        <v>1367</v>
      </c>
      <c r="D50" s="3">
        <v>29837</v>
      </c>
      <c r="E50" s="3">
        <v>200</v>
      </c>
      <c r="F50" s="3">
        <v>6352101</v>
      </c>
      <c r="G50" s="3">
        <v>1586</v>
      </c>
      <c r="H50" s="3">
        <v>50525</v>
      </c>
      <c r="I50" s="3">
        <v>127</v>
      </c>
      <c r="J50" s="3">
        <v>6830339</v>
      </c>
      <c r="K50" s="6">
        <v>30</v>
      </c>
      <c r="L50" s="4">
        <v>1.5748031499999999</v>
      </c>
      <c r="M50" s="4">
        <v>0.59053933700000005</v>
      </c>
      <c r="N50" s="4">
        <v>0.92998327000000003</v>
      </c>
      <c r="O50" s="4">
        <v>219</v>
      </c>
    </row>
    <row r="51" spans="1:15">
      <c r="A51" s="3" t="s">
        <v>17</v>
      </c>
      <c r="B51" s="8" t="s">
        <v>26</v>
      </c>
      <c r="C51" s="3">
        <v>1365</v>
      </c>
      <c r="D51" s="3">
        <v>24451</v>
      </c>
      <c r="E51" s="3">
        <v>200</v>
      </c>
      <c r="F51" s="3">
        <v>5205457</v>
      </c>
      <c r="G51" s="3">
        <v>1584</v>
      </c>
      <c r="H51" s="3">
        <v>40941</v>
      </c>
      <c r="I51" s="3">
        <v>127</v>
      </c>
      <c r="J51" s="3">
        <v>5534704</v>
      </c>
      <c r="K51" s="6">
        <v>30</v>
      </c>
      <c r="L51" s="4">
        <v>1.5748031499999999</v>
      </c>
      <c r="M51" s="4">
        <v>0.597225275</v>
      </c>
      <c r="N51" s="4">
        <v>0.94051226600000004</v>
      </c>
      <c r="O51" s="4">
        <v>219</v>
      </c>
    </row>
    <row r="52" spans="1:15">
      <c r="A52" s="3" t="s">
        <v>17</v>
      </c>
      <c r="B52" s="8" t="s">
        <v>26</v>
      </c>
      <c r="C52" s="3">
        <v>1367</v>
      </c>
      <c r="D52" s="3">
        <v>5323</v>
      </c>
      <c r="E52" s="3">
        <v>200</v>
      </c>
      <c r="F52" s="3">
        <v>1133232</v>
      </c>
      <c r="G52" s="3">
        <v>1592</v>
      </c>
      <c r="H52" s="3">
        <v>9957</v>
      </c>
      <c r="I52" s="3">
        <v>93</v>
      </c>
      <c r="J52" s="3">
        <v>985698</v>
      </c>
      <c r="K52" s="6">
        <v>30</v>
      </c>
      <c r="L52" s="4">
        <v>2.150537634</v>
      </c>
      <c r="M52" s="4">
        <v>0.53459877499999997</v>
      </c>
      <c r="N52" s="4">
        <v>1.1496746470000001</v>
      </c>
      <c r="O52" s="4">
        <v>225</v>
      </c>
    </row>
    <row r="53" spans="1:15">
      <c r="A53" s="3" t="s">
        <v>17</v>
      </c>
      <c r="B53" s="8" t="s">
        <v>26</v>
      </c>
      <c r="C53" s="3">
        <v>1365</v>
      </c>
      <c r="D53" s="3">
        <v>30329</v>
      </c>
      <c r="E53" s="3">
        <v>200</v>
      </c>
      <c r="F53" s="3">
        <v>6456844</v>
      </c>
      <c r="G53" s="3">
        <v>1584</v>
      </c>
      <c r="H53" s="3">
        <v>50827</v>
      </c>
      <c r="I53" s="3">
        <v>127</v>
      </c>
      <c r="J53" s="3">
        <v>6871166</v>
      </c>
      <c r="K53" s="6">
        <v>30</v>
      </c>
      <c r="L53" s="4">
        <v>1.5748031499999999</v>
      </c>
      <c r="M53" s="4">
        <v>0.59671041000000002</v>
      </c>
      <c r="N53" s="4">
        <v>0.93970135499999996</v>
      </c>
      <c r="O53" s="4">
        <v>219</v>
      </c>
    </row>
    <row r="54" spans="1:15">
      <c r="A54" s="3" t="s">
        <v>17</v>
      </c>
      <c r="B54" s="8" t="s">
        <v>26</v>
      </c>
      <c r="C54" s="3">
        <v>1365</v>
      </c>
      <c r="D54" s="3">
        <v>4471</v>
      </c>
      <c r="E54" s="3">
        <v>200</v>
      </c>
      <c r="F54" s="3">
        <v>951846</v>
      </c>
      <c r="G54" s="3">
        <v>1592</v>
      </c>
      <c r="H54" s="3">
        <v>8163</v>
      </c>
      <c r="I54" s="3">
        <v>101</v>
      </c>
      <c r="J54" s="3">
        <v>877614</v>
      </c>
      <c r="K54" s="6">
        <v>30</v>
      </c>
      <c r="L54" s="4">
        <v>1.98019802</v>
      </c>
      <c r="M54" s="4">
        <v>0.54771530099999999</v>
      </c>
      <c r="N54" s="4">
        <v>1.0845838830000001</v>
      </c>
      <c r="O54" s="4">
        <v>227</v>
      </c>
    </row>
    <row r="55" spans="1:15">
      <c r="A55" s="3" t="s">
        <v>17</v>
      </c>
      <c r="B55" s="8" t="s">
        <v>26</v>
      </c>
      <c r="C55" s="3">
        <v>1367</v>
      </c>
      <c r="D55" s="3">
        <v>4721</v>
      </c>
      <c r="E55" s="3">
        <v>200</v>
      </c>
      <c r="F55" s="3">
        <v>1005070</v>
      </c>
      <c r="G55" s="3">
        <v>1594</v>
      </c>
      <c r="H55" s="3">
        <v>7843</v>
      </c>
      <c r="I55" s="3">
        <v>101</v>
      </c>
      <c r="J55" s="3">
        <v>843210</v>
      </c>
      <c r="K55" s="6">
        <v>30</v>
      </c>
      <c r="L55" s="4">
        <v>1.98019802</v>
      </c>
      <c r="M55" s="4">
        <v>0.60193803400000001</v>
      </c>
      <c r="N55" s="4">
        <v>1.1919569270000001</v>
      </c>
      <c r="O55" s="4">
        <v>227</v>
      </c>
    </row>
    <row r="56" spans="1:15">
      <c r="A56" s="3" t="s">
        <v>17</v>
      </c>
      <c r="B56" s="8" t="s">
        <v>26</v>
      </c>
      <c r="C56" s="3">
        <v>1367</v>
      </c>
      <c r="D56" s="3">
        <v>8669</v>
      </c>
      <c r="E56" s="3">
        <v>200</v>
      </c>
      <c r="F56" s="3">
        <v>1845573</v>
      </c>
      <c r="G56" s="3">
        <v>1594</v>
      </c>
      <c r="H56" s="3">
        <v>13779</v>
      </c>
      <c r="I56" s="3">
        <v>103</v>
      </c>
      <c r="J56" s="3">
        <v>1510731</v>
      </c>
      <c r="K56" s="6">
        <v>30</v>
      </c>
      <c r="L56" s="4">
        <v>1.941747573</v>
      </c>
      <c r="M56" s="4">
        <v>0.62914580200000003</v>
      </c>
      <c r="N56" s="4">
        <v>1.2216423700000001</v>
      </c>
      <c r="O56" s="4">
        <v>227</v>
      </c>
    </row>
    <row r="57" spans="1:15">
      <c r="A57" s="3" t="s">
        <v>17</v>
      </c>
      <c r="B57" s="8" t="s">
        <v>26</v>
      </c>
      <c r="C57" s="3">
        <v>1365</v>
      </c>
      <c r="D57" s="3">
        <v>5503</v>
      </c>
      <c r="E57" s="3">
        <v>200</v>
      </c>
      <c r="F57" s="3">
        <v>1171552</v>
      </c>
      <c r="G57" s="3">
        <v>1594</v>
      </c>
      <c r="H57" s="3">
        <v>8867</v>
      </c>
      <c r="I57" s="3">
        <v>103</v>
      </c>
      <c r="J57" s="3">
        <v>972179</v>
      </c>
      <c r="K57" s="6">
        <v>30</v>
      </c>
      <c r="L57" s="4">
        <v>1.941747573</v>
      </c>
      <c r="M57" s="4">
        <v>0.62061576600000001</v>
      </c>
      <c r="N57" s="4">
        <v>1.2050784889999999</v>
      </c>
      <c r="O57" s="4">
        <v>229</v>
      </c>
    </row>
    <row r="58" spans="1:15">
      <c r="A58" s="3" t="s">
        <v>17</v>
      </c>
      <c r="B58" s="8" t="s">
        <v>26</v>
      </c>
      <c r="C58" s="3">
        <v>1365</v>
      </c>
      <c r="D58" s="3">
        <v>6065</v>
      </c>
      <c r="E58" s="3">
        <v>200</v>
      </c>
      <c r="F58" s="3">
        <v>1291199</v>
      </c>
      <c r="G58" s="3">
        <v>1594</v>
      </c>
      <c r="H58" s="3">
        <v>9701</v>
      </c>
      <c r="I58" s="3">
        <v>103</v>
      </c>
      <c r="J58" s="3">
        <v>1063619</v>
      </c>
      <c r="K58" s="6">
        <v>30</v>
      </c>
      <c r="L58" s="4">
        <v>1.941747573</v>
      </c>
      <c r="M58" s="4">
        <v>0.62519327899999999</v>
      </c>
      <c r="N58" s="4">
        <v>1.213967596</v>
      </c>
      <c r="O58" s="4">
        <v>229</v>
      </c>
    </row>
    <row r="59" spans="1:15">
      <c r="A59" s="3" t="s">
        <v>17</v>
      </c>
      <c r="B59" s="8" t="s">
        <v>26</v>
      </c>
      <c r="C59" s="3">
        <v>1367</v>
      </c>
      <c r="D59" s="3">
        <v>9043</v>
      </c>
      <c r="E59" s="3">
        <v>200</v>
      </c>
      <c r="F59" s="3">
        <v>1925195</v>
      </c>
      <c r="G59" s="3">
        <v>1594</v>
      </c>
      <c r="H59" s="3">
        <v>14393</v>
      </c>
      <c r="I59" s="3">
        <v>103</v>
      </c>
      <c r="J59" s="3">
        <v>1578050</v>
      </c>
      <c r="K59" s="6">
        <v>30</v>
      </c>
      <c r="L59" s="4">
        <v>1.941747573</v>
      </c>
      <c r="M59" s="4">
        <v>0.62829153100000001</v>
      </c>
      <c r="N59" s="4">
        <v>1.2199835240000001</v>
      </c>
      <c r="O59" s="4">
        <v>227</v>
      </c>
    </row>
    <row r="60" spans="1:15">
      <c r="A60" s="3" t="s">
        <v>17</v>
      </c>
      <c r="B60" s="8" t="s">
        <v>26</v>
      </c>
      <c r="C60" s="3">
        <v>1365</v>
      </c>
      <c r="D60" s="3">
        <v>4699</v>
      </c>
      <c r="E60" s="3">
        <v>200</v>
      </c>
      <c r="F60" s="3">
        <v>1000386</v>
      </c>
      <c r="G60" s="3">
        <v>1594</v>
      </c>
      <c r="H60" s="3">
        <v>7625</v>
      </c>
      <c r="I60" s="3">
        <v>101</v>
      </c>
      <c r="J60" s="3">
        <v>819773</v>
      </c>
      <c r="K60" s="6">
        <v>30</v>
      </c>
      <c r="L60" s="4">
        <v>1.98019802</v>
      </c>
      <c r="M60" s="4">
        <v>0.61626229499999996</v>
      </c>
      <c r="N60" s="4">
        <v>1.2203207469999999</v>
      </c>
      <c r="O60" s="4">
        <v>229</v>
      </c>
    </row>
    <row r="61" spans="1:15">
      <c r="A61" s="3" t="s">
        <v>17</v>
      </c>
      <c r="B61" s="9" t="s">
        <v>29</v>
      </c>
      <c r="C61" s="3">
        <v>1365</v>
      </c>
      <c r="D61" s="3">
        <v>20169</v>
      </c>
      <c r="E61" s="3">
        <v>200</v>
      </c>
      <c r="F61" s="3">
        <v>4293847</v>
      </c>
      <c r="G61" s="3">
        <v>1590</v>
      </c>
      <c r="H61" s="3">
        <v>24549</v>
      </c>
      <c r="I61" s="3">
        <v>111</v>
      </c>
      <c r="J61" s="3">
        <v>2900608</v>
      </c>
      <c r="K61" s="6">
        <v>35</v>
      </c>
      <c r="L61" s="4">
        <v>1.801801802</v>
      </c>
      <c r="M61" s="4">
        <v>0.82158132699999997</v>
      </c>
      <c r="N61" s="4">
        <v>1.4803265379999999</v>
      </c>
      <c r="O61" s="4">
        <v>225</v>
      </c>
    </row>
    <row r="62" spans="1:15">
      <c r="A62" s="3" t="s">
        <v>17</v>
      </c>
      <c r="B62" s="9" t="s">
        <v>29</v>
      </c>
      <c r="C62" s="3">
        <v>1365</v>
      </c>
      <c r="D62" s="3">
        <v>18593</v>
      </c>
      <c r="E62" s="3">
        <v>200</v>
      </c>
      <c r="F62" s="3">
        <v>3958327</v>
      </c>
      <c r="G62" s="3">
        <v>1594</v>
      </c>
      <c r="H62" s="3">
        <v>29431</v>
      </c>
      <c r="I62" s="3">
        <v>85</v>
      </c>
      <c r="J62" s="3">
        <v>2662908</v>
      </c>
      <c r="K62" s="6">
        <v>35</v>
      </c>
      <c r="L62" s="4">
        <v>2.3529411759999999</v>
      </c>
      <c r="M62" s="4">
        <v>0.63174883599999998</v>
      </c>
      <c r="N62" s="4">
        <v>1.4864678010000001</v>
      </c>
      <c r="O62" s="4">
        <v>229</v>
      </c>
    </row>
    <row r="63" spans="1:15">
      <c r="A63" s="3" t="s">
        <v>17</v>
      </c>
      <c r="B63" s="9" t="s">
        <v>29</v>
      </c>
      <c r="C63" s="3">
        <v>1367</v>
      </c>
      <c r="D63" s="3">
        <v>3071</v>
      </c>
      <c r="E63" s="3">
        <v>200</v>
      </c>
      <c r="F63" s="3">
        <v>653796</v>
      </c>
      <c r="G63" s="3">
        <v>1594</v>
      </c>
      <c r="H63" s="3">
        <v>4427</v>
      </c>
      <c r="I63" s="3">
        <v>95</v>
      </c>
      <c r="J63" s="3">
        <v>447678</v>
      </c>
      <c r="K63" s="6">
        <v>35</v>
      </c>
      <c r="L63" s="4">
        <v>2.1052631580000001</v>
      </c>
      <c r="M63" s="4">
        <v>0.69369776400000005</v>
      </c>
      <c r="N63" s="4">
        <v>1.4604157449999999</v>
      </c>
      <c r="O63" s="4">
        <v>227</v>
      </c>
    </row>
    <row r="64" spans="1:15">
      <c r="A64" s="3" t="s">
        <v>17</v>
      </c>
      <c r="B64" s="9" t="s">
        <v>29</v>
      </c>
      <c r="C64" s="3">
        <v>1365</v>
      </c>
      <c r="D64" s="3">
        <v>13123</v>
      </c>
      <c r="E64" s="3">
        <v>200</v>
      </c>
      <c r="F64" s="3">
        <v>2793800</v>
      </c>
      <c r="G64" s="3">
        <v>1592</v>
      </c>
      <c r="H64" s="3">
        <v>18123</v>
      </c>
      <c r="I64" s="3">
        <v>93</v>
      </c>
      <c r="J64" s="3">
        <v>1794094</v>
      </c>
      <c r="K64" s="6">
        <v>35</v>
      </c>
      <c r="L64" s="4">
        <v>2.150537634</v>
      </c>
      <c r="M64" s="4">
        <v>0.72410748800000002</v>
      </c>
      <c r="N64" s="4">
        <v>1.557220525</v>
      </c>
      <c r="O64" s="4">
        <v>227</v>
      </c>
    </row>
    <row r="65" spans="1:15">
      <c r="A65" s="3" t="s">
        <v>17</v>
      </c>
      <c r="B65" s="9" t="s">
        <v>29</v>
      </c>
      <c r="C65" s="3">
        <v>1365</v>
      </c>
      <c r="D65" s="3">
        <v>21047</v>
      </c>
      <c r="E65" s="3">
        <v>200</v>
      </c>
      <c r="F65" s="3">
        <v>4480768</v>
      </c>
      <c r="G65" s="3">
        <v>1592</v>
      </c>
      <c r="H65" s="3">
        <v>28823</v>
      </c>
      <c r="I65" s="3">
        <v>93</v>
      </c>
      <c r="J65" s="3">
        <v>2853345</v>
      </c>
      <c r="K65" s="6">
        <v>35</v>
      </c>
      <c r="L65" s="4">
        <v>2.150537634</v>
      </c>
      <c r="M65" s="4">
        <v>0.73021545300000001</v>
      </c>
      <c r="N65" s="4">
        <v>1.5703561960000001</v>
      </c>
      <c r="O65" s="4">
        <v>227</v>
      </c>
    </row>
    <row r="66" spans="1:15">
      <c r="A66" s="3" t="s">
        <v>17</v>
      </c>
      <c r="B66" s="9" t="s">
        <v>29</v>
      </c>
      <c r="C66" s="3">
        <v>1365</v>
      </c>
      <c r="D66" s="3">
        <v>14899</v>
      </c>
      <c r="E66" s="3">
        <v>200</v>
      </c>
      <c r="F66" s="3">
        <v>3171899</v>
      </c>
      <c r="G66" s="3">
        <v>1592</v>
      </c>
      <c r="H66" s="3">
        <v>20873</v>
      </c>
      <c r="I66" s="3">
        <v>93</v>
      </c>
      <c r="J66" s="3">
        <v>2066332</v>
      </c>
      <c r="K66" s="6">
        <v>35</v>
      </c>
      <c r="L66" s="4">
        <v>2.150537634</v>
      </c>
      <c r="M66" s="4">
        <v>0.71379293799999999</v>
      </c>
      <c r="N66" s="4">
        <v>1.5350384159999999</v>
      </c>
      <c r="O66" s="4">
        <v>227</v>
      </c>
    </row>
    <row r="67" spans="1:15">
      <c r="A67" s="3" t="s">
        <v>17</v>
      </c>
      <c r="B67" s="9" t="s">
        <v>29</v>
      </c>
      <c r="C67" s="3">
        <v>1365</v>
      </c>
      <c r="D67" s="3">
        <v>21215</v>
      </c>
      <c r="E67" s="3">
        <v>200</v>
      </c>
      <c r="F67" s="3">
        <v>4516534</v>
      </c>
      <c r="G67" s="3">
        <v>1590</v>
      </c>
      <c r="H67" s="3">
        <v>29499</v>
      </c>
      <c r="I67" s="3">
        <v>93</v>
      </c>
      <c r="J67" s="3">
        <v>2920266</v>
      </c>
      <c r="K67" s="6">
        <v>35</v>
      </c>
      <c r="L67" s="4">
        <v>2.150537634</v>
      </c>
      <c r="M67" s="4">
        <v>0.71917692099999997</v>
      </c>
      <c r="N67" s="4">
        <v>1.546617329</v>
      </c>
      <c r="O67" s="4">
        <v>225</v>
      </c>
    </row>
    <row r="68" spans="1:15">
      <c r="A68" s="3" t="s">
        <v>17</v>
      </c>
      <c r="B68" s="9" t="s">
        <v>29</v>
      </c>
      <c r="C68" s="3">
        <v>1365</v>
      </c>
      <c r="D68" s="3">
        <v>14063</v>
      </c>
      <c r="E68" s="3">
        <v>200</v>
      </c>
      <c r="F68" s="3">
        <v>2993920</v>
      </c>
      <c r="G68" s="3">
        <v>1592</v>
      </c>
      <c r="H68" s="3">
        <v>19713</v>
      </c>
      <c r="I68" s="3">
        <v>95</v>
      </c>
      <c r="J68" s="3">
        <v>1993465</v>
      </c>
      <c r="K68" s="6">
        <v>35</v>
      </c>
      <c r="L68" s="4">
        <v>2.1052631580000001</v>
      </c>
      <c r="M68" s="4">
        <v>0.71338710500000002</v>
      </c>
      <c r="N68" s="4">
        <v>1.5018673520000001</v>
      </c>
      <c r="O68" s="4">
        <v>227</v>
      </c>
    </row>
    <row r="69" spans="1:15">
      <c r="A69" s="3" t="s">
        <v>17</v>
      </c>
      <c r="B69" s="9" t="s">
        <v>29</v>
      </c>
      <c r="C69" s="3">
        <v>1365</v>
      </c>
      <c r="D69" s="3">
        <v>17823</v>
      </c>
      <c r="E69" s="3">
        <v>200</v>
      </c>
      <c r="F69" s="3">
        <v>3794399</v>
      </c>
      <c r="G69" s="3">
        <v>1594</v>
      </c>
      <c r="H69" s="3">
        <v>25471</v>
      </c>
      <c r="I69" s="3">
        <v>91</v>
      </c>
      <c r="J69" s="3">
        <v>2467287</v>
      </c>
      <c r="K69" s="6">
        <v>35</v>
      </c>
      <c r="L69" s="4">
        <v>2.1978021980000002</v>
      </c>
      <c r="M69" s="4">
        <v>0.69973695599999997</v>
      </c>
      <c r="N69" s="4">
        <v>1.5378831079999999</v>
      </c>
      <c r="O69" s="4">
        <v>229</v>
      </c>
    </row>
    <row r="70" spans="1:15">
      <c r="A70" s="3" t="s">
        <v>17</v>
      </c>
      <c r="B70" s="9" t="s">
        <v>29</v>
      </c>
      <c r="C70" s="3">
        <v>1365</v>
      </c>
      <c r="D70" s="3">
        <v>23345</v>
      </c>
      <c r="E70" s="3">
        <v>200</v>
      </c>
      <c r="F70" s="3">
        <v>4969997</v>
      </c>
      <c r="G70" s="3">
        <v>1594</v>
      </c>
      <c r="H70" s="3">
        <v>32899</v>
      </c>
      <c r="I70" s="3">
        <v>95</v>
      </c>
      <c r="J70" s="3">
        <v>3326891</v>
      </c>
      <c r="K70" s="6">
        <v>35</v>
      </c>
      <c r="L70" s="4">
        <v>2.1052631580000001</v>
      </c>
      <c r="M70" s="4">
        <v>0.70959603599999999</v>
      </c>
      <c r="N70" s="4">
        <v>1.4938863339999999</v>
      </c>
      <c r="O70" s="4">
        <v>229</v>
      </c>
    </row>
    <row r="71" spans="1:15">
      <c r="A71" s="3" t="s">
        <v>17</v>
      </c>
      <c r="B71" s="9" t="s">
        <v>29</v>
      </c>
      <c r="C71" s="3">
        <v>1365</v>
      </c>
      <c r="D71" s="3">
        <v>21193</v>
      </c>
      <c r="E71" s="3">
        <v>200</v>
      </c>
      <c r="F71" s="3">
        <v>4511850</v>
      </c>
      <c r="G71" s="3">
        <v>1592</v>
      </c>
      <c r="H71" s="3">
        <v>27989</v>
      </c>
      <c r="I71" s="3">
        <v>101</v>
      </c>
      <c r="J71" s="3">
        <v>3009130</v>
      </c>
      <c r="K71" s="6">
        <v>35</v>
      </c>
      <c r="L71" s="4">
        <v>1.98019802</v>
      </c>
      <c r="M71" s="4">
        <v>0.75719032500000005</v>
      </c>
      <c r="N71" s="4">
        <v>1.499386866</v>
      </c>
      <c r="O71" s="4">
        <v>227</v>
      </c>
    </row>
    <row r="72" spans="1:15">
      <c r="A72" s="3" t="s">
        <v>17</v>
      </c>
      <c r="B72" s="9" t="s">
        <v>29</v>
      </c>
      <c r="C72" s="3">
        <v>1365</v>
      </c>
      <c r="D72" s="3">
        <v>28219</v>
      </c>
      <c r="E72" s="3">
        <v>200</v>
      </c>
      <c r="F72" s="3">
        <v>6007639</v>
      </c>
      <c r="G72" s="3">
        <v>1590</v>
      </c>
      <c r="H72" s="3">
        <v>35389</v>
      </c>
      <c r="I72" s="3">
        <v>111</v>
      </c>
      <c r="J72" s="3">
        <v>4181417</v>
      </c>
      <c r="K72" s="6">
        <v>35</v>
      </c>
      <c r="L72" s="4">
        <v>1.801801802</v>
      </c>
      <c r="M72" s="4">
        <v>0.79739467100000005</v>
      </c>
      <c r="N72" s="4">
        <v>1.4367471599999999</v>
      </c>
      <c r="O72" s="4">
        <v>225</v>
      </c>
    </row>
    <row r="73" spans="1:15">
      <c r="A73" s="3" t="s">
        <v>17</v>
      </c>
      <c r="B73" s="9" t="s">
        <v>29</v>
      </c>
      <c r="C73" s="3">
        <v>1365</v>
      </c>
      <c r="D73" s="3">
        <v>13067</v>
      </c>
      <c r="E73" s="3">
        <v>200</v>
      </c>
      <c r="F73" s="3">
        <v>2781878</v>
      </c>
      <c r="G73" s="3">
        <v>1590</v>
      </c>
      <c r="H73" s="3">
        <v>15587</v>
      </c>
      <c r="I73" s="3">
        <v>103</v>
      </c>
      <c r="J73" s="3">
        <v>1708960</v>
      </c>
      <c r="K73" s="6">
        <v>35</v>
      </c>
      <c r="L73" s="4">
        <v>1.941747573</v>
      </c>
      <c r="M73" s="4">
        <v>0.83832681099999995</v>
      </c>
      <c r="N73" s="4">
        <v>1.6278192579999999</v>
      </c>
      <c r="O73" s="4">
        <v>225</v>
      </c>
    </row>
    <row r="74" spans="1:15">
      <c r="A74" s="3" t="s">
        <v>17</v>
      </c>
      <c r="B74" s="9" t="s">
        <v>29</v>
      </c>
      <c r="C74" s="3">
        <v>1365</v>
      </c>
      <c r="D74" s="3">
        <v>22541</v>
      </c>
      <c r="E74" s="3">
        <v>200</v>
      </c>
      <c r="F74" s="3">
        <v>4798830</v>
      </c>
      <c r="G74" s="3">
        <v>1590</v>
      </c>
      <c r="H74" s="3">
        <v>27953</v>
      </c>
      <c r="I74" s="3">
        <v>103</v>
      </c>
      <c r="J74" s="3">
        <v>3064770</v>
      </c>
      <c r="K74" s="6">
        <v>35</v>
      </c>
      <c r="L74" s="4">
        <v>1.941747573</v>
      </c>
      <c r="M74" s="4">
        <v>0.80638929599999998</v>
      </c>
      <c r="N74" s="4">
        <v>1.565804285</v>
      </c>
      <c r="O74" s="4">
        <v>225</v>
      </c>
    </row>
    <row r="75" spans="1:15">
      <c r="A75" s="3" t="s">
        <v>17</v>
      </c>
      <c r="B75" s="9" t="s">
        <v>29</v>
      </c>
      <c r="C75" s="3">
        <v>1365</v>
      </c>
      <c r="D75" s="3">
        <v>25009</v>
      </c>
      <c r="E75" s="3">
        <v>200</v>
      </c>
      <c r="F75" s="3">
        <v>5324251</v>
      </c>
      <c r="G75" s="3">
        <v>1588</v>
      </c>
      <c r="H75" s="3">
        <v>29865</v>
      </c>
      <c r="I75" s="3">
        <v>111</v>
      </c>
      <c r="J75" s="3">
        <v>3528724</v>
      </c>
      <c r="K75" s="6">
        <v>35</v>
      </c>
      <c r="L75" s="4">
        <v>1.801801802</v>
      </c>
      <c r="M75" s="4">
        <v>0.83740164100000003</v>
      </c>
      <c r="N75" s="4">
        <v>1.5088318039999999</v>
      </c>
      <c r="O75" s="4">
        <v>223</v>
      </c>
    </row>
    <row r="76" spans="1:15">
      <c r="A76" s="3" t="s">
        <v>17</v>
      </c>
      <c r="B76" s="9" t="s">
        <v>29</v>
      </c>
      <c r="C76" s="3">
        <v>1365</v>
      </c>
      <c r="D76" s="3">
        <v>19229</v>
      </c>
      <c r="E76" s="3">
        <v>200</v>
      </c>
      <c r="F76" s="3">
        <v>4093727</v>
      </c>
      <c r="G76" s="3">
        <v>1590</v>
      </c>
      <c r="H76" s="3">
        <v>22645</v>
      </c>
      <c r="I76" s="3">
        <v>103</v>
      </c>
      <c r="J76" s="3">
        <v>2482800</v>
      </c>
      <c r="K76" s="6">
        <v>35</v>
      </c>
      <c r="L76" s="4">
        <v>1.941747573</v>
      </c>
      <c r="M76" s="4">
        <v>0.84914992300000003</v>
      </c>
      <c r="N76" s="4">
        <v>1.6488347830000001</v>
      </c>
      <c r="O76" s="4">
        <v>225</v>
      </c>
    </row>
    <row r="77" spans="1:15">
      <c r="A77" s="3" t="s">
        <v>17</v>
      </c>
      <c r="B77" s="9" t="s">
        <v>29</v>
      </c>
      <c r="C77" s="3">
        <v>1365</v>
      </c>
      <c r="D77" s="3">
        <v>24983</v>
      </c>
      <c r="E77" s="3">
        <v>200</v>
      </c>
      <c r="F77" s="3">
        <v>5318716</v>
      </c>
      <c r="G77" s="3">
        <v>1592</v>
      </c>
      <c r="H77" s="3">
        <v>34715</v>
      </c>
      <c r="I77" s="3">
        <v>95</v>
      </c>
      <c r="J77" s="3">
        <v>3510532</v>
      </c>
      <c r="K77" s="6">
        <v>35</v>
      </c>
      <c r="L77" s="4">
        <v>2.1052631580000001</v>
      </c>
      <c r="M77" s="4">
        <v>0.719660089</v>
      </c>
      <c r="N77" s="4">
        <v>1.515074069</v>
      </c>
      <c r="O77" s="4">
        <v>227</v>
      </c>
    </row>
    <row r="78" spans="1:15">
      <c r="A78" s="3" t="s">
        <v>17</v>
      </c>
      <c r="B78" s="9" t="s">
        <v>29</v>
      </c>
      <c r="C78" s="3">
        <v>1365</v>
      </c>
      <c r="D78" s="3">
        <v>18903</v>
      </c>
      <c r="E78" s="3">
        <v>200</v>
      </c>
      <c r="F78" s="3">
        <v>4024324</v>
      </c>
      <c r="G78" s="3">
        <v>1590</v>
      </c>
      <c r="H78" s="3">
        <v>26293</v>
      </c>
      <c r="I78" s="3">
        <v>93</v>
      </c>
      <c r="J78" s="3">
        <v>2602887</v>
      </c>
      <c r="K78" s="6">
        <v>35</v>
      </c>
      <c r="L78" s="4">
        <v>2.150537634</v>
      </c>
      <c r="M78" s="4">
        <v>0.71893659899999995</v>
      </c>
      <c r="N78" s="4">
        <v>1.5461001569999999</v>
      </c>
      <c r="O78" s="4">
        <v>225</v>
      </c>
    </row>
    <row r="79" spans="1:15">
      <c r="A79" s="3" t="s">
        <v>17</v>
      </c>
      <c r="B79" s="9" t="s">
        <v>29</v>
      </c>
      <c r="C79" s="3">
        <v>1365</v>
      </c>
      <c r="D79" s="3">
        <v>22885</v>
      </c>
      <c r="E79" s="3">
        <v>200</v>
      </c>
      <c r="F79" s="3">
        <v>4872066</v>
      </c>
      <c r="G79" s="3">
        <v>1592</v>
      </c>
      <c r="H79" s="3">
        <v>32017</v>
      </c>
      <c r="I79" s="3">
        <v>93</v>
      </c>
      <c r="J79" s="3">
        <v>3169537</v>
      </c>
      <c r="K79" s="6">
        <v>35</v>
      </c>
      <c r="L79" s="4">
        <v>2.150537634</v>
      </c>
      <c r="M79" s="4">
        <v>0.714776525</v>
      </c>
      <c r="N79" s="4">
        <v>1.5371538490000001</v>
      </c>
      <c r="O79" s="4">
        <v>227</v>
      </c>
    </row>
    <row r="80" spans="1:15">
      <c r="A80" s="3" t="s">
        <v>17</v>
      </c>
      <c r="B80" s="9" t="s">
        <v>29</v>
      </c>
      <c r="C80" s="3">
        <v>1365</v>
      </c>
      <c r="D80" s="3">
        <v>13545</v>
      </c>
      <c r="E80" s="3">
        <v>200</v>
      </c>
      <c r="F80" s="3">
        <v>2883641</v>
      </c>
      <c r="G80" s="3">
        <v>1590</v>
      </c>
      <c r="H80" s="3">
        <v>18669</v>
      </c>
      <c r="I80" s="3">
        <v>93</v>
      </c>
      <c r="J80" s="3">
        <v>1848146</v>
      </c>
      <c r="K80" s="6">
        <v>35</v>
      </c>
      <c r="L80" s="4">
        <v>2.150537634</v>
      </c>
      <c r="M80" s="4">
        <v>0.72553430799999996</v>
      </c>
      <c r="N80" s="4">
        <v>1.560288527</v>
      </c>
      <c r="O80" s="4">
        <v>225</v>
      </c>
    </row>
    <row r="81" spans="1:15">
      <c r="A81" s="3" t="s">
        <v>17</v>
      </c>
      <c r="B81" s="10" t="s">
        <v>30</v>
      </c>
      <c r="C81" s="3">
        <v>1365</v>
      </c>
      <c r="D81" s="3">
        <v>17555</v>
      </c>
      <c r="E81" s="3">
        <v>200</v>
      </c>
      <c r="F81" s="3">
        <v>3737344</v>
      </c>
      <c r="G81" s="3">
        <v>1590</v>
      </c>
      <c r="H81" s="3">
        <v>22885</v>
      </c>
      <c r="I81" s="3">
        <v>101</v>
      </c>
      <c r="J81" s="3">
        <v>2460393</v>
      </c>
      <c r="K81" s="6">
        <v>50</v>
      </c>
      <c r="L81" s="4">
        <v>1.98019802</v>
      </c>
      <c r="M81" s="4">
        <v>0.76709635099999995</v>
      </c>
      <c r="N81" s="4">
        <v>1.5190028579999999</v>
      </c>
      <c r="O81" s="4">
        <v>225</v>
      </c>
    </row>
    <row r="82" spans="1:15">
      <c r="A82" s="3" t="s">
        <v>17</v>
      </c>
      <c r="B82" s="10" t="s">
        <v>30</v>
      </c>
      <c r="C82" s="3">
        <v>1367</v>
      </c>
      <c r="D82" s="3">
        <v>26667</v>
      </c>
      <c r="E82" s="3">
        <v>200</v>
      </c>
      <c r="F82" s="3">
        <v>5677229</v>
      </c>
      <c r="G82" s="3">
        <v>1590</v>
      </c>
      <c r="H82" s="3">
        <v>33959</v>
      </c>
      <c r="I82" s="3">
        <v>111</v>
      </c>
      <c r="J82" s="3">
        <v>4012454</v>
      </c>
      <c r="K82" s="6">
        <v>50</v>
      </c>
      <c r="L82" s="4">
        <v>1.801801802</v>
      </c>
      <c r="M82" s="4">
        <v>0.78527047299999997</v>
      </c>
      <c r="N82" s="4">
        <v>1.414901953</v>
      </c>
      <c r="O82" s="4">
        <v>223</v>
      </c>
    </row>
    <row r="83" spans="1:15">
      <c r="A83" s="3" t="s">
        <v>17</v>
      </c>
      <c r="B83" s="10" t="s">
        <v>30</v>
      </c>
      <c r="C83" s="3">
        <v>1365</v>
      </c>
      <c r="D83" s="3">
        <v>30071</v>
      </c>
      <c r="E83" s="3">
        <v>200</v>
      </c>
      <c r="F83" s="3">
        <v>6401918</v>
      </c>
      <c r="G83" s="3">
        <v>1586</v>
      </c>
      <c r="H83" s="3">
        <v>36681</v>
      </c>
      <c r="I83" s="3">
        <v>109</v>
      </c>
      <c r="J83" s="3">
        <v>4255983</v>
      </c>
      <c r="K83" s="6">
        <v>50</v>
      </c>
      <c r="L83" s="7">
        <v>1.8348623850000001</v>
      </c>
      <c r="M83" s="4">
        <v>0.81979771499999998</v>
      </c>
      <c r="N83" s="4">
        <v>1.504216065</v>
      </c>
      <c r="O83" s="4">
        <v>221</v>
      </c>
    </row>
    <row r="84" spans="1:15">
      <c r="A84" s="3" t="s">
        <v>17</v>
      </c>
      <c r="B84" s="10" t="s">
        <v>30</v>
      </c>
      <c r="C84" s="3">
        <v>1365</v>
      </c>
      <c r="D84" s="3">
        <v>15419</v>
      </c>
      <c r="E84" s="3">
        <v>200</v>
      </c>
      <c r="F84" s="3">
        <v>3282603</v>
      </c>
      <c r="G84" s="3">
        <v>1588</v>
      </c>
      <c r="H84" s="3">
        <v>20567</v>
      </c>
      <c r="I84" s="3">
        <v>111</v>
      </c>
      <c r="J84" s="3">
        <v>2430111</v>
      </c>
      <c r="K84" s="6">
        <v>50</v>
      </c>
      <c r="L84" s="4">
        <v>1.801801802</v>
      </c>
      <c r="M84" s="4">
        <v>0.749696115</v>
      </c>
      <c r="N84" s="4">
        <v>1.3508037289999999</v>
      </c>
      <c r="O84" s="4">
        <v>223</v>
      </c>
    </row>
    <row r="85" spans="1:15">
      <c r="A85" s="3" t="s">
        <v>17</v>
      </c>
      <c r="B85" s="10" t="s">
        <v>30</v>
      </c>
      <c r="C85" s="3">
        <v>1367</v>
      </c>
      <c r="D85" s="3">
        <v>16501</v>
      </c>
      <c r="E85" s="3">
        <v>200</v>
      </c>
      <c r="F85" s="3">
        <v>3512954</v>
      </c>
      <c r="G85" s="3">
        <v>1588</v>
      </c>
      <c r="H85" s="3">
        <v>20835</v>
      </c>
      <c r="I85" s="3">
        <v>109</v>
      </c>
      <c r="J85" s="3">
        <v>2417421</v>
      </c>
      <c r="K85" s="6">
        <v>50</v>
      </c>
      <c r="L85" s="7">
        <v>1.8348623850000001</v>
      </c>
      <c r="M85" s="4">
        <v>0.79198464099999999</v>
      </c>
      <c r="N85" s="4">
        <v>1.453182545</v>
      </c>
      <c r="O85" s="4">
        <v>221</v>
      </c>
    </row>
    <row r="86" spans="1:15">
      <c r="A86" s="3" t="s">
        <v>17</v>
      </c>
      <c r="B86" s="10" t="s">
        <v>30</v>
      </c>
      <c r="C86" s="3">
        <v>1365</v>
      </c>
      <c r="D86" s="3">
        <v>23463</v>
      </c>
      <c r="E86" s="3">
        <v>200</v>
      </c>
      <c r="F86" s="3">
        <v>4995118</v>
      </c>
      <c r="G86" s="3">
        <v>1584</v>
      </c>
      <c r="H86" s="3">
        <v>30713</v>
      </c>
      <c r="I86" s="3">
        <v>119</v>
      </c>
      <c r="J86" s="3">
        <v>3890464</v>
      </c>
      <c r="K86" s="6">
        <v>50</v>
      </c>
      <c r="L86" s="4">
        <v>1.680672269</v>
      </c>
      <c r="M86" s="4">
        <v>0.76394360699999997</v>
      </c>
      <c r="N86" s="4">
        <v>1.2839388819999999</v>
      </c>
      <c r="O86" s="4">
        <v>219</v>
      </c>
    </row>
    <row r="87" spans="1:15">
      <c r="A87" s="3" t="s">
        <v>17</v>
      </c>
      <c r="B87" s="10" t="s">
        <v>30</v>
      </c>
      <c r="C87" s="3">
        <v>1365</v>
      </c>
      <c r="D87" s="3">
        <v>20307</v>
      </c>
      <c r="E87" s="3">
        <v>200</v>
      </c>
      <c r="F87" s="3">
        <v>4323226</v>
      </c>
      <c r="G87" s="3">
        <v>1586</v>
      </c>
      <c r="H87" s="3">
        <v>26081</v>
      </c>
      <c r="I87" s="3">
        <v>109</v>
      </c>
      <c r="J87" s="3">
        <v>3026098</v>
      </c>
      <c r="K87" s="6">
        <v>50</v>
      </c>
      <c r="L87" s="7">
        <v>1.8348623850000001</v>
      </c>
      <c r="M87" s="4">
        <v>0.77861278300000003</v>
      </c>
      <c r="N87" s="4">
        <v>1.428647056</v>
      </c>
      <c r="O87" s="4">
        <v>221</v>
      </c>
    </row>
    <row r="88" spans="1:15">
      <c r="A88" s="3" t="s">
        <v>17</v>
      </c>
      <c r="B88" s="10" t="s">
        <v>30</v>
      </c>
      <c r="C88" s="3">
        <v>1365</v>
      </c>
      <c r="D88" s="3">
        <v>20097</v>
      </c>
      <c r="E88" s="3">
        <v>200</v>
      </c>
      <c r="F88" s="3">
        <v>4278519</v>
      </c>
      <c r="G88" s="3">
        <v>1588</v>
      </c>
      <c r="H88" s="3">
        <v>25537</v>
      </c>
      <c r="I88" s="3">
        <v>109</v>
      </c>
      <c r="J88" s="3">
        <v>2962979</v>
      </c>
      <c r="K88" s="6">
        <v>50</v>
      </c>
      <c r="L88" s="7">
        <v>1.8348623850000001</v>
      </c>
      <c r="M88" s="4">
        <v>0.786975761</v>
      </c>
      <c r="N88" s="4">
        <v>1.443992347</v>
      </c>
      <c r="O88" s="4">
        <v>223</v>
      </c>
    </row>
    <row r="89" spans="1:15">
      <c r="A89" s="3" t="s">
        <v>17</v>
      </c>
      <c r="B89" s="10" t="s">
        <v>30</v>
      </c>
      <c r="C89" s="3">
        <v>1367</v>
      </c>
      <c r="D89" s="3">
        <v>15025</v>
      </c>
      <c r="E89" s="3">
        <v>200</v>
      </c>
      <c r="F89" s="3">
        <v>3198723</v>
      </c>
      <c r="G89" s="3">
        <v>1590</v>
      </c>
      <c r="H89" s="3">
        <v>18703</v>
      </c>
      <c r="I89" s="3">
        <v>111</v>
      </c>
      <c r="J89" s="3">
        <v>2209869</v>
      </c>
      <c r="K89" s="6">
        <v>50</v>
      </c>
      <c r="L89" s="4">
        <v>1.801801802</v>
      </c>
      <c r="M89" s="4">
        <v>0.80334705699999998</v>
      </c>
      <c r="N89" s="4">
        <v>1.447471773</v>
      </c>
      <c r="O89" s="4">
        <v>223</v>
      </c>
    </row>
    <row r="90" spans="1:15">
      <c r="A90" s="3" t="s">
        <v>17</v>
      </c>
      <c r="B90" s="10" t="s">
        <v>30</v>
      </c>
      <c r="C90" s="3">
        <v>1367</v>
      </c>
      <c r="D90" s="3">
        <v>21317</v>
      </c>
      <c r="E90" s="3">
        <v>200</v>
      </c>
      <c r="F90" s="3">
        <v>4538249</v>
      </c>
      <c r="G90" s="3">
        <v>1588</v>
      </c>
      <c r="H90" s="3">
        <v>28059</v>
      </c>
      <c r="I90" s="3">
        <v>109</v>
      </c>
      <c r="J90" s="3">
        <v>3255599</v>
      </c>
      <c r="K90" s="6">
        <v>50</v>
      </c>
      <c r="L90" s="4">
        <v>1.8348623850000001</v>
      </c>
      <c r="M90" s="4">
        <v>0.75972058899999995</v>
      </c>
      <c r="N90" s="4">
        <v>1.3939827970000001</v>
      </c>
      <c r="O90" s="4">
        <v>221</v>
      </c>
    </row>
    <row r="91" spans="1:15">
      <c r="A91" s="3" t="s">
        <v>17</v>
      </c>
      <c r="B91" s="10" t="s">
        <v>30</v>
      </c>
      <c r="C91" s="3">
        <v>1365</v>
      </c>
      <c r="D91" s="3">
        <v>29749</v>
      </c>
      <c r="E91" s="3">
        <v>200</v>
      </c>
      <c r="F91" s="3">
        <v>6333366</v>
      </c>
      <c r="G91" s="3">
        <v>1588</v>
      </c>
      <c r="H91" s="3">
        <v>39319</v>
      </c>
      <c r="I91" s="3">
        <v>109</v>
      </c>
      <c r="J91" s="3">
        <v>4562062</v>
      </c>
      <c r="K91" s="6">
        <v>50</v>
      </c>
      <c r="L91" s="4">
        <v>1.8348623850000001</v>
      </c>
      <c r="M91" s="4">
        <v>0.75660622099999997</v>
      </c>
      <c r="N91" s="4">
        <v>1.388268287</v>
      </c>
      <c r="O91" s="4">
        <v>223</v>
      </c>
    </row>
    <row r="92" spans="1:15">
      <c r="A92" s="3" t="s">
        <v>17</v>
      </c>
      <c r="B92" s="10" t="s">
        <v>30</v>
      </c>
      <c r="C92" s="3">
        <v>1367</v>
      </c>
      <c r="D92" s="3">
        <v>28307</v>
      </c>
      <c r="E92" s="3">
        <v>200</v>
      </c>
      <c r="F92" s="3">
        <v>6026374</v>
      </c>
      <c r="G92" s="3">
        <v>1592</v>
      </c>
      <c r="H92" s="3">
        <v>39549</v>
      </c>
      <c r="I92" s="3">
        <v>101</v>
      </c>
      <c r="J92" s="3">
        <v>4251959</v>
      </c>
      <c r="K92" s="6">
        <v>50</v>
      </c>
      <c r="L92" s="4">
        <v>1.98019802</v>
      </c>
      <c r="M92" s="4">
        <v>0.71574502500000003</v>
      </c>
      <c r="N92" s="4">
        <v>1.4173170530000001</v>
      </c>
      <c r="O92" s="4">
        <v>225</v>
      </c>
    </row>
    <row r="93" spans="1:15">
      <c r="A93" s="3" t="s">
        <v>17</v>
      </c>
      <c r="B93" s="10" t="s">
        <v>30</v>
      </c>
      <c r="C93" s="3">
        <v>1367</v>
      </c>
      <c r="D93" s="3">
        <v>22907</v>
      </c>
      <c r="E93" s="3">
        <v>200</v>
      </c>
      <c r="F93" s="3">
        <v>4876749</v>
      </c>
      <c r="G93" s="3">
        <v>1588</v>
      </c>
      <c r="H93" s="3">
        <v>30493</v>
      </c>
      <c r="I93" s="3">
        <v>109</v>
      </c>
      <c r="J93" s="3">
        <v>3538008</v>
      </c>
      <c r="K93" s="6">
        <v>50</v>
      </c>
      <c r="L93" s="7">
        <v>1.8348623850000001</v>
      </c>
      <c r="M93" s="4">
        <v>0.75122159200000005</v>
      </c>
      <c r="N93" s="4">
        <v>1.378388347</v>
      </c>
      <c r="O93" s="4">
        <v>221</v>
      </c>
    </row>
    <row r="94" spans="1:15">
      <c r="A94" s="3" t="s">
        <v>17</v>
      </c>
      <c r="B94" s="10" t="s">
        <v>30</v>
      </c>
      <c r="C94" s="3">
        <v>1367</v>
      </c>
      <c r="D94" s="3">
        <v>34445</v>
      </c>
      <c r="E94" s="3">
        <v>200</v>
      </c>
      <c r="F94" s="3">
        <v>7333113</v>
      </c>
      <c r="G94" s="3">
        <v>1592</v>
      </c>
      <c r="H94" s="3">
        <v>50961</v>
      </c>
      <c r="I94" s="3">
        <v>91</v>
      </c>
      <c r="J94" s="3">
        <v>4936414</v>
      </c>
      <c r="K94" s="6">
        <v>50</v>
      </c>
      <c r="L94" s="4">
        <v>2.1978021980000002</v>
      </c>
      <c r="M94" s="4">
        <v>0.67590902799999997</v>
      </c>
      <c r="N94" s="4">
        <v>1.4855141810000001</v>
      </c>
      <c r="O94" s="4">
        <v>225</v>
      </c>
    </row>
    <row r="95" spans="1:15">
      <c r="A95" s="3" t="s">
        <v>17</v>
      </c>
      <c r="B95" s="10" t="s">
        <v>30</v>
      </c>
      <c r="C95" s="3">
        <v>1365</v>
      </c>
      <c r="D95" s="3">
        <v>32455</v>
      </c>
      <c r="E95" s="3">
        <v>200</v>
      </c>
      <c r="F95" s="3">
        <v>6909456</v>
      </c>
      <c r="G95" s="3">
        <v>1590</v>
      </c>
      <c r="H95" s="3">
        <v>45629</v>
      </c>
      <c r="I95" s="3">
        <v>101</v>
      </c>
      <c r="J95" s="3">
        <v>4905627</v>
      </c>
      <c r="K95" s="6">
        <v>50</v>
      </c>
      <c r="L95" s="4">
        <v>1.98019802</v>
      </c>
      <c r="M95" s="4">
        <v>0.71128010699999999</v>
      </c>
      <c r="N95" s="4">
        <v>1.4084756140000001</v>
      </c>
      <c r="O95" s="4">
        <v>225</v>
      </c>
    </row>
    <row r="96" spans="1:15">
      <c r="A96" s="3" t="s">
        <v>17</v>
      </c>
      <c r="B96" s="10" t="s">
        <v>30</v>
      </c>
      <c r="C96" s="3">
        <v>1365</v>
      </c>
      <c r="D96" s="3">
        <v>43117</v>
      </c>
      <c r="E96" s="3">
        <v>200</v>
      </c>
      <c r="F96" s="3">
        <v>9179325</v>
      </c>
      <c r="G96" s="3">
        <v>1588</v>
      </c>
      <c r="H96" s="3">
        <v>58061</v>
      </c>
      <c r="I96" s="3">
        <v>109</v>
      </c>
      <c r="J96" s="3">
        <v>6736638</v>
      </c>
      <c r="K96" s="6">
        <v>50</v>
      </c>
      <c r="L96" s="7">
        <v>1.8348623850000001</v>
      </c>
      <c r="M96" s="4">
        <v>0.74261552500000005</v>
      </c>
      <c r="N96" s="4">
        <v>1.362597337</v>
      </c>
      <c r="O96" s="4">
        <v>223</v>
      </c>
    </row>
    <row r="97" spans="1:15">
      <c r="A97" s="3" t="s">
        <v>17</v>
      </c>
      <c r="B97" s="10" t="s">
        <v>30</v>
      </c>
      <c r="C97" s="3">
        <v>1365</v>
      </c>
      <c r="D97" s="3">
        <v>17745</v>
      </c>
      <c r="E97" s="3">
        <v>200</v>
      </c>
      <c r="F97" s="3">
        <v>3777794</v>
      </c>
      <c r="G97" s="3">
        <v>1588</v>
      </c>
      <c r="H97" s="3">
        <v>22697</v>
      </c>
      <c r="I97" s="3">
        <v>109</v>
      </c>
      <c r="J97" s="3">
        <v>2633463</v>
      </c>
      <c r="K97" s="6">
        <v>50</v>
      </c>
      <c r="L97" s="7">
        <v>1.8348623850000001</v>
      </c>
      <c r="M97" s="4">
        <v>0.78182138599999995</v>
      </c>
      <c r="N97" s="4">
        <v>1.434534679</v>
      </c>
      <c r="O97" s="4">
        <v>223</v>
      </c>
    </row>
    <row r="98" spans="1:15">
      <c r="A98" s="3" t="s">
        <v>17</v>
      </c>
      <c r="B98" s="10" t="s">
        <v>30</v>
      </c>
      <c r="C98" s="3">
        <v>1365</v>
      </c>
      <c r="D98" s="3">
        <v>23333</v>
      </c>
      <c r="E98" s="3">
        <v>200</v>
      </c>
      <c r="F98" s="3">
        <v>4967442</v>
      </c>
      <c r="G98" s="3">
        <v>1584</v>
      </c>
      <c r="H98" s="3">
        <v>30671</v>
      </c>
      <c r="I98" s="3">
        <v>119</v>
      </c>
      <c r="J98" s="3">
        <v>3885144</v>
      </c>
      <c r="K98" s="6">
        <v>50</v>
      </c>
      <c r="L98" s="4">
        <v>1.680672269</v>
      </c>
      <c r="M98" s="4">
        <v>0.76075119800000002</v>
      </c>
      <c r="N98" s="4">
        <v>1.2785734580000001</v>
      </c>
      <c r="O98" s="4">
        <v>219</v>
      </c>
    </row>
    <row r="99" spans="1:15">
      <c r="A99" s="3" t="s">
        <v>17</v>
      </c>
      <c r="B99" s="10" t="s">
        <v>30</v>
      </c>
      <c r="C99" s="3">
        <v>1365</v>
      </c>
      <c r="D99" s="3">
        <v>18963</v>
      </c>
      <c r="E99" s="3">
        <v>200</v>
      </c>
      <c r="F99" s="3">
        <v>4037098</v>
      </c>
      <c r="G99" s="3">
        <v>1588</v>
      </c>
      <c r="H99" s="3">
        <v>26185</v>
      </c>
      <c r="I99" s="3">
        <v>109</v>
      </c>
      <c r="J99" s="3">
        <v>3038165</v>
      </c>
      <c r="K99" s="6">
        <v>50</v>
      </c>
      <c r="L99" s="7">
        <v>1.8348623850000001</v>
      </c>
      <c r="M99" s="4">
        <v>0.72419323999999996</v>
      </c>
      <c r="N99" s="4">
        <v>1.328794848</v>
      </c>
      <c r="O99" s="4">
        <v>223</v>
      </c>
    </row>
    <row r="100" spans="1:15">
      <c r="A100" s="3" t="s">
        <v>17</v>
      </c>
      <c r="B100" s="10" t="s">
        <v>30</v>
      </c>
      <c r="C100" s="3">
        <v>1365</v>
      </c>
      <c r="D100" s="3">
        <v>22091</v>
      </c>
      <c r="E100" s="3">
        <v>200</v>
      </c>
      <c r="F100" s="3">
        <v>4703028</v>
      </c>
      <c r="G100" s="3">
        <v>1588</v>
      </c>
      <c r="H100" s="3">
        <v>28953</v>
      </c>
      <c r="I100" s="3">
        <v>109</v>
      </c>
      <c r="J100" s="3">
        <v>3359327</v>
      </c>
      <c r="K100" s="6">
        <v>50</v>
      </c>
      <c r="L100" s="7">
        <v>1.8348623850000001</v>
      </c>
      <c r="M100" s="4">
        <v>0.76299519900000001</v>
      </c>
      <c r="N100" s="4">
        <v>1.399991129</v>
      </c>
      <c r="O100" s="4">
        <v>223</v>
      </c>
    </row>
    <row r="101" spans="1:15" ht="18">
      <c r="A101" s="13" t="s">
        <v>31</v>
      </c>
      <c r="B101" s="13" t="s">
        <v>32</v>
      </c>
      <c r="C101" s="13">
        <v>1365</v>
      </c>
      <c r="D101" s="13">
        <v>36427</v>
      </c>
      <c r="E101" s="13">
        <v>200</v>
      </c>
      <c r="F101" s="13">
        <v>7755068</v>
      </c>
      <c r="G101" s="13">
        <v>1588</v>
      </c>
      <c r="H101" s="13">
        <v>48845</v>
      </c>
      <c r="I101" s="13">
        <v>111</v>
      </c>
      <c r="J101" s="13">
        <v>5771322</v>
      </c>
      <c r="K101" s="6">
        <v>25</v>
      </c>
      <c r="L101" s="14">
        <v>1.801801802</v>
      </c>
      <c r="M101" s="14">
        <f>D101/H101</f>
        <v>0.74576722284778385</v>
      </c>
      <c r="N101" s="14">
        <v>1.3437247130000001</v>
      </c>
      <c r="O101" s="15">
        <v>223</v>
      </c>
    </row>
    <row r="102" spans="1:15" ht="18">
      <c r="A102" s="13" t="s">
        <v>31</v>
      </c>
      <c r="B102" s="13" t="s">
        <v>32</v>
      </c>
      <c r="C102" s="13">
        <v>1365</v>
      </c>
      <c r="D102" s="13">
        <v>43981</v>
      </c>
      <c r="E102" s="13">
        <v>200</v>
      </c>
      <c r="F102" s="13">
        <v>9363265</v>
      </c>
      <c r="G102" s="13">
        <v>1588</v>
      </c>
      <c r="H102" s="13">
        <v>57501</v>
      </c>
      <c r="I102" s="13">
        <v>109</v>
      </c>
      <c r="J102" s="13">
        <v>6671663</v>
      </c>
      <c r="K102" s="6">
        <v>25</v>
      </c>
      <c r="L102" s="14">
        <v>1.8348623850000001</v>
      </c>
      <c r="M102" s="14">
        <f>D102/H102</f>
        <v>0.76487365437122834</v>
      </c>
      <c r="N102" s="14">
        <v>1.4034379429999999</v>
      </c>
      <c r="O102" s="15">
        <v>223</v>
      </c>
    </row>
    <row r="103" spans="1:15" ht="18">
      <c r="A103" s="13" t="s">
        <v>31</v>
      </c>
      <c r="B103" s="13" t="s">
        <v>32</v>
      </c>
      <c r="C103" s="13">
        <v>1365</v>
      </c>
      <c r="D103" s="13">
        <v>29209</v>
      </c>
      <c r="E103" s="13">
        <v>200</v>
      </c>
      <c r="F103" s="13">
        <v>6218404</v>
      </c>
      <c r="G103" s="13">
        <v>1586</v>
      </c>
      <c r="H103" s="13">
        <v>37117</v>
      </c>
      <c r="I103" s="13">
        <v>109</v>
      </c>
      <c r="J103" s="13">
        <v>4306571</v>
      </c>
      <c r="K103" s="6">
        <v>25</v>
      </c>
      <c r="L103" s="14">
        <v>1.8348623850000001</v>
      </c>
      <c r="M103" s="14">
        <f>D103/H103</f>
        <v>0.78694398793005904</v>
      </c>
      <c r="N103" s="14">
        <v>1.4439339330000001</v>
      </c>
      <c r="O103" s="15">
        <v>221</v>
      </c>
    </row>
    <row r="104" spans="1:15" ht="18">
      <c r="A104" s="13" t="s">
        <v>31</v>
      </c>
      <c r="B104" s="13" t="s">
        <v>32</v>
      </c>
      <c r="C104" s="13">
        <v>1365</v>
      </c>
      <c r="D104" s="13">
        <v>21091</v>
      </c>
      <c r="E104" s="13">
        <v>200</v>
      </c>
      <c r="F104" s="13">
        <v>4490135</v>
      </c>
      <c r="G104" s="13">
        <v>1590</v>
      </c>
      <c r="H104" s="13">
        <v>27605</v>
      </c>
      <c r="I104" s="13">
        <v>101</v>
      </c>
      <c r="J104" s="13">
        <v>2967846</v>
      </c>
      <c r="K104" s="6">
        <v>25</v>
      </c>
      <c r="L104" s="14">
        <v>1.98019802</v>
      </c>
      <c r="M104" s="14">
        <f>D104/H104</f>
        <v>0.76402825575076982</v>
      </c>
      <c r="N104" s="14">
        <v>1.512927221</v>
      </c>
      <c r="O104" s="15">
        <v>225</v>
      </c>
    </row>
    <row r="105" spans="1:15" ht="18">
      <c r="A105" s="13" t="s">
        <v>31</v>
      </c>
      <c r="B105" s="13" t="s">
        <v>32</v>
      </c>
      <c r="C105" s="13">
        <v>1365</v>
      </c>
      <c r="D105" s="13">
        <v>32677</v>
      </c>
      <c r="E105" s="13">
        <v>200</v>
      </c>
      <c r="F105" s="13">
        <v>6956718</v>
      </c>
      <c r="G105" s="13">
        <v>1588</v>
      </c>
      <c r="H105" s="13">
        <v>42767</v>
      </c>
      <c r="I105" s="13">
        <v>107.5</v>
      </c>
      <c r="J105" s="13">
        <v>4929350.5</v>
      </c>
      <c r="K105" s="6">
        <v>25</v>
      </c>
      <c r="L105" s="14">
        <v>1.8629311479999999</v>
      </c>
      <c r="M105" s="14">
        <v>0.76407042813384152</v>
      </c>
      <c r="N105" s="14">
        <v>1.4260059525</v>
      </c>
      <c r="O105" s="15">
        <v>223</v>
      </c>
    </row>
    <row r="106" spans="1:15" ht="18">
      <c r="A106" s="13" t="s">
        <v>31</v>
      </c>
      <c r="B106" s="13" t="s">
        <v>33</v>
      </c>
      <c r="C106" s="13">
        <v>1365</v>
      </c>
      <c r="D106" s="13">
        <v>19087</v>
      </c>
      <c r="E106" s="13">
        <v>200</v>
      </c>
      <c r="F106" s="13">
        <v>4063496</v>
      </c>
      <c r="G106" s="13">
        <v>1586</v>
      </c>
      <c r="H106" s="13">
        <v>24191</v>
      </c>
      <c r="I106" s="13">
        <v>109</v>
      </c>
      <c r="J106" s="13">
        <v>2806807</v>
      </c>
      <c r="K106" s="6">
        <v>35</v>
      </c>
      <c r="L106" s="14">
        <v>1.8348623850000001</v>
      </c>
      <c r="M106" s="14">
        <f t="shared" ref="M106:M115" si="0">D106/H106</f>
        <v>0.78901244264395853</v>
      </c>
      <c r="N106" s="14">
        <v>1.4477290389999999</v>
      </c>
      <c r="O106" s="15">
        <v>221</v>
      </c>
    </row>
    <row r="107" spans="1:15" ht="18">
      <c r="A107" s="13" t="s">
        <v>31</v>
      </c>
      <c r="B107" s="13" t="s">
        <v>33</v>
      </c>
      <c r="C107" s="13">
        <v>1365</v>
      </c>
      <c r="D107" s="13">
        <v>19953</v>
      </c>
      <c r="E107" s="13">
        <v>200</v>
      </c>
      <c r="F107" s="13">
        <v>4247862</v>
      </c>
      <c r="G107" s="13">
        <v>1584</v>
      </c>
      <c r="H107" s="13">
        <v>25811</v>
      </c>
      <c r="I107" s="13">
        <v>119</v>
      </c>
      <c r="J107" s="13">
        <v>3269520</v>
      </c>
      <c r="K107" s="6">
        <v>35</v>
      </c>
      <c r="L107" s="14">
        <v>1.680672269</v>
      </c>
      <c r="M107" s="14">
        <f t="shared" si="0"/>
        <v>0.77304250125915308</v>
      </c>
      <c r="N107" s="14">
        <v>1.29923108</v>
      </c>
      <c r="O107" s="15">
        <v>219</v>
      </c>
    </row>
    <row r="108" spans="1:15" ht="18">
      <c r="A108" s="13" t="s">
        <v>31</v>
      </c>
      <c r="B108" s="13" t="s">
        <v>33</v>
      </c>
      <c r="C108" s="13">
        <v>1365</v>
      </c>
      <c r="D108" s="13">
        <v>16225</v>
      </c>
      <c r="E108" s="13">
        <v>200</v>
      </c>
      <c r="F108" s="13">
        <v>3454196</v>
      </c>
      <c r="G108" s="13">
        <v>1590</v>
      </c>
      <c r="H108" s="13">
        <v>25879</v>
      </c>
      <c r="I108" s="13">
        <v>101</v>
      </c>
      <c r="J108" s="13">
        <v>2782282</v>
      </c>
      <c r="K108" s="6">
        <v>35</v>
      </c>
      <c r="L108" s="14">
        <v>1.98019802</v>
      </c>
      <c r="M108" s="14">
        <f t="shared" si="0"/>
        <v>0.62695621932841294</v>
      </c>
      <c r="N108" s="14">
        <v>1.241497447</v>
      </c>
      <c r="O108" s="15">
        <v>225</v>
      </c>
    </row>
    <row r="109" spans="1:15" ht="18">
      <c r="A109" s="13" t="s">
        <v>31</v>
      </c>
      <c r="B109" s="13" t="s">
        <v>33</v>
      </c>
      <c r="C109" s="13">
        <v>1365</v>
      </c>
      <c r="D109" s="13">
        <v>18259</v>
      </c>
      <c r="E109" s="13">
        <v>200</v>
      </c>
      <c r="F109" s="13">
        <v>3887221</v>
      </c>
      <c r="G109" s="13">
        <v>1588</v>
      </c>
      <c r="H109" s="13">
        <v>25393</v>
      </c>
      <c r="I109" s="13">
        <v>109</v>
      </c>
      <c r="J109" s="13">
        <v>2946271</v>
      </c>
      <c r="K109" s="6">
        <v>35</v>
      </c>
      <c r="L109" s="14">
        <v>1.8348623850000001</v>
      </c>
      <c r="M109" s="14">
        <f t="shared" si="0"/>
        <v>0.71905643287520182</v>
      </c>
      <c r="N109" s="14">
        <v>1.319369807</v>
      </c>
      <c r="O109" s="15">
        <v>223</v>
      </c>
    </row>
    <row r="110" spans="1:15" ht="18">
      <c r="A110" s="13" t="s">
        <v>31</v>
      </c>
      <c r="B110" s="13" t="s">
        <v>33</v>
      </c>
      <c r="C110" s="13">
        <v>1367</v>
      </c>
      <c r="D110" s="13">
        <v>21267</v>
      </c>
      <c r="E110" s="13">
        <v>200</v>
      </c>
      <c r="F110" s="13">
        <v>4527604</v>
      </c>
      <c r="G110" s="13">
        <v>1588</v>
      </c>
      <c r="H110" s="13">
        <v>27161</v>
      </c>
      <c r="I110" s="13">
        <v>109</v>
      </c>
      <c r="J110" s="13">
        <v>3151407</v>
      </c>
      <c r="K110" s="6">
        <v>35</v>
      </c>
      <c r="L110" s="14">
        <v>1.8348623850000001</v>
      </c>
      <c r="M110" s="14">
        <f t="shared" si="0"/>
        <v>0.78299768049777252</v>
      </c>
      <c r="N110" s="14">
        <v>1.4366928800000001</v>
      </c>
      <c r="O110" s="15">
        <v>221</v>
      </c>
    </row>
    <row r="111" spans="1:15" ht="18">
      <c r="A111" s="13" t="s">
        <v>31</v>
      </c>
      <c r="B111" s="13" t="s">
        <v>34</v>
      </c>
      <c r="C111" s="13">
        <v>1367</v>
      </c>
      <c r="D111" s="13">
        <v>44983</v>
      </c>
      <c r="E111" s="13">
        <v>200</v>
      </c>
      <c r="F111" s="13">
        <v>9576584</v>
      </c>
      <c r="G111" s="13">
        <v>1588</v>
      </c>
      <c r="H111" s="13">
        <v>61669</v>
      </c>
      <c r="I111" s="13">
        <v>109</v>
      </c>
      <c r="J111" s="13">
        <v>7155263</v>
      </c>
      <c r="K111" s="6">
        <v>50</v>
      </c>
      <c r="L111" s="14">
        <v>1.8348623850000001</v>
      </c>
      <c r="M111" s="14">
        <f t="shared" si="0"/>
        <v>0.72942645413416785</v>
      </c>
      <c r="N111" s="14">
        <v>1.3383972049999999</v>
      </c>
      <c r="O111" s="15">
        <v>221</v>
      </c>
    </row>
    <row r="112" spans="1:15" ht="18">
      <c r="A112" s="13" t="s">
        <v>31</v>
      </c>
      <c r="B112" s="13" t="s">
        <v>34</v>
      </c>
      <c r="C112" s="13">
        <v>1365</v>
      </c>
      <c r="D112" s="13">
        <v>41725</v>
      </c>
      <c r="E112" s="13">
        <v>200</v>
      </c>
      <c r="F112" s="13">
        <v>8882977</v>
      </c>
      <c r="G112" s="13">
        <v>1588</v>
      </c>
      <c r="H112" s="13">
        <v>58097</v>
      </c>
      <c r="I112" s="13">
        <v>109</v>
      </c>
      <c r="J112" s="13">
        <v>6740815</v>
      </c>
      <c r="K112" s="6">
        <v>50</v>
      </c>
      <c r="L112" s="14">
        <v>1.8348623850000001</v>
      </c>
      <c r="M112" s="14">
        <f t="shared" si="0"/>
        <v>0.71819543177788869</v>
      </c>
      <c r="N112" s="14">
        <v>1.3177897629999999</v>
      </c>
      <c r="O112" s="15">
        <v>223</v>
      </c>
    </row>
    <row r="113" spans="1:15" ht="18">
      <c r="A113" s="13" t="s">
        <v>31</v>
      </c>
      <c r="B113" s="13" t="s">
        <v>34</v>
      </c>
      <c r="C113" s="13">
        <v>1365</v>
      </c>
      <c r="D113" s="13">
        <v>28445</v>
      </c>
      <c r="E113" s="13">
        <v>200</v>
      </c>
      <c r="F113" s="13">
        <v>6055753</v>
      </c>
      <c r="G113" s="13">
        <v>1588</v>
      </c>
      <c r="H113" s="13">
        <v>39379</v>
      </c>
      <c r="I113" s="13">
        <v>109</v>
      </c>
      <c r="J113" s="13">
        <v>4569024</v>
      </c>
      <c r="K113" s="6">
        <v>50</v>
      </c>
      <c r="L113" s="14">
        <v>1.8348623850000001</v>
      </c>
      <c r="M113" s="14">
        <f t="shared" si="0"/>
        <v>0.7223393179105615</v>
      </c>
      <c r="N113" s="14">
        <v>1.325393126</v>
      </c>
      <c r="O113" s="15">
        <v>223</v>
      </c>
    </row>
    <row r="114" spans="1:15" ht="18">
      <c r="A114" s="13" t="s">
        <v>31</v>
      </c>
      <c r="B114" s="13" t="s">
        <v>34</v>
      </c>
      <c r="C114" s="13">
        <v>1367</v>
      </c>
      <c r="D114" s="13">
        <v>34647</v>
      </c>
      <c r="E114" s="13">
        <v>200</v>
      </c>
      <c r="F114" s="13">
        <v>7376118</v>
      </c>
      <c r="G114" s="13">
        <v>1588</v>
      </c>
      <c r="H114" s="13">
        <v>47447</v>
      </c>
      <c r="I114" s="13">
        <v>109</v>
      </c>
      <c r="J114" s="13">
        <v>5505129</v>
      </c>
      <c r="K114" s="6">
        <v>50</v>
      </c>
      <c r="L114" s="14">
        <v>1.8348623850000001</v>
      </c>
      <c r="M114" s="14">
        <f t="shared" si="0"/>
        <v>0.73022530402343666</v>
      </c>
      <c r="N114" s="14">
        <v>1.339862881</v>
      </c>
      <c r="O114" s="15">
        <v>221</v>
      </c>
    </row>
    <row r="115" spans="1:15" ht="18">
      <c r="A115" s="13" t="s">
        <v>31</v>
      </c>
      <c r="B115" s="13" t="s">
        <v>34</v>
      </c>
      <c r="C115" s="13">
        <v>1367</v>
      </c>
      <c r="D115" s="13">
        <v>27127</v>
      </c>
      <c r="E115" s="13">
        <v>200</v>
      </c>
      <c r="F115" s="13">
        <v>5775159</v>
      </c>
      <c r="G115" s="13">
        <v>1590</v>
      </c>
      <c r="H115" s="13">
        <v>36761</v>
      </c>
      <c r="I115" s="13">
        <v>111</v>
      </c>
      <c r="J115" s="13">
        <v>4343527</v>
      </c>
      <c r="K115" s="6">
        <v>50</v>
      </c>
      <c r="L115" s="14">
        <v>1.801801802</v>
      </c>
      <c r="M115" s="14">
        <f t="shared" si="0"/>
        <v>0.73792878322134869</v>
      </c>
      <c r="N115" s="14">
        <v>1.3296012660000001</v>
      </c>
      <c r="O115" s="15">
        <v>223</v>
      </c>
    </row>
    <row r="116" spans="1:15" ht="18">
      <c r="A116" s="13" t="s">
        <v>35</v>
      </c>
      <c r="B116" s="13" t="s">
        <v>32</v>
      </c>
      <c r="C116" s="13">
        <v>1367</v>
      </c>
      <c r="D116" s="13">
        <v>29083</v>
      </c>
      <c r="E116" s="13">
        <v>200</v>
      </c>
      <c r="F116" s="13">
        <v>6191579</v>
      </c>
      <c r="G116" s="13">
        <v>1586</v>
      </c>
      <c r="H116" s="13">
        <v>41949</v>
      </c>
      <c r="I116" s="13">
        <v>119</v>
      </c>
      <c r="J116" s="13">
        <v>5313746</v>
      </c>
      <c r="K116" s="6">
        <v>25</v>
      </c>
      <c r="L116" s="14">
        <v>1.680672269</v>
      </c>
      <c r="M116" s="14">
        <v>0.69329423800000001</v>
      </c>
      <c r="N116" s="14">
        <v>1.1652004069999999</v>
      </c>
      <c r="O116" s="15">
        <v>219</v>
      </c>
    </row>
    <row r="117" spans="1:15" ht="18">
      <c r="A117" s="13" t="s">
        <v>35</v>
      </c>
      <c r="B117" s="13" t="s">
        <v>32</v>
      </c>
      <c r="C117" s="13">
        <v>1365</v>
      </c>
      <c r="D117" s="13">
        <v>29669</v>
      </c>
      <c r="E117" s="13">
        <v>200</v>
      </c>
      <c r="F117" s="13">
        <v>6316335</v>
      </c>
      <c r="G117" s="13">
        <v>1586</v>
      </c>
      <c r="H117" s="13">
        <v>42997</v>
      </c>
      <c r="I117" s="13">
        <v>119</v>
      </c>
      <c r="J117" s="13">
        <v>5446498</v>
      </c>
      <c r="K117" s="6">
        <v>25</v>
      </c>
      <c r="L117" s="14">
        <v>1.680672269</v>
      </c>
      <c r="M117" s="14">
        <v>0.69002488500000003</v>
      </c>
      <c r="N117" s="14">
        <v>1.159705741</v>
      </c>
      <c r="O117" s="15">
        <v>221</v>
      </c>
    </row>
    <row r="118" spans="1:15" ht="18">
      <c r="A118" s="13" t="s">
        <v>35</v>
      </c>
      <c r="B118" s="13" t="s">
        <v>32</v>
      </c>
      <c r="C118" s="13">
        <v>1365</v>
      </c>
      <c r="D118" s="13">
        <v>29695</v>
      </c>
      <c r="E118" s="13">
        <v>200</v>
      </c>
      <c r="F118" s="13">
        <v>6321870</v>
      </c>
      <c r="G118" s="13">
        <v>1586</v>
      </c>
      <c r="H118" s="13">
        <v>43329</v>
      </c>
      <c r="I118" s="13">
        <v>121</v>
      </c>
      <c r="J118" s="13">
        <v>5580797</v>
      </c>
      <c r="K118" s="6">
        <v>25</v>
      </c>
      <c r="L118" s="14">
        <v>1.6528925619999999</v>
      </c>
      <c r="M118" s="14">
        <v>0.68533776499999999</v>
      </c>
      <c r="N118" s="14">
        <v>1.132789815</v>
      </c>
      <c r="O118" s="15">
        <v>221</v>
      </c>
    </row>
    <row r="119" spans="1:15" ht="18">
      <c r="A119" s="13" t="s">
        <v>35</v>
      </c>
      <c r="B119" s="13" t="s">
        <v>32</v>
      </c>
      <c r="C119" s="13">
        <v>1365</v>
      </c>
      <c r="D119" s="13">
        <v>23921</v>
      </c>
      <c r="E119" s="13">
        <v>200</v>
      </c>
      <c r="F119" s="13">
        <v>5092623</v>
      </c>
      <c r="G119" s="13">
        <v>1586</v>
      </c>
      <c r="H119" s="13">
        <v>35121</v>
      </c>
      <c r="I119" s="13">
        <v>119</v>
      </c>
      <c r="J119" s="13">
        <v>4448832</v>
      </c>
      <c r="K119" s="6">
        <v>25</v>
      </c>
      <c r="L119" s="14">
        <v>1.680672269</v>
      </c>
      <c r="M119" s="14">
        <v>0.68110247400000001</v>
      </c>
      <c r="N119" s="14">
        <v>1.144710117</v>
      </c>
      <c r="O119" s="15">
        <v>221</v>
      </c>
    </row>
    <row r="120" spans="1:15" ht="18">
      <c r="A120" s="13" t="s">
        <v>35</v>
      </c>
      <c r="B120" s="13" t="s">
        <v>32</v>
      </c>
      <c r="C120" s="13">
        <v>1365</v>
      </c>
      <c r="D120" s="13">
        <v>26555</v>
      </c>
      <c r="E120" s="13">
        <v>200</v>
      </c>
      <c r="F120" s="13">
        <v>5653384</v>
      </c>
      <c r="G120" s="13">
        <v>1586</v>
      </c>
      <c r="H120" s="13">
        <v>38289</v>
      </c>
      <c r="I120" s="13">
        <v>119</v>
      </c>
      <c r="J120" s="13">
        <v>4850128</v>
      </c>
      <c r="K120" s="6">
        <v>25</v>
      </c>
      <c r="L120" s="14">
        <v>1.680672269</v>
      </c>
      <c r="M120" s="14">
        <v>0.69354122600000001</v>
      </c>
      <c r="N120" s="14">
        <v>1.165615423</v>
      </c>
      <c r="O120" s="15">
        <v>221</v>
      </c>
    </row>
    <row r="121" spans="1:15" ht="18">
      <c r="A121" s="13" t="s">
        <v>35</v>
      </c>
      <c r="B121" s="13" t="s">
        <v>33</v>
      </c>
      <c r="C121" s="13">
        <v>1365</v>
      </c>
      <c r="D121" s="13">
        <v>843</v>
      </c>
      <c r="E121" s="13">
        <v>200</v>
      </c>
      <c r="F121" s="13">
        <v>179469</v>
      </c>
      <c r="G121" s="13">
        <v>1588</v>
      </c>
      <c r="H121" s="13">
        <v>1323</v>
      </c>
      <c r="I121" s="13">
        <v>91</v>
      </c>
      <c r="J121" s="13">
        <v>128154</v>
      </c>
      <c r="K121" s="6">
        <v>35</v>
      </c>
      <c r="L121" s="14">
        <v>2.1978021980000002</v>
      </c>
      <c r="M121" s="14">
        <v>0.63718820899999995</v>
      </c>
      <c r="N121" s="14">
        <v>1.400416686</v>
      </c>
      <c r="O121" s="15">
        <v>223</v>
      </c>
    </row>
    <row r="122" spans="1:15" ht="18">
      <c r="A122" s="13" t="s">
        <v>35</v>
      </c>
      <c r="B122" s="13" t="s">
        <v>36</v>
      </c>
      <c r="C122" s="13">
        <v>1365</v>
      </c>
      <c r="D122" s="13">
        <v>10005</v>
      </c>
      <c r="E122" s="13">
        <v>200</v>
      </c>
      <c r="F122" s="13">
        <v>2129999</v>
      </c>
      <c r="G122" s="13">
        <v>1592</v>
      </c>
      <c r="H122" s="13">
        <v>17571</v>
      </c>
      <c r="I122" s="13">
        <v>93</v>
      </c>
      <c r="J122" s="13">
        <v>1739449</v>
      </c>
      <c r="K122" s="6">
        <v>35</v>
      </c>
      <c r="L122" s="14">
        <v>2.150537634</v>
      </c>
      <c r="M122" s="14">
        <v>0.56940413199999995</v>
      </c>
      <c r="N122" s="14">
        <v>1.224525123</v>
      </c>
      <c r="O122" s="15">
        <v>227</v>
      </c>
    </row>
    <row r="123" spans="1:15" ht="18">
      <c r="A123" s="13" t="s">
        <v>35</v>
      </c>
      <c r="B123" s="13" t="s">
        <v>36</v>
      </c>
      <c r="C123" s="13">
        <v>1365</v>
      </c>
      <c r="D123" s="13">
        <v>8629</v>
      </c>
      <c r="E123" s="13">
        <v>200</v>
      </c>
      <c r="F123" s="13">
        <v>1837057</v>
      </c>
      <c r="G123" s="13">
        <v>1592</v>
      </c>
      <c r="H123" s="13">
        <v>15357</v>
      </c>
      <c r="I123" s="13">
        <v>93</v>
      </c>
      <c r="J123" s="13">
        <v>1520273</v>
      </c>
      <c r="K123" s="6">
        <v>35</v>
      </c>
      <c r="L123" s="14">
        <v>2.150537634</v>
      </c>
      <c r="M123" s="14">
        <v>0.56189359900000002</v>
      </c>
      <c r="N123" s="14">
        <v>1.2083731010000001</v>
      </c>
      <c r="O123" s="15">
        <v>227</v>
      </c>
    </row>
    <row r="124" spans="1:15" ht="18">
      <c r="A124" s="13" t="s">
        <v>35</v>
      </c>
      <c r="B124" s="13" t="s">
        <v>33</v>
      </c>
      <c r="C124" s="13">
        <v>1367</v>
      </c>
      <c r="D124" s="13">
        <v>3051</v>
      </c>
      <c r="E124" s="13">
        <v>200</v>
      </c>
      <c r="F124" s="13">
        <v>649538</v>
      </c>
      <c r="G124" s="13">
        <v>1592</v>
      </c>
      <c r="H124" s="13">
        <v>5677</v>
      </c>
      <c r="I124" s="13">
        <v>87</v>
      </c>
      <c r="J124" s="13">
        <v>525739</v>
      </c>
      <c r="K124" s="6">
        <v>35</v>
      </c>
      <c r="L124" s="14">
        <v>2.2988505749999999</v>
      </c>
      <c r="M124" s="14">
        <v>0.53743174199999999</v>
      </c>
      <c r="N124" s="14">
        <v>1.235476158</v>
      </c>
      <c r="O124" s="15">
        <v>225</v>
      </c>
    </row>
    <row r="125" spans="1:15" ht="18">
      <c r="A125" s="13" t="s">
        <v>35</v>
      </c>
      <c r="B125" s="13" t="s">
        <v>33</v>
      </c>
      <c r="C125" s="13">
        <v>1365</v>
      </c>
      <c r="D125" s="13">
        <v>9921</v>
      </c>
      <c r="E125" s="13">
        <v>200</v>
      </c>
      <c r="F125" s="13">
        <v>2112116</v>
      </c>
      <c r="G125" s="13">
        <v>1592</v>
      </c>
      <c r="H125" s="13">
        <v>17607</v>
      </c>
      <c r="I125" s="13">
        <v>93</v>
      </c>
      <c r="J125" s="13">
        <v>1743013</v>
      </c>
      <c r="K125" s="6">
        <v>35</v>
      </c>
      <c r="L125" s="14">
        <v>2.150537634</v>
      </c>
      <c r="M125" s="14">
        <v>0.56346907499999999</v>
      </c>
      <c r="N125" s="14">
        <v>1.2117614729999999</v>
      </c>
      <c r="O125" s="15">
        <v>227</v>
      </c>
    </row>
    <row r="126" spans="1:15" ht="18">
      <c r="A126" s="13" t="s">
        <v>35</v>
      </c>
      <c r="B126" s="13" t="s">
        <v>34</v>
      </c>
      <c r="C126" s="13">
        <v>1365</v>
      </c>
      <c r="D126" s="13">
        <v>29733</v>
      </c>
      <c r="E126" s="13">
        <v>200</v>
      </c>
      <c r="F126" s="13">
        <v>6329960</v>
      </c>
      <c r="G126" s="13">
        <v>1594</v>
      </c>
      <c r="H126" s="13">
        <v>46281</v>
      </c>
      <c r="I126" s="13">
        <v>83</v>
      </c>
      <c r="J126" s="13">
        <v>4088962</v>
      </c>
      <c r="K126" s="6">
        <v>50</v>
      </c>
      <c r="L126" s="14">
        <v>2.4096385539999998</v>
      </c>
      <c r="M126" s="14">
        <v>0.64244506400000001</v>
      </c>
      <c r="N126" s="14">
        <v>1.5480603630000001</v>
      </c>
      <c r="O126" s="15">
        <v>229</v>
      </c>
    </row>
    <row r="127" spans="1:15" ht="18">
      <c r="A127" s="13" t="s">
        <v>35</v>
      </c>
      <c r="B127" s="13" t="s">
        <v>34</v>
      </c>
      <c r="C127" s="13">
        <v>1365</v>
      </c>
      <c r="D127" s="13">
        <v>44065</v>
      </c>
      <c r="E127" s="13">
        <v>200</v>
      </c>
      <c r="F127" s="13">
        <v>9381148</v>
      </c>
      <c r="G127" s="13">
        <v>1590</v>
      </c>
      <c r="H127" s="13">
        <v>61011</v>
      </c>
      <c r="I127" s="13">
        <v>99</v>
      </c>
      <c r="J127" s="13">
        <v>6429476</v>
      </c>
      <c r="K127" s="6">
        <v>50</v>
      </c>
      <c r="L127" s="14">
        <v>2.0202020200000002</v>
      </c>
      <c r="M127" s="14">
        <v>0.72224680799999996</v>
      </c>
      <c r="N127" s="14">
        <v>1.45908438</v>
      </c>
      <c r="O127" s="15">
        <v>225</v>
      </c>
    </row>
    <row r="128" spans="1:15" ht="18">
      <c r="A128" s="13" t="s">
        <v>35</v>
      </c>
      <c r="B128" s="13" t="s">
        <v>34</v>
      </c>
      <c r="C128" s="13">
        <v>1365</v>
      </c>
      <c r="D128" s="13">
        <v>36303</v>
      </c>
      <c r="E128" s="13">
        <v>200</v>
      </c>
      <c r="F128" s="13">
        <v>7728669</v>
      </c>
      <c r="G128" s="13">
        <v>1590</v>
      </c>
      <c r="H128" s="13">
        <v>50097</v>
      </c>
      <c r="I128" s="13">
        <v>99</v>
      </c>
      <c r="J128" s="13">
        <v>5279334</v>
      </c>
      <c r="K128" s="6">
        <v>50</v>
      </c>
      <c r="L128" s="14">
        <v>2.0202020200000002</v>
      </c>
      <c r="M128" s="14">
        <v>0.72465417099999996</v>
      </c>
      <c r="N128" s="14">
        <v>1.4639477249999999</v>
      </c>
      <c r="O128" s="15">
        <v>225</v>
      </c>
    </row>
    <row r="129" spans="1:15" ht="18">
      <c r="A129" s="13" t="s">
        <v>35</v>
      </c>
      <c r="B129" s="13" t="s">
        <v>34</v>
      </c>
      <c r="C129" s="13">
        <v>1365</v>
      </c>
      <c r="D129" s="13">
        <v>63275</v>
      </c>
      <c r="E129" s="13">
        <v>200</v>
      </c>
      <c r="F129" s="13">
        <v>13470830</v>
      </c>
      <c r="G129" s="13">
        <v>1588</v>
      </c>
      <c r="H129" s="13">
        <v>86697</v>
      </c>
      <c r="I129" s="13">
        <v>91</v>
      </c>
      <c r="J129" s="13">
        <v>8398035</v>
      </c>
      <c r="K129" s="6">
        <v>50</v>
      </c>
      <c r="L129" s="14">
        <v>2.1978021980000002</v>
      </c>
      <c r="M129" s="14">
        <v>0.72984070999999995</v>
      </c>
      <c r="N129" s="14">
        <v>1.60404547</v>
      </c>
      <c r="O129" s="15">
        <v>223</v>
      </c>
    </row>
    <row r="130" spans="1:15" ht="18">
      <c r="A130" s="13" t="s">
        <v>35</v>
      </c>
      <c r="B130" s="13" t="s">
        <v>34</v>
      </c>
      <c r="C130" s="13">
        <v>1365</v>
      </c>
      <c r="D130" s="13">
        <v>23593</v>
      </c>
      <c r="E130" s="13">
        <v>200</v>
      </c>
      <c r="F130" s="13">
        <v>5022794</v>
      </c>
      <c r="G130" s="13">
        <v>1590</v>
      </c>
      <c r="H130" s="13">
        <v>34639</v>
      </c>
      <c r="I130" s="13">
        <v>93</v>
      </c>
      <c r="J130" s="13">
        <v>3429103</v>
      </c>
      <c r="K130" s="6">
        <v>50</v>
      </c>
      <c r="L130" s="14">
        <v>2.150537634</v>
      </c>
      <c r="M130" s="14">
        <v>0.681110887</v>
      </c>
      <c r="N130" s="14">
        <v>1.4647544850000001</v>
      </c>
      <c r="O130" s="15">
        <v>225</v>
      </c>
    </row>
    <row r="131" spans="1:15" ht="18">
      <c r="A131" s="13" t="s">
        <v>37</v>
      </c>
      <c r="B131" s="13" t="s">
        <v>32</v>
      </c>
      <c r="C131" s="13">
        <v>1365</v>
      </c>
      <c r="D131" s="13">
        <v>14673</v>
      </c>
      <c r="E131" s="13">
        <v>200</v>
      </c>
      <c r="F131" s="13">
        <v>3123785</v>
      </c>
      <c r="G131" s="13">
        <v>1588</v>
      </c>
      <c r="H131" s="13">
        <v>22707</v>
      </c>
      <c r="I131" s="13">
        <v>109</v>
      </c>
      <c r="J131" s="13">
        <v>2634623</v>
      </c>
      <c r="K131" s="6">
        <v>25</v>
      </c>
      <c r="L131" s="14">
        <v>1.8348623850000001</v>
      </c>
      <c r="M131" s="14">
        <f>D131/H131</f>
        <v>0.64618840005284717</v>
      </c>
      <c r="N131" s="14">
        <v>1.1856667919999999</v>
      </c>
      <c r="O131" s="15">
        <v>223</v>
      </c>
    </row>
    <row r="132" spans="1:15" ht="18">
      <c r="A132" s="13" t="s">
        <v>37</v>
      </c>
      <c r="B132" s="13" t="s">
        <v>32</v>
      </c>
      <c r="C132" s="13">
        <v>1365</v>
      </c>
      <c r="D132" s="13">
        <v>26957</v>
      </c>
      <c r="E132" s="13">
        <v>200</v>
      </c>
      <c r="F132" s="13">
        <v>5738968</v>
      </c>
      <c r="G132" s="13">
        <v>1584</v>
      </c>
      <c r="H132" s="13">
        <v>40151</v>
      </c>
      <c r="I132" s="13">
        <v>117</v>
      </c>
      <c r="J132" s="13">
        <v>5000512</v>
      </c>
      <c r="K132" s="6">
        <v>25</v>
      </c>
      <c r="L132" s="14">
        <v>1.709401709</v>
      </c>
      <c r="M132" s="14">
        <f>D132/H132</f>
        <v>0.67139050085925633</v>
      </c>
      <c r="N132" s="14">
        <v>1.1476760779999999</v>
      </c>
      <c r="O132" s="15">
        <v>219</v>
      </c>
    </row>
    <row r="133" spans="1:15" ht="18">
      <c r="A133" s="13" t="s">
        <v>37</v>
      </c>
      <c r="B133" s="13" t="s">
        <v>32</v>
      </c>
      <c r="C133" s="13">
        <v>1365</v>
      </c>
      <c r="D133" s="13">
        <v>21399</v>
      </c>
      <c r="E133" s="13">
        <v>200</v>
      </c>
      <c r="F133" s="13">
        <v>4555706</v>
      </c>
      <c r="G133" s="13">
        <v>1586</v>
      </c>
      <c r="H133" s="13">
        <v>32359</v>
      </c>
      <c r="I133" s="13">
        <v>119</v>
      </c>
      <c r="J133" s="13">
        <v>4098966</v>
      </c>
      <c r="K133" s="6">
        <v>25</v>
      </c>
      <c r="L133" s="14">
        <v>1.680672269</v>
      </c>
      <c r="M133" s="14">
        <f>D133/H133</f>
        <v>0.66129979294786612</v>
      </c>
      <c r="N133" s="14">
        <v>1.1114281020000001</v>
      </c>
      <c r="O133" s="15">
        <v>221</v>
      </c>
    </row>
    <row r="134" spans="1:15" ht="18">
      <c r="A134" s="13" t="s">
        <v>37</v>
      </c>
      <c r="B134" s="13" t="s">
        <v>32</v>
      </c>
      <c r="C134" s="13">
        <v>1367</v>
      </c>
      <c r="D134" s="13">
        <v>21707</v>
      </c>
      <c r="E134" s="13">
        <v>200</v>
      </c>
      <c r="F134" s="13">
        <v>4621277</v>
      </c>
      <c r="G134" s="13">
        <v>1586</v>
      </c>
      <c r="H134" s="13">
        <v>33441</v>
      </c>
      <c r="I134" s="13">
        <v>117</v>
      </c>
      <c r="J134" s="13">
        <v>4164831</v>
      </c>
      <c r="K134" s="6">
        <v>25</v>
      </c>
      <c r="L134" s="14">
        <v>1.709401709</v>
      </c>
      <c r="M134" s="14">
        <f>D134/H134</f>
        <v>0.64911336383481355</v>
      </c>
      <c r="N134" s="14">
        <v>1.109595323</v>
      </c>
      <c r="O134" s="15">
        <v>219</v>
      </c>
    </row>
    <row r="135" spans="1:15" ht="18">
      <c r="A135" s="13" t="s">
        <v>37</v>
      </c>
      <c r="B135" s="13" t="s">
        <v>32</v>
      </c>
      <c r="C135" s="16">
        <v>1365.5</v>
      </c>
      <c r="D135" s="13">
        <v>21184</v>
      </c>
      <c r="E135" s="13">
        <v>200</v>
      </c>
      <c r="F135" s="13">
        <v>4509934</v>
      </c>
      <c r="G135" s="13">
        <v>1586</v>
      </c>
      <c r="H135" s="16">
        <v>32164.5</v>
      </c>
      <c r="I135" s="16">
        <v>115.5</v>
      </c>
      <c r="J135" s="13">
        <f t="shared" ref="J135" si="1">AVERAGE(J131:J134)</f>
        <v>3974733</v>
      </c>
      <c r="K135" s="6">
        <v>25</v>
      </c>
      <c r="L135" s="14">
        <v>1.7335845179999998</v>
      </c>
      <c r="M135" s="14">
        <v>0.65861431080850008</v>
      </c>
      <c r="N135" s="14">
        <v>1.1385915737500001</v>
      </c>
      <c r="O135" s="17">
        <v>220.5</v>
      </c>
    </row>
    <row r="136" spans="1:15" ht="18">
      <c r="A136" s="13" t="s">
        <v>37</v>
      </c>
      <c r="B136" s="13" t="s">
        <v>33</v>
      </c>
      <c r="C136" s="13">
        <v>1365</v>
      </c>
      <c r="D136" s="13">
        <v>24641</v>
      </c>
      <c r="E136" s="13">
        <v>200</v>
      </c>
      <c r="F136" s="13">
        <v>5245906</v>
      </c>
      <c r="G136" s="13">
        <v>1590</v>
      </c>
      <c r="H136" s="13">
        <v>39293</v>
      </c>
      <c r="I136" s="13">
        <v>101</v>
      </c>
      <c r="J136" s="13">
        <v>4224436</v>
      </c>
      <c r="K136" s="6">
        <v>35</v>
      </c>
      <c r="L136" s="14">
        <v>1.98019802</v>
      </c>
      <c r="M136" s="14">
        <f t="shared" ref="M136:M145" si="2">D136/H136</f>
        <v>0.62710915430229308</v>
      </c>
      <c r="N136" s="14">
        <v>1.2418003259999999</v>
      </c>
      <c r="O136" s="15">
        <v>225</v>
      </c>
    </row>
    <row r="137" spans="1:15" ht="18">
      <c r="A137" s="13" t="s">
        <v>37</v>
      </c>
      <c r="B137" s="13" t="s">
        <v>33</v>
      </c>
      <c r="C137" s="13">
        <v>1367</v>
      </c>
      <c r="D137" s="13">
        <v>25029</v>
      </c>
      <c r="E137" s="13">
        <v>200</v>
      </c>
      <c r="F137" s="13">
        <v>5328509</v>
      </c>
      <c r="G137" s="13">
        <v>1588</v>
      </c>
      <c r="H137" s="13">
        <v>37575</v>
      </c>
      <c r="I137" s="13">
        <v>111</v>
      </c>
      <c r="J137" s="13">
        <v>4439706</v>
      </c>
      <c r="K137" s="6">
        <v>35</v>
      </c>
      <c r="L137" s="14">
        <v>1.801801802</v>
      </c>
      <c r="M137" s="14">
        <f t="shared" si="2"/>
        <v>0.66610778443113772</v>
      </c>
      <c r="N137" s="14">
        <v>1.2001941119999999</v>
      </c>
      <c r="O137" s="15">
        <v>221</v>
      </c>
    </row>
    <row r="138" spans="1:15" ht="18">
      <c r="A138" s="13" t="s">
        <v>37</v>
      </c>
      <c r="B138" s="13" t="s">
        <v>33</v>
      </c>
      <c r="C138" s="13">
        <v>1365</v>
      </c>
      <c r="D138" s="13">
        <v>32811</v>
      </c>
      <c r="E138" s="13">
        <v>200</v>
      </c>
      <c r="F138" s="13">
        <v>6985246</v>
      </c>
      <c r="G138" s="13">
        <v>1590</v>
      </c>
      <c r="H138" s="13">
        <v>52105</v>
      </c>
      <c r="I138" s="13">
        <v>101</v>
      </c>
      <c r="J138" s="13">
        <v>5601870</v>
      </c>
      <c r="K138" s="6">
        <v>35</v>
      </c>
      <c r="L138" s="14">
        <v>1.98019802</v>
      </c>
      <c r="M138" s="14">
        <f t="shared" si="2"/>
        <v>0.62970924095576242</v>
      </c>
      <c r="N138" s="14">
        <v>1.2469489650000001</v>
      </c>
      <c r="O138" s="15">
        <v>225</v>
      </c>
    </row>
    <row r="139" spans="1:15" ht="18">
      <c r="A139" s="13" t="s">
        <v>37</v>
      </c>
      <c r="B139" s="13" t="s">
        <v>33</v>
      </c>
      <c r="C139" s="13">
        <v>1365</v>
      </c>
      <c r="D139" s="13">
        <v>40659</v>
      </c>
      <c r="E139" s="13">
        <v>200</v>
      </c>
      <c r="F139" s="13">
        <v>8656033</v>
      </c>
      <c r="G139" s="13">
        <v>1586</v>
      </c>
      <c r="H139" s="13">
        <v>61621</v>
      </c>
      <c r="I139" s="13">
        <v>109</v>
      </c>
      <c r="J139" s="13">
        <v>7149694</v>
      </c>
      <c r="K139" s="6">
        <v>35</v>
      </c>
      <c r="L139" s="14">
        <v>1.8348623850000001</v>
      </c>
      <c r="M139" s="14">
        <f t="shared" si="2"/>
        <v>0.65982376138004906</v>
      </c>
      <c r="N139" s="14">
        <v>1.2106858</v>
      </c>
      <c r="O139" s="15">
        <v>221</v>
      </c>
    </row>
    <row r="140" spans="1:15" ht="18">
      <c r="A140" s="13" t="s">
        <v>37</v>
      </c>
      <c r="B140" s="13" t="s">
        <v>33</v>
      </c>
      <c r="C140" s="13">
        <v>1365</v>
      </c>
      <c r="D140" s="13">
        <v>26597</v>
      </c>
      <c r="E140" s="13">
        <v>200</v>
      </c>
      <c r="F140" s="13">
        <v>5662326</v>
      </c>
      <c r="G140" s="13">
        <v>1586</v>
      </c>
      <c r="H140" s="13">
        <v>39921</v>
      </c>
      <c r="I140" s="13">
        <v>111</v>
      </c>
      <c r="J140" s="13">
        <v>4716899</v>
      </c>
      <c r="K140" s="6">
        <v>35</v>
      </c>
      <c r="L140" s="14">
        <v>1.801801802</v>
      </c>
      <c r="M140" s="14">
        <f t="shared" si="2"/>
        <v>0.66624082563062048</v>
      </c>
      <c r="N140" s="14">
        <v>1.200434014</v>
      </c>
      <c r="O140" s="15">
        <v>221</v>
      </c>
    </row>
    <row r="141" spans="1:15" ht="18">
      <c r="A141" s="13" t="s">
        <v>37</v>
      </c>
      <c r="B141" s="13" t="s">
        <v>34</v>
      </c>
      <c r="C141" s="13">
        <v>1367</v>
      </c>
      <c r="D141" s="13">
        <v>16463</v>
      </c>
      <c r="E141" s="13">
        <v>200</v>
      </c>
      <c r="F141" s="13">
        <v>3504864</v>
      </c>
      <c r="G141" s="13">
        <v>1584</v>
      </c>
      <c r="H141" s="13">
        <v>27095</v>
      </c>
      <c r="I141" s="13">
        <v>115</v>
      </c>
      <c r="J141" s="13">
        <v>3316799</v>
      </c>
      <c r="K141" s="6">
        <v>50</v>
      </c>
      <c r="L141" s="14">
        <v>1.7391304350000001</v>
      </c>
      <c r="M141" s="14">
        <f t="shared" si="2"/>
        <v>0.60760287875991881</v>
      </c>
      <c r="N141" s="14">
        <v>1.0567007530000001</v>
      </c>
      <c r="O141" s="15">
        <v>217</v>
      </c>
    </row>
    <row r="142" spans="1:15" ht="18">
      <c r="A142" s="13" t="s">
        <v>37</v>
      </c>
      <c r="B142" s="13" t="s">
        <v>34</v>
      </c>
      <c r="C142" s="13">
        <v>1367</v>
      </c>
      <c r="D142" s="13">
        <v>14343</v>
      </c>
      <c r="E142" s="13">
        <v>200</v>
      </c>
      <c r="F142" s="13">
        <v>3053530</v>
      </c>
      <c r="G142" s="13">
        <v>1584</v>
      </c>
      <c r="H142" s="13">
        <v>25167</v>
      </c>
      <c r="I142" s="13">
        <v>113</v>
      </c>
      <c r="J142" s="13">
        <v>3027207</v>
      </c>
      <c r="K142" s="6">
        <v>50</v>
      </c>
      <c r="L142" s="14">
        <v>1.769911504</v>
      </c>
      <c r="M142" s="14">
        <f t="shared" si="2"/>
        <v>0.56991298128501611</v>
      </c>
      <c r="N142" s="14">
        <v>1.008695474</v>
      </c>
      <c r="O142" s="15">
        <v>217</v>
      </c>
    </row>
    <row r="143" spans="1:15" ht="18">
      <c r="A143" s="13" t="s">
        <v>37</v>
      </c>
      <c r="B143" s="13" t="s">
        <v>30</v>
      </c>
      <c r="C143" s="13">
        <v>1369</v>
      </c>
      <c r="D143" s="13">
        <v>18521</v>
      </c>
      <c r="E143" s="13">
        <v>148</v>
      </c>
      <c r="F143" s="13">
        <v>2917819</v>
      </c>
      <c r="G143" s="13">
        <v>1592</v>
      </c>
      <c r="H143" s="13">
        <v>57567</v>
      </c>
      <c r="I143" s="13">
        <v>83</v>
      </c>
      <c r="J143" s="13">
        <v>5086088</v>
      </c>
      <c r="K143" s="6">
        <v>50</v>
      </c>
      <c r="L143" s="14">
        <v>1.78313253</v>
      </c>
      <c r="M143" s="14">
        <f t="shared" si="2"/>
        <v>0.32172946306043393</v>
      </c>
      <c r="N143" s="14">
        <v>0.57368629900000001</v>
      </c>
      <c r="O143" s="15">
        <v>223</v>
      </c>
    </row>
    <row r="144" spans="1:15" ht="18">
      <c r="A144" s="13" t="s">
        <v>37</v>
      </c>
      <c r="B144" s="13" t="s">
        <v>34</v>
      </c>
      <c r="C144" s="13">
        <v>1365</v>
      </c>
      <c r="D144" s="13">
        <v>12067</v>
      </c>
      <c r="E144" s="13">
        <v>200</v>
      </c>
      <c r="F144" s="13">
        <v>2568985</v>
      </c>
      <c r="G144" s="13">
        <v>1584</v>
      </c>
      <c r="H144" s="13">
        <v>24669</v>
      </c>
      <c r="I144" s="13">
        <v>99</v>
      </c>
      <c r="J144" s="13">
        <v>2599674</v>
      </c>
      <c r="K144" s="6">
        <v>50</v>
      </c>
      <c r="L144" s="14">
        <v>2.0202020200000002</v>
      </c>
      <c r="M144" s="14">
        <f t="shared" si="2"/>
        <v>0.4891564311484049</v>
      </c>
      <c r="N144" s="14">
        <v>0.98819505799999996</v>
      </c>
      <c r="O144" s="15">
        <v>219</v>
      </c>
    </row>
    <row r="145" spans="1:15" ht="18">
      <c r="A145" s="13" t="s">
        <v>37</v>
      </c>
      <c r="B145" s="13" t="s">
        <v>34</v>
      </c>
      <c r="C145" s="13">
        <v>1367</v>
      </c>
      <c r="D145" s="13">
        <v>16701</v>
      </c>
      <c r="E145" s="13">
        <v>200</v>
      </c>
      <c r="F145" s="13">
        <v>3555533</v>
      </c>
      <c r="G145" s="13">
        <v>1584</v>
      </c>
      <c r="H145" s="13">
        <v>27431</v>
      </c>
      <c r="I145" s="13">
        <v>115</v>
      </c>
      <c r="J145" s="13">
        <v>3357930</v>
      </c>
      <c r="K145" s="6">
        <v>50</v>
      </c>
      <c r="L145" s="14">
        <v>1.7391304350000001</v>
      </c>
      <c r="M145" s="14">
        <f t="shared" si="2"/>
        <v>0.6088367175822974</v>
      </c>
      <c r="N145" s="14">
        <v>1.0588466700000001</v>
      </c>
      <c r="O145" s="15">
        <v>217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1C8EEF-58CF-A449-9F2D-A7781735C2C9}">
  <dimension ref="A1:F145"/>
  <sheetViews>
    <sheetView topLeftCell="A106" zoomScale="93" zoomScaleNormal="93" workbookViewId="0">
      <selection activeCell="B111" sqref="B111:B145"/>
    </sheetView>
  </sheetViews>
  <sheetFormatPr defaultColWidth="11.453125" defaultRowHeight="15.5"/>
  <cols>
    <col min="1" max="1" width="13.81640625" style="19" bestFit="1" customWidth="1"/>
    <col min="2" max="2" width="18.81640625" style="19" bestFit="1" customWidth="1"/>
    <col min="3" max="5" width="10.81640625" style="19"/>
    <col min="6" max="6" width="12.453125" style="19" bestFit="1" customWidth="1"/>
  </cols>
  <sheetData>
    <row r="1" spans="1:6">
      <c r="A1" s="19" t="s">
        <v>1</v>
      </c>
      <c r="B1" s="19" t="s">
        <v>10</v>
      </c>
      <c r="C1" s="19" t="s">
        <v>11</v>
      </c>
      <c r="D1" s="19" t="s">
        <v>12</v>
      </c>
      <c r="E1" s="19" t="s">
        <v>13</v>
      </c>
      <c r="F1" s="20" t="s">
        <v>0</v>
      </c>
    </row>
    <row r="2" spans="1:6">
      <c r="A2" s="19" t="s">
        <v>38</v>
      </c>
      <c r="F2" s="20"/>
    </row>
    <row r="3" spans="1:6">
      <c r="A3" s="21">
        <v>20</v>
      </c>
      <c r="B3" s="22">
        <v>1.6260162600000001</v>
      </c>
      <c r="C3" s="22">
        <v>0.51779783199999996</v>
      </c>
      <c r="D3" s="22">
        <v>0.84194767599999998</v>
      </c>
      <c r="E3" s="21">
        <v>217</v>
      </c>
      <c r="F3" s="19" t="s">
        <v>17</v>
      </c>
    </row>
    <row r="4" spans="1:6">
      <c r="A4" s="21">
        <v>20</v>
      </c>
      <c r="B4" s="22">
        <v>1.5748031499999999</v>
      </c>
      <c r="C4" s="22">
        <v>0.46752300099999999</v>
      </c>
      <c r="D4" s="22">
        <v>0.73625666700000003</v>
      </c>
      <c r="E4" s="21">
        <v>219</v>
      </c>
      <c r="F4" s="19" t="s">
        <v>17</v>
      </c>
    </row>
    <row r="5" spans="1:6">
      <c r="A5" s="21">
        <v>20</v>
      </c>
      <c r="B5" s="22">
        <v>1.8613861389999999</v>
      </c>
      <c r="C5" s="22">
        <v>0.42901716099999998</v>
      </c>
      <c r="D5" s="22">
        <v>0.79856344800000001</v>
      </c>
      <c r="E5" s="21">
        <v>215</v>
      </c>
      <c r="F5" s="19" t="s">
        <v>17</v>
      </c>
    </row>
    <row r="6" spans="1:6">
      <c r="A6" s="21">
        <v>20</v>
      </c>
      <c r="B6" s="22">
        <v>1.680672269</v>
      </c>
      <c r="C6" s="22">
        <v>0.53874906199999995</v>
      </c>
      <c r="D6" s="22">
        <v>0.90546057000000002</v>
      </c>
      <c r="E6" s="21">
        <v>221</v>
      </c>
      <c r="F6" s="19" t="s">
        <v>17</v>
      </c>
    </row>
    <row r="7" spans="1:6">
      <c r="A7" s="21">
        <v>20</v>
      </c>
      <c r="B7" s="22">
        <v>1.709401709</v>
      </c>
      <c r="C7" s="22">
        <v>0.54573990400000005</v>
      </c>
      <c r="D7" s="22">
        <v>0.93288873500000002</v>
      </c>
      <c r="E7" s="21">
        <v>221</v>
      </c>
      <c r="F7" s="19" t="s">
        <v>17</v>
      </c>
    </row>
    <row r="8" spans="1:6">
      <c r="A8" s="21">
        <v>20</v>
      </c>
      <c r="B8" s="22">
        <v>1.5748031499999999</v>
      </c>
      <c r="C8" s="22">
        <v>0.57053365700000003</v>
      </c>
      <c r="D8" s="22">
        <v>0.89847823999999998</v>
      </c>
      <c r="E8" s="21">
        <v>219</v>
      </c>
      <c r="F8" s="19" t="s">
        <v>17</v>
      </c>
    </row>
    <row r="9" spans="1:6">
      <c r="A9" s="21">
        <v>20</v>
      </c>
      <c r="B9" s="22">
        <v>1.4598540149999999</v>
      </c>
      <c r="C9" s="22">
        <v>0.56987079600000001</v>
      </c>
      <c r="D9" s="22">
        <v>0.83192833799999999</v>
      </c>
      <c r="E9" s="21">
        <v>219</v>
      </c>
      <c r="F9" s="19" t="s">
        <v>17</v>
      </c>
    </row>
    <row r="10" spans="1:6">
      <c r="A10" s="21">
        <v>20</v>
      </c>
      <c r="B10" s="22">
        <v>1.5748031499999999</v>
      </c>
      <c r="C10" s="22">
        <v>0.55225785900000002</v>
      </c>
      <c r="D10" s="22">
        <v>0.86969720900000003</v>
      </c>
      <c r="E10" s="21">
        <v>219</v>
      </c>
      <c r="F10" s="19" t="s">
        <v>17</v>
      </c>
    </row>
    <row r="11" spans="1:6">
      <c r="A11" s="21">
        <v>20</v>
      </c>
      <c r="B11" s="22">
        <v>1.4388489209999999</v>
      </c>
      <c r="C11" s="22">
        <v>0.51424303299999996</v>
      </c>
      <c r="D11" s="22">
        <v>0.73991815100000002</v>
      </c>
      <c r="E11" s="21">
        <v>221</v>
      </c>
      <c r="F11" s="19" t="s">
        <v>17</v>
      </c>
    </row>
    <row r="12" spans="1:6">
      <c r="A12" s="21">
        <v>20</v>
      </c>
      <c r="B12" s="22">
        <v>1.5748031499999999</v>
      </c>
      <c r="C12" s="22">
        <v>0.48873892200000002</v>
      </c>
      <c r="D12" s="22">
        <v>0.76966732400000004</v>
      </c>
      <c r="E12" s="21">
        <v>219</v>
      </c>
      <c r="F12" s="19" t="s">
        <v>17</v>
      </c>
    </row>
    <row r="13" spans="1:6">
      <c r="A13" s="21">
        <v>20</v>
      </c>
      <c r="B13" s="22">
        <v>1.4598540149999999</v>
      </c>
      <c r="C13" s="22">
        <v>0.56106354199999997</v>
      </c>
      <c r="D13" s="22">
        <v>0.81907081400000004</v>
      </c>
      <c r="E13" s="21">
        <v>217</v>
      </c>
      <c r="F13" s="19" t="s">
        <v>17</v>
      </c>
    </row>
    <row r="14" spans="1:6">
      <c r="A14" s="21">
        <v>20</v>
      </c>
      <c r="B14" s="22">
        <v>1.4598540149999999</v>
      </c>
      <c r="C14" s="22">
        <v>0.50764628300000003</v>
      </c>
      <c r="D14" s="22">
        <v>0.74108953899999996</v>
      </c>
      <c r="E14" s="21">
        <v>219</v>
      </c>
      <c r="F14" s="19" t="s">
        <v>17</v>
      </c>
    </row>
    <row r="15" spans="1:6">
      <c r="A15" s="21">
        <v>20</v>
      </c>
      <c r="B15" s="22">
        <v>1.360544218</v>
      </c>
      <c r="C15" s="22">
        <v>0.53339115400000003</v>
      </c>
      <c r="D15" s="22">
        <v>0.72570220200000002</v>
      </c>
      <c r="E15" s="21">
        <v>219</v>
      </c>
      <c r="F15" s="19" t="s">
        <v>17</v>
      </c>
    </row>
    <row r="16" spans="1:6">
      <c r="A16" s="21">
        <v>20</v>
      </c>
      <c r="B16" s="22">
        <v>1.445544554</v>
      </c>
      <c r="C16" s="22">
        <v>0.17008802100000001</v>
      </c>
      <c r="D16" s="22">
        <v>0.24586986</v>
      </c>
      <c r="E16" s="21">
        <v>215</v>
      </c>
      <c r="F16" s="19" t="s">
        <v>17</v>
      </c>
    </row>
    <row r="17" spans="1:6">
      <c r="A17" s="21">
        <v>20</v>
      </c>
      <c r="B17" s="22">
        <v>1.4018691590000001</v>
      </c>
      <c r="C17" s="22">
        <v>0.19756443400000001</v>
      </c>
      <c r="D17" s="22">
        <v>0.27695941800000001</v>
      </c>
      <c r="E17" s="21">
        <v>217</v>
      </c>
      <c r="F17" s="19" t="s">
        <v>17</v>
      </c>
    </row>
    <row r="18" spans="1:6">
      <c r="A18" s="21">
        <v>20</v>
      </c>
      <c r="B18" s="22">
        <v>1.405940594</v>
      </c>
      <c r="C18" s="22">
        <v>0.156235338</v>
      </c>
      <c r="D18" s="22">
        <v>0.219657568</v>
      </c>
      <c r="E18" s="21">
        <v>221</v>
      </c>
      <c r="F18" s="19" t="s">
        <v>17</v>
      </c>
    </row>
    <row r="19" spans="1:6">
      <c r="A19" s="21">
        <v>20</v>
      </c>
      <c r="B19" s="22">
        <v>1.3333333329999999</v>
      </c>
      <c r="C19" s="22">
        <v>0.17883037800000001</v>
      </c>
      <c r="D19" s="22">
        <v>0.23844047700000001</v>
      </c>
      <c r="E19" s="21">
        <v>215</v>
      </c>
      <c r="F19" s="19" t="s">
        <v>17</v>
      </c>
    </row>
    <row r="20" spans="1:6">
      <c r="A20" s="21">
        <v>25</v>
      </c>
      <c r="B20" s="22">
        <v>1.941747573</v>
      </c>
      <c r="C20" s="22">
        <v>0.71334576199999999</v>
      </c>
      <c r="D20" s="22">
        <v>1.3851376129999999</v>
      </c>
      <c r="E20" s="21">
        <v>225</v>
      </c>
      <c r="F20" s="19" t="s">
        <v>17</v>
      </c>
    </row>
    <row r="21" spans="1:6">
      <c r="A21" s="21">
        <v>25</v>
      </c>
      <c r="B21" s="22">
        <v>1.680672269</v>
      </c>
      <c r="C21" s="22">
        <v>0.52777870199999999</v>
      </c>
      <c r="D21" s="22">
        <v>0.88702300300000003</v>
      </c>
      <c r="E21" s="21">
        <v>221</v>
      </c>
      <c r="F21" s="19" t="s">
        <v>17</v>
      </c>
    </row>
    <row r="22" spans="1:6">
      <c r="A22" s="21">
        <v>25</v>
      </c>
      <c r="B22" s="22">
        <v>1.680672269</v>
      </c>
      <c r="C22" s="22">
        <v>0.69843337400000005</v>
      </c>
      <c r="D22" s="22">
        <v>1.173837569</v>
      </c>
      <c r="E22" s="21">
        <v>219</v>
      </c>
      <c r="F22" s="19" t="s">
        <v>17</v>
      </c>
    </row>
    <row r="23" spans="1:6">
      <c r="A23" s="21">
        <v>25</v>
      </c>
      <c r="B23" s="22">
        <v>1.769911504</v>
      </c>
      <c r="C23" s="22">
        <v>0.73097008200000002</v>
      </c>
      <c r="D23" s="22">
        <v>1.2937523390000001</v>
      </c>
      <c r="E23" s="21">
        <v>227</v>
      </c>
      <c r="F23" s="19" t="s">
        <v>17</v>
      </c>
    </row>
    <row r="24" spans="1:6">
      <c r="A24" s="21">
        <v>25</v>
      </c>
      <c r="B24" s="22">
        <v>1.769911504</v>
      </c>
      <c r="C24" s="22">
        <v>0.72598475100000004</v>
      </c>
      <c r="D24" s="22">
        <v>1.2849287389999999</v>
      </c>
      <c r="E24" s="21">
        <v>225</v>
      </c>
      <c r="F24" s="19" t="s">
        <v>17</v>
      </c>
    </row>
    <row r="25" spans="1:6">
      <c r="A25" s="21">
        <v>25</v>
      </c>
      <c r="B25" s="22">
        <v>1.769911504</v>
      </c>
      <c r="C25" s="22">
        <v>0.73454623600000002</v>
      </c>
      <c r="D25" s="22">
        <v>1.3000819589999999</v>
      </c>
      <c r="E25" s="21">
        <v>223</v>
      </c>
      <c r="F25" s="19" t="s">
        <v>17</v>
      </c>
    </row>
    <row r="26" spans="1:6">
      <c r="A26" s="21">
        <v>25</v>
      </c>
      <c r="B26" s="22">
        <v>1.769911504</v>
      </c>
      <c r="C26" s="22">
        <v>0.73454623600000002</v>
      </c>
      <c r="D26" s="22">
        <v>1.3000819589999999</v>
      </c>
      <c r="E26" s="21">
        <v>223</v>
      </c>
      <c r="F26" s="19" t="s">
        <v>17</v>
      </c>
    </row>
    <row r="27" spans="1:6">
      <c r="A27" s="21">
        <v>25</v>
      </c>
      <c r="B27" s="22">
        <v>1.769911504</v>
      </c>
      <c r="C27" s="22">
        <v>0.72092707700000003</v>
      </c>
      <c r="D27" s="22">
        <v>1.275977264</v>
      </c>
      <c r="E27" s="21">
        <v>225</v>
      </c>
      <c r="F27" s="19" t="s">
        <v>17</v>
      </c>
    </row>
    <row r="28" spans="1:6">
      <c r="A28" s="21">
        <v>25</v>
      </c>
      <c r="B28" s="22">
        <v>1.769911504</v>
      </c>
      <c r="C28" s="22">
        <v>0.72712802600000004</v>
      </c>
      <c r="D28" s="22">
        <v>1.286952364</v>
      </c>
      <c r="E28" s="21">
        <v>223</v>
      </c>
      <c r="F28" s="19" t="s">
        <v>17</v>
      </c>
    </row>
    <row r="29" spans="1:6">
      <c r="A29" s="21">
        <v>25</v>
      </c>
      <c r="B29" s="22">
        <v>1.769911504</v>
      </c>
      <c r="C29" s="22">
        <v>0.73770491800000004</v>
      </c>
      <c r="D29" s="22">
        <v>1.3056724909999999</v>
      </c>
      <c r="E29" s="21">
        <v>221</v>
      </c>
      <c r="F29" s="19" t="s">
        <v>17</v>
      </c>
    </row>
    <row r="30" spans="1:6">
      <c r="A30" s="21">
        <v>25</v>
      </c>
      <c r="B30" s="22">
        <v>1.769911504</v>
      </c>
      <c r="C30" s="22">
        <v>0.733303178</v>
      </c>
      <c r="D30" s="22">
        <v>1.2978818219999999</v>
      </c>
      <c r="E30" s="21">
        <v>225</v>
      </c>
      <c r="F30" s="19" t="s">
        <v>17</v>
      </c>
    </row>
    <row r="31" spans="1:6">
      <c r="A31" s="21">
        <v>25</v>
      </c>
      <c r="B31" s="22">
        <v>1.769911504</v>
      </c>
      <c r="C31" s="22">
        <v>0.73854846399999996</v>
      </c>
      <c r="D31" s="22">
        <v>1.30716532</v>
      </c>
      <c r="E31" s="21">
        <v>223</v>
      </c>
      <c r="F31" s="19" t="s">
        <v>17</v>
      </c>
    </row>
    <row r="32" spans="1:6">
      <c r="A32" s="21">
        <v>25</v>
      </c>
      <c r="B32" s="22">
        <v>1.801801802</v>
      </c>
      <c r="C32" s="22">
        <v>0.73790028500000004</v>
      </c>
      <c r="D32" s="22">
        <v>1.329550075</v>
      </c>
      <c r="E32" s="21">
        <v>221</v>
      </c>
      <c r="F32" s="19" t="s">
        <v>17</v>
      </c>
    </row>
    <row r="33" spans="1:6">
      <c r="A33" s="21">
        <v>25</v>
      </c>
      <c r="B33" s="22">
        <v>1.801801802</v>
      </c>
      <c r="C33" s="22">
        <v>0.72417115600000004</v>
      </c>
      <c r="D33" s="22">
        <v>1.3048132370000001</v>
      </c>
      <c r="E33" s="21">
        <v>227</v>
      </c>
      <c r="F33" s="19" t="s">
        <v>17</v>
      </c>
    </row>
    <row r="34" spans="1:6">
      <c r="A34" s="21">
        <v>25</v>
      </c>
      <c r="B34" s="22">
        <v>1.8348623850000001</v>
      </c>
      <c r="C34" s="22">
        <v>0.75613380299999999</v>
      </c>
      <c r="D34" s="22">
        <v>1.387401536</v>
      </c>
      <c r="E34" s="21">
        <v>223</v>
      </c>
      <c r="F34" s="19" t="s">
        <v>17</v>
      </c>
    </row>
    <row r="35" spans="1:6">
      <c r="A35" s="21">
        <v>25</v>
      </c>
      <c r="B35" s="22">
        <v>1.801801802</v>
      </c>
      <c r="C35" s="22">
        <v>0.73148521600000005</v>
      </c>
      <c r="D35" s="22">
        <v>1.3179913910000001</v>
      </c>
      <c r="E35" s="21">
        <v>221</v>
      </c>
      <c r="F35" s="19" t="s">
        <v>17</v>
      </c>
    </row>
    <row r="36" spans="1:6">
      <c r="A36" s="21">
        <v>25</v>
      </c>
      <c r="B36" s="22">
        <v>1.98019802</v>
      </c>
      <c r="C36" s="22">
        <v>0.695633316</v>
      </c>
      <c r="D36" s="22">
        <v>1.3774918110000001</v>
      </c>
      <c r="E36" s="21">
        <v>223</v>
      </c>
      <c r="F36" s="19" t="s">
        <v>17</v>
      </c>
    </row>
    <row r="37" spans="1:6">
      <c r="A37" s="21">
        <v>25</v>
      </c>
      <c r="B37" s="22">
        <v>1.680672269</v>
      </c>
      <c r="C37" s="22">
        <v>0.55243503699999996</v>
      </c>
      <c r="D37" s="22">
        <v>0.92846214400000004</v>
      </c>
      <c r="E37" s="21">
        <v>223</v>
      </c>
      <c r="F37" s="19" t="s">
        <v>17</v>
      </c>
    </row>
    <row r="38" spans="1:6">
      <c r="A38" s="21">
        <v>25</v>
      </c>
      <c r="B38" s="22">
        <v>1.680672269</v>
      </c>
      <c r="C38" s="22">
        <v>0.60050605300000004</v>
      </c>
      <c r="D38" s="22">
        <v>1.0092538639999999</v>
      </c>
      <c r="E38" s="21">
        <v>221</v>
      </c>
      <c r="F38" s="19" t="s">
        <v>17</v>
      </c>
    </row>
    <row r="39" spans="1:6">
      <c r="A39" s="21">
        <v>25</v>
      </c>
      <c r="B39" s="22">
        <v>1.709401709</v>
      </c>
      <c r="C39" s="22">
        <v>0.68848210499999996</v>
      </c>
      <c r="D39" s="22">
        <v>1.176892625</v>
      </c>
      <c r="E39" s="21">
        <v>219</v>
      </c>
      <c r="F39" s="19" t="s">
        <v>17</v>
      </c>
    </row>
    <row r="40" spans="1:6">
      <c r="A40" s="21">
        <v>25</v>
      </c>
      <c r="B40" s="22">
        <v>1.5748031499999999</v>
      </c>
      <c r="C40" s="22">
        <v>0.68231720600000001</v>
      </c>
      <c r="D40" s="22">
        <v>1.0745153839999999</v>
      </c>
      <c r="E40" s="21">
        <v>219</v>
      </c>
      <c r="F40" s="19" t="s">
        <v>17</v>
      </c>
    </row>
    <row r="41" spans="1:6">
      <c r="A41" s="21">
        <v>25</v>
      </c>
      <c r="B41" s="22">
        <v>1.801801802</v>
      </c>
      <c r="C41" s="22">
        <v>0.74576722284778385</v>
      </c>
      <c r="D41" s="22">
        <v>1.3437247130000001</v>
      </c>
      <c r="E41" s="21">
        <v>223</v>
      </c>
      <c r="F41" s="19" t="s">
        <v>31</v>
      </c>
    </row>
    <row r="42" spans="1:6">
      <c r="A42" s="21">
        <v>25</v>
      </c>
      <c r="B42" s="22">
        <v>1.8348623850000001</v>
      </c>
      <c r="C42" s="22">
        <v>0.76487365437122834</v>
      </c>
      <c r="D42" s="22">
        <v>1.4034379429999999</v>
      </c>
      <c r="E42" s="21">
        <v>223</v>
      </c>
      <c r="F42" s="19" t="s">
        <v>31</v>
      </c>
    </row>
    <row r="43" spans="1:6">
      <c r="A43" s="21">
        <v>25</v>
      </c>
      <c r="B43" s="22">
        <v>1.8348623850000001</v>
      </c>
      <c r="C43" s="22">
        <v>0.78694398793005904</v>
      </c>
      <c r="D43" s="22">
        <v>1.4439339330000001</v>
      </c>
      <c r="E43" s="21">
        <v>221</v>
      </c>
      <c r="F43" s="19" t="s">
        <v>31</v>
      </c>
    </row>
    <row r="44" spans="1:6">
      <c r="A44" s="21">
        <v>25</v>
      </c>
      <c r="B44" s="22">
        <v>1.98019802</v>
      </c>
      <c r="C44" s="22">
        <v>0.76402825575076982</v>
      </c>
      <c r="D44" s="22">
        <v>1.512927221</v>
      </c>
      <c r="E44" s="21">
        <v>225</v>
      </c>
      <c r="F44" s="19" t="s">
        <v>31</v>
      </c>
    </row>
    <row r="45" spans="1:6">
      <c r="A45" s="21">
        <v>25</v>
      </c>
      <c r="B45" s="22">
        <v>1.8629311479999999</v>
      </c>
      <c r="C45" s="22">
        <v>0.76407042813384152</v>
      </c>
      <c r="D45" s="22">
        <v>1.4260059525</v>
      </c>
      <c r="E45" s="21">
        <v>223</v>
      </c>
      <c r="F45" s="19" t="s">
        <v>31</v>
      </c>
    </row>
    <row r="46" spans="1:6">
      <c r="A46" s="21">
        <v>25</v>
      </c>
      <c r="B46" s="22">
        <v>1.680672269</v>
      </c>
      <c r="C46" s="22">
        <v>0.69329423800000001</v>
      </c>
      <c r="D46" s="22">
        <v>1.1652004069999999</v>
      </c>
      <c r="E46" s="21">
        <v>219</v>
      </c>
      <c r="F46" s="19" t="s">
        <v>35</v>
      </c>
    </row>
    <row r="47" spans="1:6">
      <c r="A47" s="21">
        <v>25</v>
      </c>
      <c r="B47" s="22">
        <v>1.680672269</v>
      </c>
      <c r="C47" s="22">
        <v>0.69002488500000003</v>
      </c>
      <c r="D47" s="22">
        <v>1.159705741</v>
      </c>
      <c r="E47" s="21">
        <v>221</v>
      </c>
      <c r="F47" s="19" t="s">
        <v>35</v>
      </c>
    </row>
    <row r="48" spans="1:6">
      <c r="A48" s="21">
        <v>25</v>
      </c>
      <c r="B48" s="22">
        <v>1.6528925619999999</v>
      </c>
      <c r="C48" s="22">
        <v>0.68533776499999999</v>
      </c>
      <c r="D48" s="22">
        <v>1.132789815</v>
      </c>
      <c r="E48" s="21">
        <v>221</v>
      </c>
      <c r="F48" s="19" t="s">
        <v>35</v>
      </c>
    </row>
    <row r="49" spans="1:6">
      <c r="A49" s="21">
        <v>25</v>
      </c>
      <c r="B49" s="22">
        <v>1.680672269</v>
      </c>
      <c r="C49" s="22">
        <v>0.68110247400000001</v>
      </c>
      <c r="D49" s="22">
        <v>1.144710117</v>
      </c>
      <c r="E49" s="21">
        <v>221</v>
      </c>
      <c r="F49" s="19" t="s">
        <v>35</v>
      </c>
    </row>
    <row r="50" spans="1:6">
      <c r="A50" s="21">
        <v>25</v>
      </c>
      <c r="B50" s="22">
        <v>1.680672269</v>
      </c>
      <c r="C50" s="22">
        <v>0.69354122600000001</v>
      </c>
      <c r="D50" s="22">
        <v>1.165615423</v>
      </c>
      <c r="E50" s="21">
        <v>221</v>
      </c>
      <c r="F50" s="19" t="s">
        <v>35</v>
      </c>
    </row>
    <row r="51" spans="1:6">
      <c r="A51" s="21">
        <v>25</v>
      </c>
      <c r="B51" s="22">
        <v>1.8348623850000001</v>
      </c>
      <c r="C51" s="22">
        <v>0.64618840005284717</v>
      </c>
      <c r="D51" s="22">
        <v>1.1856667919999999</v>
      </c>
      <c r="E51" s="21">
        <v>223</v>
      </c>
      <c r="F51" s="19" t="s">
        <v>37</v>
      </c>
    </row>
    <row r="52" spans="1:6">
      <c r="A52" s="21">
        <v>25</v>
      </c>
      <c r="B52" s="22">
        <v>1.709401709</v>
      </c>
      <c r="C52" s="22">
        <v>0.67139050085925633</v>
      </c>
      <c r="D52" s="22">
        <v>1.1476760779999999</v>
      </c>
      <c r="E52" s="21">
        <v>219</v>
      </c>
      <c r="F52" s="19" t="s">
        <v>37</v>
      </c>
    </row>
    <row r="53" spans="1:6">
      <c r="A53" s="21">
        <v>25</v>
      </c>
      <c r="B53" s="22">
        <v>1.680672269</v>
      </c>
      <c r="C53" s="22">
        <v>0.66129979294786612</v>
      </c>
      <c r="D53" s="22">
        <v>1.1114281020000001</v>
      </c>
      <c r="E53" s="21">
        <v>221</v>
      </c>
      <c r="F53" s="19" t="s">
        <v>37</v>
      </c>
    </row>
    <row r="54" spans="1:6">
      <c r="A54" s="21">
        <v>25</v>
      </c>
      <c r="B54" s="22">
        <v>1.709401709</v>
      </c>
      <c r="C54" s="22">
        <v>0.64911336383481355</v>
      </c>
      <c r="D54" s="22">
        <v>1.109595323</v>
      </c>
      <c r="E54" s="21">
        <v>219</v>
      </c>
      <c r="F54" s="19" t="s">
        <v>37</v>
      </c>
    </row>
    <row r="55" spans="1:6">
      <c r="A55" s="21">
        <v>25</v>
      </c>
      <c r="B55" s="22">
        <v>1.7335845179999998</v>
      </c>
      <c r="C55" s="22">
        <v>0.65861431080850008</v>
      </c>
      <c r="D55" s="22">
        <v>1.1385915737500001</v>
      </c>
      <c r="E55" s="21">
        <v>220.5</v>
      </c>
      <c r="F55" s="19" t="s">
        <v>37</v>
      </c>
    </row>
    <row r="56" spans="1:6">
      <c r="A56" s="21">
        <v>30</v>
      </c>
      <c r="B56" s="22">
        <v>1.941747573</v>
      </c>
      <c r="C56" s="22">
        <v>0.616984957</v>
      </c>
      <c r="D56" s="22">
        <v>1.1980291089999999</v>
      </c>
      <c r="E56" s="21">
        <v>227</v>
      </c>
      <c r="F56" s="19" t="s">
        <v>17</v>
      </c>
    </row>
    <row r="57" spans="1:6">
      <c r="A57" s="21">
        <v>30</v>
      </c>
      <c r="B57" s="22">
        <v>1.941747573</v>
      </c>
      <c r="C57" s="22">
        <v>0.62606073399999995</v>
      </c>
      <c r="D57" s="22">
        <v>1.215651821</v>
      </c>
      <c r="E57" s="21">
        <v>229</v>
      </c>
      <c r="F57" s="19" t="s">
        <v>17</v>
      </c>
    </row>
    <row r="58" spans="1:6">
      <c r="A58" s="21">
        <v>30</v>
      </c>
      <c r="B58" s="22">
        <v>1.98019802</v>
      </c>
      <c r="C58" s="22">
        <v>0.66625183799999999</v>
      </c>
      <c r="D58" s="22">
        <v>1.3193106109999999</v>
      </c>
      <c r="E58" s="21">
        <v>231</v>
      </c>
      <c r="F58" s="19" t="s">
        <v>17</v>
      </c>
    </row>
    <row r="59" spans="1:6">
      <c r="A59" s="21">
        <v>30</v>
      </c>
      <c r="B59" s="22">
        <v>1.801801802</v>
      </c>
      <c r="C59" s="22">
        <v>0.56164383600000001</v>
      </c>
      <c r="D59" s="22">
        <v>1.0119716919999999</v>
      </c>
      <c r="E59" s="21">
        <v>223</v>
      </c>
      <c r="F59" s="19" t="s">
        <v>17</v>
      </c>
    </row>
    <row r="60" spans="1:6">
      <c r="A60" s="21">
        <v>30</v>
      </c>
      <c r="B60" s="22">
        <v>1.5503875970000001</v>
      </c>
      <c r="C60" s="22">
        <v>0.57426923399999996</v>
      </c>
      <c r="D60" s="22">
        <v>0.89033985500000001</v>
      </c>
      <c r="E60" s="21">
        <v>223</v>
      </c>
      <c r="F60" s="19" t="s">
        <v>17</v>
      </c>
    </row>
    <row r="61" spans="1:6">
      <c r="A61" s="21">
        <v>30</v>
      </c>
      <c r="B61" s="22">
        <v>1.5748031499999999</v>
      </c>
      <c r="C61" s="22">
        <v>0.61361747799999999</v>
      </c>
      <c r="D61" s="22">
        <v>0.96632668799999999</v>
      </c>
      <c r="E61" s="21">
        <v>219</v>
      </c>
      <c r="F61" s="19" t="s">
        <v>17</v>
      </c>
    </row>
    <row r="62" spans="1:6">
      <c r="A62" s="21">
        <v>30</v>
      </c>
      <c r="B62" s="22">
        <v>1.709401709</v>
      </c>
      <c r="C62" s="22">
        <v>0.56498529399999997</v>
      </c>
      <c r="D62" s="22">
        <v>0.96578685799999997</v>
      </c>
      <c r="E62" s="21">
        <v>221</v>
      </c>
      <c r="F62" s="19" t="s">
        <v>17</v>
      </c>
    </row>
    <row r="63" spans="1:6">
      <c r="A63" s="21">
        <v>30</v>
      </c>
      <c r="B63" s="22">
        <v>1.7391304350000001</v>
      </c>
      <c r="C63" s="22">
        <v>0.59044843199999997</v>
      </c>
      <c r="D63" s="22">
        <v>1.0268668750000001</v>
      </c>
      <c r="E63" s="21">
        <v>219</v>
      </c>
      <c r="F63" s="19" t="s">
        <v>17</v>
      </c>
    </row>
    <row r="64" spans="1:6">
      <c r="A64" s="21">
        <v>30</v>
      </c>
      <c r="B64" s="22">
        <v>1.5748031499999999</v>
      </c>
      <c r="C64" s="22">
        <v>0.59979337200000005</v>
      </c>
      <c r="D64" s="22">
        <v>0.94455631900000003</v>
      </c>
      <c r="E64" s="21">
        <v>219</v>
      </c>
      <c r="F64" s="19" t="s">
        <v>17</v>
      </c>
    </row>
    <row r="65" spans="1:6">
      <c r="A65" s="21">
        <v>30</v>
      </c>
      <c r="B65" s="22">
        <v>1.5748031499999999</v>
      </c>
      <c r="C65" s="22">
        <v>0.59053933700000005</v>
      </c>
      <c r="D65" s="22">
        <v>0.92998327000000003</v>
      </c>
      <c r="E65" s="21">
        <v>219</v>
      </c>
      <c r="F65" s="19" t="s">
        <v>17</v>
      </c>
    </row>
    <row r="66" spans="1:6">
      <c r="A66" s="21">
        <v>30</v>
      </c>
      <c r="B66" s="22">
        <v>1.5748031499999999</v>
      </c>
      <c r="C66" s="22">
        <v>0.597225275</v>
      </c>
      <c r="D66" s="22">
        <v>0.94051226600000004</v>
      </c>
      <c r="E66" s="21">
        <v>219</v>
      </c>
      <c r="F66" s="19" t="s">
        <v>17</v>
      </c>
    </row>
    <row r="67" spans="1:6">
      <c r="A67" s="21">
        <v>30</v>
      </c>
      <c r="B67" s="22">
        <v>2.150537634</v>
      </c>
      <c r="C67" s="22">
        <v>0.53459877499999997</v>
      </c>
      <c r="D67" s="22">
        <v>1.1496746470000001</v>
      </c>
      <c r="E67" s="21">
        <v>225</v>
      </c>
      <c r="F67" s="19" t="s">
        <v>17</v>
      </c>
    </row>
    <row r="68" spans="1:6">
      <c r="A68" s="21">
        <v>30</v>
      </c>
      <c r="B68" s="22">
        <v>1.5748031499999999</v>
      </c>
      <c r="C68" s="22">
        <v>0.59671041000000002</v>
      </c>
      <c r="D68" s="22">
        <v>0.93970135499999996</v>
      </c>
      <c r="E68" s="21">
        <v>219</v>
      </c>
      <c r="F68" s="19" t="s">
        <v>17</v>
      </c>
    </row>
    <row r="69" spans="1:6">
      <c r="A69" s="21">
        <v>30</v>
      </c>
      <c r="B69" s="22">
        <v>1.98019802</v>
      </c>
      <c r="C69" s="22">
        <v>0.54771530099999999</v>
      </c>
      <c r="D69" s="22">
        <v>1.0845838830000001</v>
      </c>
      <c r="E69" s="21">
        <v>227</v>
      </c>
      <c r="F69" s="19" t="s">
        <v>17</v>
      </c>
    </row>
    <row r="70" spans="1:6">
      <c r="A70" s="21">
        <v>30</v>
      </c>
      <c r="B70" s="22">
        <v>1.98019802</v>
      </c>
      <c r="C70" s="22">
        <v>0.60193803400000001</v>
      </c>
      <c r="D70" s="22">
        <v>1.1919569270000001</v>
      </c>
      <c r="E70" s="21">
        <v>227</v>
      </c>
      <c r="F70" s="19" t="s">
        <v>17</v>
      </c>
    </row>
    <row r="71" spans="1:6">
      <c r="A71" s="21">
        <v>30</v>
      </c>
      <c r="B71" s="22">
        <v>1.941747573</v>
      </c>
      <c r="C71" s="22">
        <v>0.62914580200000003</v>
      </c>
      <c r="D71" s="22">
        <v>1.2216423700000001</v>
      </c>
      <c r="E71" s="21">
        <v>227</v>
      </c>
      <c r="F71" s="19" t="s">
        <v>17</v>
      </c>
    </row>
    <row r="72" spans="1:6">
      <c r="A72" s="21">
        <v>30</v>
      </c>
      <c r="B72" s="22">
        <v>1.941747573</v>
      </c>
      <c r="C72" s="22">
        <v>0.62061576600000001</v>
      </c>
      <c r="D72" s="22">
        <v>1.2050784889999999</v>
      </c>
      <c r="E72" s="21">
        <v>229</v>
      </c>
      <c r="F72" s="19" t="s">
        <v>17</v>
      </c>
    </row>
    <row r="73" spans="1:6">
      <c r="A73" s="21">
        <v>30</v>
      </c>
      <c r="B73" s="22">
        <v>1.941747573</v>
      </c>
      <c r="C73" s="22">
        <v>0.62519327899999999</v>
      </c>
      <c r="D73" s="22">
        <v>1.213967596</v>
      </c>
      <c r="E73" s="21">
        <v>229</v>
      </c>
      <c r="F73" s="19" t="s">
        <v>17</v>
      </c>
    </row>
    <row r="74" spans="1:6">
      <c r="A74" s="21">
        <v>30</v>
      </c>
      <c r="B74" s="22">
        <v>1.941747573</v>
      </c>
      <c r="C74" s="22">
        <v>0.62829153100000001</v>
      </c>
      <c r="D74" s="22">
        <v>1.2199835240000001</v>
      </c>
      <c r="E74" s="21">
        <v>227</v>
      </c>
      <c r="F74" s="19" t="s">
        <v>17</v>
      </c>
    </row>
    <row r="75" spans="1:6">
      <c r="A75" s="21">
        <v>30</v>
      </c>
      <c r="B75" s="22">
        <v>1.98019802</v>
      </c>
      <c r="C75" s="22">
        <v>0.61626229499999996</v>
      </c>
      <c r="D75" s="22">
        <v>1.2203207469999999</v>
      </c>
      <c r="E75" s="21">
        <v>229</v>
      </c>
      <c r="F75" s="19" t="s">
        <v>17</v>
      </c>
    </row>
    <row r="76" spans="1:6">
      <c r="A76" s="21">
        <v>35</v>
      </c>
      <c r="B76" s="22">
        <v>1.801801802</v>
      </c>
      <c r="C76" s="22">
        <v>0.82158132699999997</v>
      </c>
      <c r="D76" s="22">
        <v>1.4803265379999999</v>
      </c>
      <c r="E76" s="21">
        <v>225</v>
      </c>
      <c r="F76" s="19" t="s">
        <v>17</v>
      </c>
    </row>
    <row r="77" spans="1:6">
      <c r="A77" s="21">
        <v>35</v>
      </c>
      <c r="B77" s="22">
        <v>2.3529411759999999</v>
      </c>
      <c r="C77" s="22">
        <v>0.63174883599999998</v>
      </c>
      <c r="D77" s="22">
        <v>1.4864678010000001</v>
      </c>
      <c r="E77" s="21">
        <v>229</v>
      </c>
      <c r="F77" s="19" t="s">
        <v>17</v>
      </c>
    </row>
    <row r="78" spans="1:6">
      <c r="A78" s="21">
        <v>35</v>
      </c>
      <c r="B78" s="22">
        <v>2.1052631580000001</v>
      </c>
      <c r="C78" s="22">
        <v>0.69369776400000005</v>
      </c>
      <c r="D78" s="22">
        <v>1.4604157449999999</v>
      </c>
      <c r="E78" s="21">
        <v>227</v>
      </c>
      <c r="F78" s="19" t="s">
        <v>17</v>
      </c>
    </row>
    <row r="79" spans="1:6">
      <c r="A79" s="21">
        <v>35</v>
      </c>
      <c r="B79" s="22">
        <v>2.150537634</v>
      </c>
      <c r="C79" s="22">
        <v>0.72410748800000002</v>
      </c>
      <c r="D79" s="22">
        <v>1.557220525</v>
      </c>
      <c r="E79" s="21">
        <v>227</v>
      </c>
      <c r="F79" s="19" t="s">
        <v>17</v>
      </c>
    </row>
    <row r="80" spans="1:6">
      <c r="A80" s="21">
        <v>35</v>
      </c>
      <c r="B80" s="22">
        <v>2.150537634</v>
      </c>
      <c r="C80" s="22">
        <v>0.73021545300000001</v>
      </c>
      <c r="D80" s="22">
        <v>1.5703561960000001</v>
      </c>
      <c r="E80" s="21">
        <v>227</v>
      </c>
      <c r="F80" s="19" t="s">
        <v>17</v>
      </c>
    </row>
    <row r="81" spans="1:6">
      <c r="A81" s="21">
        <v>35</v>
      </c>
      <c r="B81" s="22">
        <v>2.150537634</v>
      </c>
      <c r="C81" s="22">
        <v>0.71379293799999999</v>
      </c>
      <c r="D81" s="22">
        <v>1.5350384159999999</v>
      </c>
      <c r="E81" s="21">
        <v>227</v>
      </c>
      <c r="F81" s="19" t="s">
        <v>17</v>
      </c>
    </row>
    <row r="82" spans="1:6">
      <c r="A82" s="21">
        <v>35</v>
      </c>
      <c r="B82" s="22">
        <v>2.150537634</v>
      </c>
      <c r="C82" s="22">
        <v>0.71917692099999997</v>
      </c>
      <c r="D82" s="22">
        <v>1.546617329</v>
      </c>
      <c r="E82" s="21">
        <v>225</v>
      </c>
      <c r="F82" s="19" t="s">
        <v>17</v>
      </c>
    </row>
    <row r="83" spans="1:6">
      <c r="A83" s="21">
        <v>35</v>
      </c>
      <c r="B83" s="22">
        <v>2.1052631580000001</v>
      </c>
      <c r="C83" s="22">
        <v>0.71338710500000002</v>
      </c>
      <c r="D83" s="22">
        <v>1.5018673520000001</v>
      </c>
      <c r="E83" s="21">
        <v>227</v>
      </c>
      <c r="F83" s="19" t="s">
        <v>17</v>
      </c>
    </row>
    <row r="84" spans="1:6">
      <c r="A84" s="21">
        <v>35</v>
      </c>
      <c r="B84" s="22">
        <v>2.1978021980000002</v>
      </c>
      <c r="C84" s="22">
        <v>0.69973695599999997</v>
      </c>
      <c r="D84" s="22">
        <v>1.5378831079999999</v>
      </c>
      <c r="E84" s="21">
        <v>229</v>
      </c>
      <c r="F84" s="19" t="s">
        <v>17</v>
      </c>
    </row>
    <row r="85" spans="1:6">
      <c r="A85" s="21">
        <v>35</v>
      </c>
      <c r="B85" s="22">
        <v>2.1052631580000001</v>
      </c>
      <c r="C85" s="22">
        <v>0.70959603599999999</v>
      </c>
      <c r="D85" s="22">
        <v>1.4938863339999999</v>
      </c>
      <c r="E85" s="21">
        <v>229</v>
      </c>
      <c r="F85" s="19" t="s">
        <v>17</v>
      </c>
    </row>
    <row r="86" spans="1:6">
      <c r="A86" s="21">
        <v>35</v>
      </c>
      <c r="B86" s="22">
        <v>1.98019802</v>
      </c>
      <c r="C86" s="22">
        <v>0.75719032500000005</v>
      </c>
      <c r="D86" s="22">
        <v>1.499386866</v>
      </c>
      <c r="E86" s="21">
        <v>227</v>
      </c>
      <c r="F86" s="19" t="s">
        <v>17</v>
      </c>
    </row>
    <row r="87" spans="1:6">
      <c r="A87" s="21">
        <v>35</v>
      </c>
      <c r="B87" s="22">
        <v>1.801801802</v>
      </c>
      <c r="C87" s="22">
        <v>0.79739467100000005</v>
      </c>
      <c r="D87" s="22">
        <v>1.4367471599999999</v>
      </c>
      <c r="E87" s="21">
        <v>225</v>
      </c>
      <c r="F87" s="19" t="s">
        <v>17</v>
      </c>
    </row>
    <row r="88" spans="1:6">
      <c r="A88" s="21">
        <v>35</v>
      </c>
      <c r="B88" s="22">
        <v>1.941747573</v>
      </c>
      <c r="C88" s="22">
        <v>0.83832681099999995</v>
      </c>
      <c r="D88" s="22">
        <v>1.6278192579999999</v>
      </c>
      <c r="E88" s="21">
        <v>225</v>
      </c>
      <c r="F88" s="19" t="s">
        <v>17</v>
      </c>
    </row>
    <row r="89" spans="1:6">
      <c r="A89" s="21">
        <v>35</v>
      </c>
      <c r="B89" s="22">
        <v>1.941747573</v>
      </c>
      <c r="C89" s="22">
        <v>0.80638929599999998</v>
      </c>
      <c r="D89" s="22">
        <v>1.565804285</v>
      </c>
      <c r="E89" s="21">
        <v>225</v>
      </c>
      <c r="F89" s="19" t="s">
        <v>17</v>
      </c>
    </row>
    <row r="90" spans="1:6">
      <c r="A90" s="21">
        <v>35</v>
      </c>
      <c r="B90" s="22">
        <v>1.801801802</v>
      </c>
      <c r="C90" s="22">
        <v>0.83740164100000003</v>
      </c>
      <c r="D90" s="22">
        <v>1.5088318039999999</v>
      </c>
      <c r="E90" s="21">
        <v>223</v>
      </c>
      <c r="F90" s="19" t="s">
        <v>17</v>
      </c>
    </row>
    <row r="91" spans="1:6">
      <c r="A91" s="21">
        <v>35</v>
      </c>
      <c r="B91" s="22">
        <v>1.941747573</v>
      </c>
      <c r="C91" s="22">
        <v>0.84914992300000003</v>
      </c>
      <c r="D91" s="22">
        <v>1.6488347830000001</v>
      </c>
      <c r="E91" s="21">
        <v>225</v>
      </c>
      <c r="F91" s="19" t="s">
        <v>17</v>
      </c>
    </row>
    <row r="92" spans="1:6">
      <c r="A92" s="21">
        <v>35</v>
      </c>
      <c r="B92" s="22">
        <v>2.1052631580000001</v>
      </c>
      <c r="C92" s="22">
        <v>0.719660089</v>
      </c>
      <c r="D92" s="22">
        <v>1.515074069</v>
      </c>
      <c r="E92" s="21">
        <v>227</v>
      </c>
      <c r="F92" s="19" t="s">
        <v>17</v>
      </c>
    </row>
    <row r="93" spans="1:6">
      <c r="A93" s="21">
        <v>35</v>
      </c>
      <c r="B93" s="22">
        <v>2.150537634</v>
      </c>
      <c r="C93" s="22">
        <v>0.71893659899999995</v>
      </c>
      <c r="D93" s="22">
        <v>1.5461001569999999</v>
      </c>
      <c r="E93" s="21">
        <v>225</v>
      </c>
      <c r="F93" s="19" t="s">
        <v>17</v>
      </c>
    </row>
    <row r="94" spans="1:6">
      <c r="A94" s="21">
        <v>35</v>
      </c>
      <c r="B94" s="22">
        <v>2.150537634</v>
      </c>
      <c r="C94" s="22">
        <v>0.714776525</v>
      </c>
      <c r="D94" s="22">
        <v>1.5371538490000001</v>
      </c>
      <c r="E94" s="21">
        <v>227</v>
      </c>
      <c r="F94" s="19" t="s">
        <v>17</v>
      </c>
    </row>
    <row r="95" spans="1:6">
      <c r="A95" s="21">
        <v>35</v>
      </c>
      <c r="B95" s="22">
        <v>2.150537634</v>
      </c>
      <c r="C95" s="22">
        <v>0.72553430799999996</v>
      </c>
      <c r="D95" s="22">
        <v>1.560288527</v>
      </c>
      <c r="E95" s="21">
        <v>225</v>
      </c>
      <c r="F95" s="19" t="s">
        <v>17</v>
      </c>
    </row>
    <row r="96" spans="1:6">
      <c r="A96" s="21">
        <v>35</v>
      </c>
      <c r="B96" s="22">
        <v>1.8348623850000001</v>
      </c>
      <c r="C96" s="22">
        <v>0.78901244264395853</v>
      </c>
      <c r="D96" s="22">
        <v>1.4477290389999999</v>
      </c>
      <c r="E96" s="21">
        <v>221</v>
      </c>
      <c r="F96" s="19" t="s">
        <v>31</v>
      </c>
    </row>
    <row r="97" spans="1:6">
      <c r="A97" s="21">
        <v>35</v>
      </c>
      <c r="B97" s="22">
        <v>1.680672269</v>
      </c>
      <c r="C97" s="22">
        <v>0.77304250125915308</v>
      </c>
      <c r="D97" s="22">
        <v>1.29923108</v>
      </c>
      <c r="E97" s="21">
        <v>219</v>
      </c>
      <c r="F97" s="19" t="s">
        <v>31</v>
      </c>
    </row>
    <row r="98" spans="1:6">
      <c r="A98" s="21">
        <v>35</v>
      </c>
      <c r="B98" s="22">
        <v>1.98019802</v>
      </c>
      <c r="C98" s="22">
        <v>0.62695621932841294</v>
      </c>
      <c r="D98" s="22">
        <v>1.241497447</v>
      </c>
      <c r="E98" s="21">
        <v>225</v>
      </c>
      <c r="F98" s="19" t="s">
        <v>31</v>
      </c>
    </row>
    <row r="99" spans="1:6">
      <c r="A99" s="21">
        <v>35</v>
      </c>
      <c r="B99" s="22">
        <v>1.8348623850000001</v>
      </c>
      <c r="C99" s="22">
        <v>0.71905643287520182</v>
      </c>
      <c r="D99" s="22">
        <v>1.319369807</v>
      </c>
      <c r="E99" s="21">
        <v>223</v>
      </c>
      <c r="F99" s="19" t="s">
        <v>31</v>
      </c>
    </row>
    <row r="100" spans="1:6">
      <c r="A100" s="21">
        <v>35</v>
      </c>
      <c r="B100" s="22">
        <v>1.8348623850000001</v>
      </c>
      <c r="C100" s="22">
        <v>0.78299768049777252</v>
      </c>
      <c r="D100" s="22">
        <v>1.4366928800000001</v>
      </c>
      <c r="E100" s="21">
        <v>221</v>
      </c>
      <c r="F100" s="19" t="s">
        <v>31</v>
      </c>
    </row>
    <row r="101" spans="1:6">
      <c r="A101" s="21">
        <v>35</v>
      </c>
      <c r="B101" s="22">
        <v>2.1978021980000002</v>
      </c>
      <c r="C101" s="22">
        <v>0.63718820899999995</v>
      </c>
      <c r="D101" s="22">
        <v>1.400416686</v>
      </c>
      <c r="E101" s="21">
        <v>223</v>
      </c>
      <c r="F101" s="19" t="s">
        <v>35</v>
      </c>
    </row>
    <row r="102" spans="1:6">
      <c r="A102" s="21">
        <v>35</v>
      </c>
      <c r="B102" s="22">
        <v>2.150537634</v>
      </c>
      <c r="C102" s="22">
        <v>0.56940413199999995</v>
      </c>
      <c r="D102" s="22">
        <v>1.224525123</v>
      </c>
      <c r="E102" s="21">
        <v>227</v>
      </c>
      <c r="F102" s="19" t="s">
        <v>35</v>
      </c>
    </row>
    <row r="103" spans="1:6">
      <c r="A103" s="21">
        <v>35</v>
      </c>
      <c r="B103" s="22">
        <v>2.150537634</v>
      </c>
      <c r="C103" s="22">
        <v>0.56189359900000002</v>
      </c>
      <c r="D103" s="22">
        <v>1.2083731010000001</v>
      </c>
      <c r="E103" s="21">
        <v>227</v>
      </c>
      <c r="F103" s="19" t="s">
        <v>35</v>
      </c>
    </row>
    <row r="104" spans="1:6">
      <c r="A104" s="21">
        <v>35</v>
      </c>
      <c r="B104" s="22">
        <v>2.2988505749999999</v>
      </c>
      <c r="C104" s="22">
        <v>0.53743174199999999</v>
      </c>
      <c r="D104" s="22">
        <v>1.235476158</v>
      </c>
      <c r="E104" s="21">
        <v>225</v>
      </c>
      <c r="F104" s="19" t="s">
        <v>35</v>
      </c>
    </row>
    <row r="105" spans="1:6">
      <c r="A105" s="21">
        <v>35</v>
      </c>
      <c r="B105" s="22">
        <v>2.150537634</v>
      </c>
      <c r="C105" s="22">
        <v>0.56346907499999999</v>
      </c>
      <c r="D105" s="22">
        <v>1.2117614729999999</v>
      </c>
      <c r="E105" s="21">
        <v>227</v>
      </c>
      <c r="F105" s="19" t="s">
        <v>35</v>
      </c>
    </row>
    <row r="106" spans="1:6">
      <c r="A106" s="21">
        <v>35</v>
      </c>
      <c r="B106" s="22">
        <v>1.98019802</v>
      </c>
      <c r="C106" s="22">
        <v>0.62710915430229308</v>
      </c>
      <c r="D106" s="22">
        <v>1.2418003259999999</v>
      </c>
      <c r="E106" s="21">
        <v>225</v>
      </c>
      <c r="F106" s="19" t="s">
        <v>37</v>
      </c>
    </row>
    <row r="107" spans="1:6">
      <c r="A107" s="21">
        <v>35</v>
      </c>
      <c r="B107" s="22">
        <v>1.801801802</v>
      </c>
      <c r="C107" s="22">
        <v>0.66610778443113772</v>
      </c>
      <c r="D107" s="22">
        <v>1.2001941119999999</v>
      </c>
      <c r="E107" s="21">
        <v>221</v>
      </c>
      <c r="F107" s="19" t="s">
        <v>37</v>
      </c>
    </row>
    <row r="108" spans="1:6">
      <c r="A108" s="21">
        <v>35</v>
      </c>
      <c r="B108" s="22">
        <v>1.98019802</v>
      </c>
      <c r="C108" s="22">
        <v>0.62970924095576242</v>
      </c>
      <c r="D108" s="22">
        <v>1.2469489650000001</v>
      </c>
      <c r="E108" s="21">
        <v>225</v>
      </c>
      <c r="F108" s="19" t="s">
        <v>37</v>
      </c>
    </row>
    <row r="109" spans="1:6">
      <c r="A109" s="21">
        <v>35</v>
      </c>
      <c r="B109" s="22">
        <v>1.8348623850000001</v>
      </c>
      <c r="C109" s="22">
        <v>0.65982376138004906</v>
      </c>
      <c r="D109" s="22">
        <v>1.2106858</v>
      </c>
      <c r="E109" s="21">
        <v>221</v>
      </c>
      <c r="F109" s="19" t="s">
        <v>37</v>
      </c>
    </row>
    <row r="110" spans="1:6">
      <c r="A110" s="21">
        <v>35</v>
      </c>
      <c r="B110" s="22">
        <v>1.801801802</v>
      </c>
      <c r="C110" s="22">
        <v>0.66624082563062048</v>
      </c>
      <c r="D110" s="22">
        <v>1.200434014</v>
      </c>
      <c r="E110" s="21">
        <v>221</v>
      </c>
      <c r="F110" s="19" t="s">
        <v>37</v>
      </c>
    </row>
    <row r="111" spans="1:6">
      <c r="A111" s="21">
        <v>50</v>
      </c>
      <c r="B111" s="22">
        <v>1.98019802</v>
      </c>
      <c r="C111" s="22">
        <v>0.76709635099999995</v>
      </c>
      <c r="D111" s="22">
        <v>1.5190028579999999</v>
      </c>
      <c r="E111" s="21">
        <v>225</v>
      </c>
      <c r="F111" s="19" t="s">
        <v>17</v>
      </c>
    </row>
    <row r="112" spans="1:6">
      <c r="A112" s="21">
        <v>50</v>
      </c>
      <c r="B112" s="22">
        <v>1.801801802</v>
      </c>
      <c r="C112" s="22">
        <v>0.78527047299999997</v>
      </c>
      <c r="D112" s="22">
        <v>1.414901953</v>
      </c>
      <c r="E112" s="21">
        <v>223</v>
      </c>
      <c r="F112" s="19" t="s">
        <v>17</v>
      </c>
    </row>
    <row r="113" spans="1:6">
      <c r="A113" s="21">
        <v>50</v>
      </c>
      <c r="B113" s="22">
        <v>1.8348623850000001</v>
      </c>
      <c r="C113" s="22">
        <v>0.81979771499999998</v>
      </c>
      <c r="D113" s="22">
        <v>1.504216065</v>
      </c>
      <c r="E113" s="21">
        <v>221</v>
      </c>
      <c r="F113" s="19" t="s">
        <v>17</v>
      </c>
    </row>
    <row r="114" spans="1:6">
      <c r="A114" s="21">
        <v>50</v>
      </c>
      <c r="B114" s="22">
        <v>1.801801802</v>
      </c>
      <c r="C114" s="22">
        <v>0.749696115</v>
      </c>
      <c r="D114" s="22">
        <v>1.3508037289999999</v>
      </c>
      <c r="E114" s="21">
        <v>223</v>
      </c>
      <c r="F114" s="19" t="s">
        <v>17</v>
      </c>
    </row>
    <row r="115" spans="1:6">
      <c r="A115" s="21">
        <v>50</v>
      </c>
      <c r="B115" s="22">
        <v>1.8348623850000001</v>
      </c>
      <c r="C115" s="22">
        <v>0.79198464099999999</v>
      </c>
      <c r="D115" s="22">
        <v>1.453182545</v>
      </c>
      <c r="E115" s="21">
        <v>221</v>
      </c>
      <c r="F115" s="19" t="s">
        <v>17</v>
      </c>
    </row>
    <row r="116" spans="1:6">
      <c r="A116" s="21">
        <v>50</v>
      </c>
      <c r="B116" s="22">
        <v>1.680672269</v>
      </c>
      <c r="C116" s="22">
        <v>0.76394360699999997</v>
      </c>
      <c r="D116" s="22">
        <v>1.2839388819999999</v>
      </c>
      <c r="E116" s="21">
        <v>219</v>
      </c>
      <c r="F116" s="19" t="s">
        <v>17</v>
      </c>
    </row>
    <row r="117" spans="1:6">
      <c r="A117" s="21">
        <v>50</v>
      </c>
      <c r="B117" s="22">
        <v>1.8348623850000001</v>
      </c>
      <c r="C117" s="22">
        <v>0.77861278300000003</v>
      </c>
      <c r="D117" s="22">
        <v>1.428647056</v>
      </c>
      <c r="E117" s="21">
        <v>221</v>
      </c>
      <c r="F117" s="19" t="s">
        <v>17</v>
      </c>
    </row>
    <row r="118" spans="1:6">
      <c r="A118" s="21">
        <v>50</v>
      </c>
      <c r="B118" s="22">
        <v>1.8348623850000001</v>
      </c>
      <c r="C118" s="22">
        <v>0.786975761</v>
      </c>
      <c r="D118" s="22">
        <v>1.443992347</v>
      </c>
      <c r="E118" s="21">
        <v>223</v>
      </c>
      <c r="F118" s="19" t="s">
        <v>17</v>
      </c>
    </row>
    <row r="119" spans="1:6">
      <c r="A119" s="21">
        <v>50</v>
      </c>
      <c r="B119" s="22">
        <v>1.801801802</v>
      </c>
      <c r="C119" s="22">
        <v>0.80334705699999998</v>
      </c>
      <c r="D119" s="22">
        <v>1.447471773</v>
      </c>
      <c r="E119" s="21">
        <v>223</v>
      </c>
      <c r="F119" s="19" t="s">
        <v>17</v>
      </c>
    </row>
    <row r="120" spans="1:6">
      <c r="A120" s="21">
        <v>50</v>
      </c>
      <c r="B120" s="22">
        <v>1.8348623850000001</v>
      </c>
      <c r="C120" s="22">
        <v>0.75972058899999995</v>
      </c>
      <c r="D120" s="22">
        <v>1.3939827970000001</v>
      </c>
      <c r="E120" s="21">
        <v>221</v>
      </c>
      <c r="F120" s="19" t="s">
        <v>17</v>
      </c>
    </row>
    <row r="121" spans="1:6">
      <c r="A121" s="21">
        <v>50</v>
      </c>
      <c r="B121" s="22">
        <v>1.8348623850000001</v>
      </c>
      <c r="C121" s="22">
        <v>0.75660622099999997</v>
      </c>
      <c r="D121" s="22">
        <v>1.388268287</v>
      </c>
      <c r="E121" s="21">
        <v>223</v>
      </c>
      <c r="F121" s="19" t="s">
        <v>17</v>
      </c>
    </row>
    <row r="122" spans="1:6">
      <c r="A122" s="21">
        <v>50</v>
      </c>
      <c r="B122" s="22">
        <v>1.98019802</v>
      </c>
      <c r="C122" s="22">
        <v>0.71574502500000003</v>
      </c>
      <c r="D122" s="22">
        <v>1.4173170530000001</v>
      </c>
      <c r="E122" s="21">
        <v>225</v>
      </c>
      <c r="F122" s="19" t="s">
        <v>17</v>
      </c>
    </row>
    <row r="123" spans="1:6">
      <c r="A123" s="21">
        <v>50</v>
      </c>
      <c r="B123" s="22">
        <v>1.8348623850000001</v>
      </c>
      <c r="C123" s="22">
        <v>0.75122159200000005</v>
      </c>
      <c r="D123" s="22">
        <v>1.378388347</v>
      </c>
      <c r="E123" s="21">
        <v>221</v>
      </c>
      <c r="F123" s="19" t="s">
        <v>17</v>
      </c>
    </row>
    <row r="124" spans="1:6">
      <c r="A124" s="21">
        <v>50</v>
      </c>
      <c r="B124" s="22">
        <v>2.1978021980000002</v>
      </c>
      <c r="C124" s="22">
        <v>0.67590902799999997</v>
      </c>
      <c r="D124" s="22">
        <v>1.4855141810000001</v>
      </c>
      <c r="E124" s="21">
        <v>225</v>
      </c>
      <c r="F124" s="19" t="s">
        <v>17</v>
      </c>
    </row>
    <row r="125" spans="1:6">
      <c r="A125" s="21">
        <v>50</v>
      </c>
      <c r="B125" s="22">
        <v>1.98019802</v>
      </c>
      <c r="C125" s="22">
        <v>0.71128010699999999</v>
      </c>
      <c r="D125" s="22">
        <v>1.4084756140000001</v>
      </c>
      <c r="E125" s="21">
        <v>225</v>
      </c>
      <c r="F125" s="19" t="s">
        <v>17</v>
      </c>
    </row>
    <row r="126" spans="1:6">
      <c r="A126" s="21">
        <v>50</v>
      </c>
      <c r="B126" s="22">
        <v>1.8348623850000001</v>
      </c>
      <c r="C126" s="22">
        <v>0.74261552500000005</v>
      </c>
      <c r="D126" s="22">
        <v>1.362597337</v>
      </c>
      <c r="E126" s="21">
        <v>223</v>
      </c>
      <c r="F126" s="19" t="s">
        <v>17</v>
      </c>
    </row>
    <row r="127" spans="1:6">
      <c r="A127" s="21">
        <v>50</v>
      </c>
      <c r="B127" s="22">
        <v>1.8348623850000001</v>
      </c>
      <c r="C127" s="22">
        <v>0.78182138599999995</v>
      </c>
      <c r="D127" s="22">
        <v>1.434534679</v>
      </c>
      <c r="E127" s="21">
        <v>223</v>
      </c>
      <c r="F127" s="19" t="s">
        <v>17</v>
      </c>
    </row>
    <row r="128" spans="1:6">
      <c r="A128" s="21">
        <v>50</v>
      </c>
      <c r="B128" s="22">
        <v>1.680672269</v>
      </c>
      <c r="C128" s="22">
        <v>0.76075119800000002</v>
      </c>
      <c r="D128" s="22">
        <v>1.2785734580000001</v>
      </c>
      <c r="E128" s="21">
        <v>219</v>
      </c>
      <c r="F128" s="19" t="s">
        <v>17</v>
      </c>
    </row>
    <row r="129" spans="1:6">
      <c r="A129" s="21">
        <v>50</v>
      </c>
      <c r="B129" s="22">
        <v>1.8348623850000001</v>
      </c>
      <c r="C129" s="22">
        <v>0.72419323999999996</v>
      </c>
      <c r="D129" s="22">
        <v>1.328794848</v>
      </c>
      <c r="E129" s="21">
        <v>223</v>
      </c>
      <c r="F129" s="19" t="s">
        <v>17</v>
      </c>
    </row>
    <row r="130" spans="1:6">
      <c r="A130" s="21">
        <v>50</v>
      </c>
      <c r="B130" s="22">
        <v>1.8348623850000001</v>
      </c>
      <c r="C130" s="22">
        <v>0.76299519900000001</v>
      </c>
      <c r="D130" s="22">
        <v>1.399991129</v>
      </c>
      <c r="E130" s="21">
        <v>223</v>
      </c>
      <c r="F130" s="19" t="s">
        <v>17</v>
      </c>
    </row>
    <row r="131" spans="1:6">
      <c r="A131" s="21">
        <v>50</v>
      </c>
      <c r="B131" s="22">
        <v>1.8348623850000001</v>
      </c>
      <c r="C131" s="22">
        <v>0.72942645413416785</v>
      </c>
      <c r="D131" s="22">
        <v>1.3383972049999999</v>
      </c>
      <c r="E131" s="21">
        <v>221</v>
      </c>
      <c r="F131" s="19" t="s">
        <v>31</v>
      </c>
    </row>
    <row r="132" spans="1:6">
      <c r="A132" s="21">
        <v>50</v>
      </c>
      <c r="B132" s="22">
        <v>1.8348623850000001</v>
      </c>
      <c r="C132" s="22">
        <v>0.71819543177788869</v>
      </c>
      <c r="D132" s="22">
        <v>1.3177897629999999</v>
      </c>
      <c r="E132" s="21">
        <v>223</v>
      </c>
      <c r="F132" s="19" t="s">
        <v>31</v>
      </c>
    </row>
    <row r="133" spans="1:6">
      <c r="A133" s="21">
        <v>50</v>
      </c>
      <c r="B133" s="22">
        <v>1.8348623850000001</v>
      </c>
      <c r="C133" s="22">
        <v>0.7223393179105615</v>
      </c>
      <c r="D133" s="22">
        <v>1.325393126</v>
      </c>
      <c r="E133" s="21">
        <v>223</v>
      </c>
      <c r="F133" s="19" t="s">
        <v>31</v>
      </c>
    </row>
    <row r="134" spans="1:6">
      <c r="A134" s="21">
        <v>50</v>
      </c>
      <c r="B134" s="22">
        <v>1.8348623850000001</v>
      </c>
      <c r="C134" s="22">
        <v>0.73022530402343666</v>
      </c>
      <c r="D134" s="22">
        <v>1.339862881</v>
      </c>
      <c r="E134" s="21">
        <v>221</v>
      </c>
      <c r="F134" s="19" t="s">
        <v>31</v>
      </c>
    </row>
    <row r="135" spans="1:6">
      <c r="A135" s="21">
        <v>50</v>
      </c>
      <c r="B135" s="22">
        <v>1.801801802</v>
      </c>
      <c r="C135" s="22">
        <v>0.73792878322134869</v>
      </c>
      <c r="D135" s="22">
        <v>1.3296012660000001</v>
      </c>
      <c r="E135" s="21">
        <v>223</v>
      </c>
      <c r="F135" s="19" t="s">
        <v>31</v>
      </c>
    </row>
    <row r="136" spans="1:6">
      <c r="A136" s="21">
        <v>50</v>
      </c>
      <c r="B136" s="22">
        <v>2.4096385539999998</v>
      </c>
      <c r="C136" s="22">
        <v>0.64244506400000001</v>
      </c>
      <c r="D136" s="22">
        <v>1.5480603630000001</v>
      </c>
      <c r="E136" s="21">
        <v>229</v>
      </c>
      <c r="F136" s="19" t="s">
        <v>35</v>
      </c>
    </row>
    <row r="137" spans="1:6">
      <c r="A137" s="21">
        <v>50</v>
      </c>
      <c r="B137" s="22">
        <v>2.0202020200000002</v>
      </c>
      <c r="C137" s="22">
        <v>0.72224680799999996</v>
      </c>
      <c r="D137" s="22">
        <v>1.45908438</v>
      </c>
      <c r="E137" s="21">
        <v>225</v>
      </c>
      <c r="F137" s="19" t="s">
        <v>35</v>
      </c>
    </row>
    <row r="138" spans="1:6">
      <c r="A138" s="21">
        <v>50</v>
      </c>
      <c r="B138" s="22">
        <v>2.0202020200000002</v>
      </c>
      <c r="C138" s="22">
        <v>0.72465417099999996</v>
      </c>
      <c r="D138" s="22">
        <v>1.4639477249999999</v>
      </c>
      <c r="E138" s="21">
        <v>225</v>
      </c>
      <c r="F138" s="19" t="s">
        <v>35</v>
      </c>
    </row>
    <row r="139" spans="1:6">
      <c r="A139" s="21">
        <v>50</v>
      </c>
      <c r="B139" s="22">
        <v>2.1978021980000002</v>
      </c>
      <c r="C139" s="22">
        <v>0.72984070999999995</v>
      </c>
      <c r="D139" s="22">
        <v>1.60404547</v>
      </c>
      <c r="E139" s="21">
        <v>223</v>
      </c>
      <c r="F139" s="19" t="s">
        <v>35</v>
      </c>
    </row>
    <row r="140" spans="1:6">
      <c r="A140" s="21">
        <v>50</v>
      </c>
      <c r="B140" s="22">
        <v>2.150537634</v>
      </c>
      <c r="C140" s="22">
        <v>0.681110887</v>
      </c>
      <c r="D140" s="22">
        <v>1.4647544850000001</v>
      </c>
      <c r="E140" s="21">
        <v>225</v>
      </c>
      <c r="F140" s="19" t="s">
        <v>35</v>
      </c>
    </row>
    <row r="141" spans="1:6">
      <c r="A141" s="21">
        <v>50</v>
      </c>
      <c r="B141" s="22">
        <v>1.7391304350000001</v>
      </c>
      <c r="C141" s="22">
        <v>0.60760287875991881</v>
      </c>
      <c r="D141" s="22">
        <v>1.0567007530000001</v>
      </c>
      <c r="E141" s="21">
        <v>217</v>
      </c>
      <c r="F141" s="19" t="s">
        <v>37</v>
      </c>
    </row>
    <row r="142" spans="1:6">
      <c r="A142" s="21">
        <v>50</v>
      </c>
      <c r="B142" s="22">
        <v>1.769911504</v>
      </c>
      <c r="C142" s="22">
        <v>0.56991298128501611</v>
      </c>
      <c r="D142" s="22">
        <v>1.008695474</v>
      </c>
      <c r="E142" s="21">
        <v>217</v>
      </c>
      <c r="F142" s="19" t="s">
        <v>37</v>
      </c>
    </row>
    <row r="143" spans="1:6">
      <c r="A143" s="21">
        <v>50</v>
      </c>
      <c r="B143" s="22">
        <v>1.78313253</v>
      </c>
      <c r="C143" s="22">
        <v>0.32172946306043393</v>
      </c>
      <c r="D143" s="22">
        <v>0.57368629900000001</v>
      </c>
      <c r="E143" s="21">
        <v>223</v>
      </c>
      <c r="F143" s="19" t="s">
        <v>37</v>
      </c>
    </row>
    <row r="144" spans="1:6">
      <c r="A144" s="21">
        <v>50</v>
      </c>
      <c r="B144" s="22">
        <v>2.0202020200000002</v>
      </c>
      <c r="C144" s="22">
        <v>0.4891564311484049</v>
      </c>
      <c r="D144" s="22">
        <v>0.98819505799999996</v>
      </c>
      <c r="E144" s="21">
        <v>219</v>
      </c>
      <c r="F144" s="19" t="s">
        <v>37</v>
      </c>
    </row>
    <row r="145" spans="1:6">
      <c r="A145" s="21">
        <v>50</v>
      </c>
      <c r="B145" s="22">
        <v>1.7391304350000001</v>
      </c>
      <c r="C145" s="22">
        <v>0.6088367175822974</v>
      </c>
      <c r="D145" s="22">
        <v>1.0588466700000001</v>
      </c>
      <c r="E145" s="21">
        <v>217</v>
      </c>
      <c r="F145" s="19" t="s">
        <v>37</v>
      </c>
    </row>
  </sheetData>
  <sortState xmlns:xlrd2="http://schemas.microsoft.com/office/spreadsheetml/2017/richdata2" ref="A3:F145">
    <sortCondition ref="A3:A145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F8A2E28-E478-E64F-9CA7-1A6914CAE634}">
  <dimension ref="B1:K6"/>
  <sheetViews>
    <sheetView workbookViewId="0">
      <selection activeCell="H4" sqref="H4"/>
    </sheetView>
  </sheetViews>
  <sheetFormatPr defaultColWidth="11.453125" defaultRowHeight="14.5"/>
  <cols>
    <col min="2" max="2" width="11.81640625" bestFit="1" customWidth="1"/>
    <col min="3" max="3" width="14.81640625" bestFit="1" customWidth="1"/>
    <col min="7" max="7" width="18.81640625" customWidth="1"/>
  </cols>
  <sheetData>
    <row r="1" spans="2:11">
      <c r="B1" t="s">
        <v>39</v>
      </c>
      <c r="C1" s="11" t="s">
        <v>10</v>
      </c>
      <c r="D1" s="11" t="s">
        <v>11</v>
      </c>
      <c r="E1" s="11" t="s">
        <v>12</v>
      </c>
      <c r="F1" s="11" t="s">
        <v>13</v>
      </c>
    </row>
    <row r="2" spans="2:11">
      <c r="B2">
        <v>20</v>
      </c>
      <c r="C2">
        <f>AVERAGE(Calculations!L3:L19)</f>
        <v>1.5260195177058824</v>
      </c>
      <c r="D2">
        <f>AVERAGE(Calculations!M3:M19)</f>
        <v>0.44113472805882348</v>
      </c>
      <c r="E2">
        <f>AVERAGE(Calculations!N3:N19)</f>
        <v>0.68185860211764715</v>
      </c>
      <c r="F2">
        <f>AVERAGE(Calculations!O3:O19)</f>
        <v>218.41176470588235</v>
      </c>
      <c r="G2" t="s">
        <v>40</v>
      </c>
      <c r="H2">
        <f>CORREL(B2:B6,C2:C6)</f>
        <v>0.59261804774931215</v>
      </c>
      <c r="I2">
        <f>CORREL(B2:B6,D2:D6)</f>
        <v>0.74278947629501435</v>
      </c>
      <c r="J2">
        <f>CORREL(B2:B6,E2:E6)</f>
        <v>0.71743874636669958</v>
      </c>
      <c r="K2">
        <f>CORREL(B2:B6,F2:F6)</f>
        <v>0.41004183268148681</v>
      </c>
    </row>
    <row r="3" spans="2:11" ht="16.5">
      <c r="B3">
        <v>25</v>
      </c>
      <c r="C3">
        <f>AVERAGE(Calculations!L20:L40)</f>
        <v>1.7665862311904759</v>
      </c>
      <c r="D3">
        <f>AVERAGE(Calculations!M20:M40)</f>
        <v>0.69963242776190482</v>
      </c>
      <c r="E3">
        <f>AVERAGE(Calculations!N20:N40)</f>
        <v>1.2383268813809525</v>
      </c>
      <c r="F3">
        <f>AVERAGE(Calculations!O20:O40)</f>
        <v>222.71428571428572</v>
      </c>
      <c r="G3" t="s">
        <v>41</v>
      </c>
      <c r="H3" s="12">
        <v>0.292321</v>
      </c>
      <c r="I3" s="12">
        <v>0.150394</v>
      </c>
      <c r="J3" s="12">
        <v>0.17249100000000001</v>
      </c>
      <c r="K3" s="12">
        <v>0.49298999999999998</v>
      </c>
    </row>
    <row r="4" spans="2:11">
      <c r="B4">
        <v>30</v>
      </c>
      <c r="C4">
        <f>AVERAGE(Calculations!L41:L60)</f>
        <v>1.8198276222500003</v>
      </c>
      <c r="D4">
        <f>AVERAGE(Calculations!M41:M60)</f>
        <v>0.60011454899999994</v>
      </c>
      <c r="E4">
        <f>AVERAGE(Calculations!N41:N60)</f>
        <v>1.0928122451</v>
      </c>
      <c r="F4">
        <f>AVERAGE(Calculations!O41:O60)</f>
        <v>224.4</v>
      </c>
      <c r="H4" t="s">
        <v>42</v>
      </c>
    </row>
    <row r="5" spans="2:11">
      <c r="B5">
        <v>35</v>
      </c>
      <c r="C5">
        <f>AVERAGE(Calculations!L61:L80)</f>
        <v>2.0618202794500005</v>
      </c>
      <c r="D5">
        <f>AVERAGE(Calculations!M61:M80)</f>
        <v>0.74609005059999989</v>
      </c>
      <c r="E5">
        <f>AVERAGE(Calculations!N61:N80)</f>
        <v>1.5308060050999999</v>
      </c>
      <c r="F5">
        <f>AVERAGE(Calculations!O61:O80)</f>
        <v>226.3</v>
      </c>
    </row>
    <row r="6" spans="2:11">
      <c r="B6">
        <v>50</v>
      </c>
      <c r="C6">
        <f>AVERAGE(Calculations!L81:L100)</f>
        <v>1.8544316218500003</v>
      </c>
      <c r="D6">
        <f>AVERAGE(Calculations!M81:M100)</f>
        <v>0.75947918064999997</v>
      </c>
      <c r="E6">
        <f>AVERAGE(Calculations!N81:N100)</f>
        <v>1.4061297469</v>
      </c>
      <c r="F6">
        <f>AVERAGE(Calculations!O81:O100)</f>
        <v>222.5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268BFE3-9017-44BE-A44C-0C82F9057E56}">
  <dimension ref="A1:F47"/>
  <sheetViews>
    <sheetView topLeftCell="A13" workbookViewId="0">
      <selection activeCell="A20" sqref="A20"/>
    </sheetView>
  </sheetViews>
  <sheetFormatPr defaultColWidth="8.81640625" defaultRowHeight="14.5"/>
  <cols>
    <col min="1" max="1" width="12.26953125" bestFit="1" customWidth="1"/>
  </cols>
  <sheetData>
    <row r="1" spans="1:6">
      <c r="B1" t="s">
        <v>1</v>
      </c>
      <c r="C1" t="s">
        <v>43</v>
      </c>
      <c r="D1" t="s">
        <v>44</v>
      </c>
      <c r="E1" t="s">
        <v>45</v>
      </c>
      <c r="F1" t="s">
        <v>46</v>
      </c>
    </row>
    <row r="2" spans="1:6">
      <c r="A2" t="s">
        <v>47</v>
      </c>
      <c r="B2">
        <v>20</v>
      </c>
      <c r="C2">
        <v>187.18</v>
      </c>
      <c r="D2">
        <v>22.45</v>
      </c>
      <c r="E2">
        <v>142</v>
      </c>
      <c r="F2">
        <v>200</v>
      </c>
    </row>
    <row r="3" spans="1:6">
      <c r="B3">
        <v>25</v>
      </c>
      <c r="C3">
        <v>200</v>
      </c>
      <c r="D3">
        <v>0</v>
      </c>
      <c r="E3">
        <v>200</v>
      </c>
      <c r="F3">
        <v>200</v>
      </c>
    </row>
    <row r="4" spans="1:6">
      <c r="B4">
        <v>30</v>
      </c>
      <c r="C4">
        <v>200</v>
      </c>
      <c r="D4">
        <v>0</v>
      </c>
      <c r="E4">
        <v>200</v>
      </c>
      <c r="F4">
        <v>200</v>
      </c>
    </row>
    <row r="5" spans="1:6">
      <c r="B5">
        <v>35</v>
      </c>
      <c r="C5">
        <v>200</v>
      </c>
      <c r="D5">
        <v>0</v>
      </c>
      <c r="E5">
        <v>200</v>
      </c>
      <c r="F5">
        <v>200</v>
      </c>
    </row>
    <row r="6" spans="1:6">
      <c r="B6">
        <v>50</v>
      </c>
      <c r="C6">
        <v>200</v>
      </c>
      <c r="D6">
        <v>0</v>
      </c>
      <c r="E6">
        <v>200</v>
      </c>
      <c r="F6">
        <v>200</v>
      </c>
    </row>
    <row r="9" spans="1:6">
      <c r="C9" t="s">
        <v>43</v>
      </c>
      <c r="D9" t="s">
        <v>44</v>
      </c>
      <c r="E9" t="s">
        <v>45</v>
      </c>
      <c r="F9" t="s">
        <v>46</v>
      </c>
    </row>
    <row r="10" spans="1:6">
      <c r="B10">
        <v>20</v>
      </c>
      <c r="C10">
        <v>123</v>
      </c>
      <c r="D10">
        <v>14.32</v>
      </c>
      <c r="E10">
        <v>101</v>
      </c>
      <c r="F10">
        <v>147</v>
      </c>
    </row>
    <row r="11" spans="1:6">
      <c r="A11" t="s">
        <v>48</v>
      </c>
      <c r="B11">
        <v>25</v>
      </c>
      <c r="C11">
        <v>113.48</v>
      </c>
      <c r="D11">
        <v>5.58</v>
      </c>
      <c r="E11">
        <v>101</v>
      </c>
      <c r="F11">
        <v>127</v>
      </c>
    </row>
    <row r="12" spans="1:6">
      <c r="B12">
        <v>30</v>
      </c>
      <c r="C12">
        <v>111.1</v>
      </c>
      <c r="D12">
        <v>12.06</v>
      </c>
      <c r="E12">
        <v>93</v>
      </c>
      <c r="F12">
        <v>129</v>
      </c>
    </row>
    <row r="13" spans="1:6">
      <c r="B13">
        <v>35</v>
      </c>
      <c r="C13">
        <v>97.5</v>
      </c>
      <c r="D13">
        <v>7.31</v>
      </c>
      <c r="E13">
        <v>85</v>
      </c>
      <c r="F13">
        <v>111</v>
      </c>
    </row>
    <row r="14" spans="1:6">
      <c r="B14">
        <v>50</v>
      </c>
      <c r="C14">
        <v>108.2</v>
      </c>
      <c r="D14">
        <v>6.14</v>
      </c>
      <c r="E14">
        <v>91</v>
      </c>
      <c r="F14">
        <v>119</v>
      </c>
    </row>
    <row r="17" spans="1:6">
      <c r="C17" t="s">
        <v>43</v>
      </c>
      <c r="D17" t="s">
        <v>44</v>
      </c>
      <c r="E17" t="s">
        <v>45</v>
      </c>
      <c r="F17" t="s">
        <v>46</v>
      </c>
    </row>
    <row r="18" spans="1:6">
      <c r="B18">
        <v>20</v>
      </c>
      <c r="C18">
        <v>0.44</v>
      </c>
      <c r="D18">
        <v>0.16</v>
      </c>
      <c r="E18">
        <v>0.16</v>
      </c>
      <c r="F18">
        <v>0.56999999999999995</v>
      </c>
    </row>
    <row r="19" spans="1:6">
      <c r="A19" t="s">
        <v>11</v>
      </c>
      <c r="B19">
        <v>25</v>
      </c>
      <c r="C19">
        <v>0.7</v>
      </c>
      <c r="D19">
        <v>0.06</v>
      </c>
      <c r="E19">
        <v>0.53</v>
      </c>
      <c r="F19">
        <v>0.76</v>
      </c>
    </row>
    <row r="20" spans="1:6">
      <c r="B20">
        <v>30</v>
      </c>
      <c r="C20">
        <v>0.6</v>
      </c>
      <c r="D20">
        <v>0.03</v>
      </c>
      <c r="E20">
        <v>0.53</v>
      </c>
      <c r="F20">
        <v>0.67</v>
      </c>
    </row>
    <row r="21" spans="1:6">
      <c r="B21">
        <v>35</v>
      </c>
      <c r="C21">
        <v>0.75</v>
      </c>
      <c r="D21">
        <v>0.06</v>
      </c>
      <c r="E21">
        <v>0.63</v>
      </c>
      <c r="F21">
        <v>0.85</v>
      </c>
    </row>
    <row r="22" spans="1:6">
      <c r="B22">
        <v>50</v>
      </c>
      <c r="C22">
        <v>0.76</v>
      </c>
      <c r="D22">
        <v>0.03</v>
      </c>
      <c r="E22">
        <v>0.68</v>
      </c>
      <c r="F22">
        <v>0.82</v>
      </c>
    </row>
    <row r="26" spans="1:6">
      <c r="C26" t="s">
        <v>43</v>
      </c>
      <c r="D26" t="s">
        <v>44</v>
      </c>
      <c r="E26" t="s">
        <v>45</v>
      </c>
      <c r="F26" t="s">
        <v>46</v>
      </c>
    </row>
    <row r="27" spans="1:6">
      <c r="B27">
        <v>20</v>
      </c>
      <c r="C27">
        <v>0.68</v>
      </c>
      <c r="D27">
        <v>0.26</v>
      </c>
      <c r="E27">
        <v>0.22</v>
      </c>
      <c r="F27">
        <v>0.93</v>
      </c>
    </row>
    <row r="28" spans="1:6">
      <c r="A28" t="s">
        <v>12</v>
      </c>
      <c r="B28">
        <v>25</v>
      </c>
      <c r="C28">
        <v>1.24</v>
      </c>
      <c r="D28">
        <v>0.14000000000000001</v>
      </c>
      <c r="E28">
        <v>0.89</v>
      </c>
      <c r="F28">
        <v>1.39</v>
      </c>
    </row>
    <row r="29" spans="1:6">
      <c r="B29">
        <v>30</v>
      </c>
      <c r="C29">
        <v>1.0900000000000001</v>
      </c>
      <c r="D29">
        <v>0.13</v>
      </c>
      <c r="E29">
        <v>0.89</v>
      </c>
      <c r="F29">
        <v>1.32</v>
      </c>
    </row>
    <row r="30" spans="1:6">
      <c r="B30">
        <v>35</v>
      </c>
      <c r="C30">
        <v>1.53</v>
      </c>
      <c r="D30">
        <v>0.05</v>
      </c>
      <c r="E30">
        <v>1.44</v>
      </c>
      <c r="F30">
        <v>1.65</v>
      </c>
    </row>
    <row r="31" spans="1:6">
      <c r="B31">
        <v>50</v>
      </c>
      <c r="C31">
        <v>1.41</v>
      </c>
      <c r="D31">
        <v>0.06</v>
      </c>
      <c r="E31">
        <v>1.28</v>
      </c>
      <c r="F31">
        <v>1.52</v>
      </c>
    </row>
    <row r="34" spans="1:6">
      <c r="C34" t="s">
        <v>43</v>
      </c>
      <c r="D34" t="s">
        <v>44</v>
      </c>
      <c r="E34" t="s">
        <v>45</v>
      </c>
      <c r="F34" t="s">
        <v>46</v>
      </c>
    </row>
    <row r="35" spans="1:6">
      <c r="B35">
        <v>20</v>
      </c>
      <c r="C35">
        <v>218.41</v>
      </c>
      <c r="D35">
        <v>2.09</v>
      </c>
      <c r="E35">
        <v>215</v>
      </c>
      <c r="F35">
        <v>221</v>
      </c>
    </row>
    <row r="36" spans="1:6">
      <c r="A36" t="s">
        <v>13</v>
      </c>
      <c r="B36">
        <v>25</v>
      </c>
      <c r="C36">
        <v>222.71</v>
      </c>
      <c r="D36">
        <v>2.39</v>
      </c>
      <c r="E36">
        <v>219</v>
      </c>
      <c r="F36">
        <v>227</v>
      </c>
    </row>
    <row r="37" spans="1:6">
      <c r="B37">
        <v>30</v>
      </c>
      <c r="C37">
        <v>224.4</v>
      </c>
      <c r="D37">
        <v>4.3099999999999996</v>
      </c>
      <c r="E37">
        <v>219</v>
      </c>
      <c r="F37">
        <v>231</v>
      </c>
    </row>
    <row r="38" spans="1:6">
      <c r="B38">
        <v>35</v>
      </c>
      <c r="C38">
        <v>226.3</v>
      </c>
      <c r="D38">
        <v>1.63</v>
      </c>
      <c r="E38">
        <v>223</v>
      </c>
      <c r="F38">
        <v>229</v>
      </c>
    </row>
    <row r="39" spans="1:6">
      <c r="B39">
        <v>50</v>
      </c>
      <c r="C39">
        <v>222.5</v>
      </c>
      <c r="D39">
        <v>1.82</v>
      </c>
      <c r="E39">
        <v>219</v>
      </c>
      <c r="F39">
        <v>225</v>
      </c>
    </row>
    <row r="42" spans="1:6">
      <c r="C42" t="s">
        <v>43</v>
      </c>
      <c r="D42" t="s">
        <v>44</v>
      </c>
      <c r="E42" t="s">
        <v>45</v>
      </c>
      <c r="F42" t="s">
        <v>46</v>
      </c>
    </row>
    <row r="43" spans="1:6">
      <c r="B43">
        <v>20</v>
      </c>
      <c r="C43">
        <v>1.53</v>
      </c>
      <c r="D43">
        <v>0.14000000000000001</v>
      </c>
      <c r="E43">
        <v>1.33</v>
      </c>
      <c r="F43">
        <v>1.86</v>
      </c>
    </row>
    <row r="44" spans="1:6">
      <c r="A44" t="s">
        <v>49</v>
      </c>
      <c r="B44">
        <v>25</v>
      </c>
      <c r="C44">
        <v>1.77</v>
      </c>
      <c r="D44">
        <v>0.09</v>
      </c>
      <c r="E44">
        <v>1.57</v>
      </c>
      <c r="F44">
        <v>1.98</v>
      </c>
    </row>
    <row r="45" spans="1:6">
      <c r="B45">
        <v>30</v>
      </c>
      <c r="C45">
        <v>1.82</v>
      </c>
      <c r="D45">
        <v>0.19</v>
      </c>
      <c r="E45">
        <v>1.55</v>
      </c>
      <c r="F45">
        <v>2.15</v>
      </c>
    </row>
    <row r="46" spans="1:6">
      <c r="B46">
        <v>35</v>
      </c>
      <c r="C46">
        <v>2.06</v>
      </c>
      <c r="D46">
        <v>0.15</v>
      </c>
      <c r="E46">
        <v>1.8</v>
      </c>
      <c r="F46">
        <v>2.35</v>
      </c>
    </row>
    <row r="47" spans="1:6">
      <c r="B47">
        <v>50</v>
      </c>
      <c r="C47">
        <v>1.85</v>
      </c>
      <c r="D47">
        <v>0.11</v>
      </c>
      <c r="E47">
        <v>1.68</v>
      </c>
      <c r="F47">
        <v>2.2000000000000002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Calculations</vt:lpstr>
      <vt:lpstr>ANOVA data</vt:lpstr>
      <vt:lpstr>r using averages</vt:lpstr>
      <vt:lpstr>Descriptive stats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Maame Adwoa Maisie</dc:creator>
  <cp:keywords/>
  <dc:description/>
  <cp:lastModifiedBy>Maame Adwoa Maisie</cp:lastModifiedBy>
  <cp:revision/>
  <dcterms:created xsi:type="dcterms:W3CDTF">2024-09-08T17:21:27Z</dcterms:created>
  <dcterms:modified xsi:type="dcterms:W3CDTF">2026-05-18T19:05:28Z</dcterms:modified>
  <cp:category/>
  <cp:contentStatus/>
</cp:coreProperties>
</file>